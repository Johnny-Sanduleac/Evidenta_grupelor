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Originale\"/>
    </mc:Choice>
  </mc:AlternateContent>
  <xr:revisionPtr revIDLastSave="0" documentId="13_ncr:1_{EC08B2A8-BB5B-4180-8047-5167917B174D}" xr6:coauthVersionLast="47" xr6:coauthVersionMax="47" xr10:uidLastSave="{00000000-0000-0000-0000-000000000000}"/>
  <bookViews>
    <workbookView xWindow="-108" yWindow="-108" windowWidth="23256" windowHeight="12576" tabRatio="759" xr2:uid="{00000000-000D-0000-FFFF-FFFF00000000}"/>
  </bookViews>
  <sheets>
    <sheet name="Curs" sheetId="1" r:id="rId1"/>
    <sheet name="Laborator" sheetId="9" r:id="rId2"/>
    <sheet name="Lucrari grafice" sheetId="10" r:id="rId3"/>
    <sheet name="Atest. Nr.1_1" sheetId="2" r:id="rId4"/>
    <sheet name="Atest. Nr.1_2" sheetId="13" r:id="rId5"/>
    <sheet name="Atest. Nr.1_3" sheetId="14" r:id="rId6"/>
    <sheet name="Atest. Nr.2_1" sheetId="3" r:id="rId7"/>
    <sheet name="Atest. Nr.2_2" sheetId="15" r:id="rId8"/>
    <sheet name="Atest. Nr.2_3" sheetId="16" r:id="rId9"/>
    <sheet name="Examen" sheetId="4" r:id="rId10"/>
    <sheet name="ReExaminare" sheetId="17" r:id="rId11"/>
    <sheet name="Registru_Curs" sheetId="11" r:id="rId12"/>
    <sheet name="Registru_Lab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8" i="9" l="1"/>
  <c r="AM8" i="9"/>
  <c r="AL9" i="9"/>
  <c r="AM9" i="9"/>
  <c r="AL10" i="9"/>
  <c r="AM10" i="9"/>
  <c r="AL11" i="9"/>
  <c r="AM11" i="9"/>
  <c r="AL12" i="9"/>
  <c r="AM12" i="9"/>
  <c r="AL13" i="9"/>
  <c r="AM13" i="9"/>
  <c r="AL14" i="9"/>
  <c r="AM14" i="9"/>
  <c r="AL15" i="9"/>
  <c r="AM15" i="9"/>
  <c r="AL16" i="9"/>
  <c r="AM16" i="9"/>
  <c r="AL17" i="9"/>
  <c r="AM17" i="9"/>
  <c r="AL18" i="9"/>
  <c r="AM18" i="9"/>
  <c r="AL19" i="9"/>
  <c r="AM19" i="9"/>
  <c r="AL20" i="9"/>
  <c r="AM20" i="9"/>
  <c r="AL21" i="9"/>
  <c r="AM21" i="9"/>
  <c r="AL22" i="9"/>
  <c r="AM22" i="9"/>
  <c r="AL23" i="9"/>
  <c r="AM23" i="9"/>
  <c r="AL24" i="9"/>
  <c r="AM24" i="9"/>
  <c r="AL25" i="9"/>
  <c r="AM25" i="9"/>
  <c r="AL26" i="9"/>
  <c r="AM26" i="9"/>
  <c r="AL27" i="9"/>
  <c r="AM27" i="9"/>
  <c r="AL28" i="9"/>
  <c r="AM28" i="9"/>
  <c r="AL29" i="9"/>
  <c r="AM29" i="9"/>
  <c r="AL30" i="9"/>
  <c r="AM30" i="9"/>
  <c r="AL31" i="9"/>
  <c r="AM31" i="9"/>
  <c r="AL32" i="9"/>
  <c r="AM32" i="9"/>
  <c r="AL33" i="9"/>
  <c r="AM33" i="9"/>
  <c r="AL34" i="9"/>
  <c r="AM34" i="9"/>
  <c r="AL35" i="9"/>
  <c r="AM35" i="9"/>
  <c r="AL36" i="9"/>
  <c r="AM36" i="9"/>
  <c r="AL37" i="9"/>
  <c r="AM37" i="9"/>
  <c r="AL38" i="9"/>
  <c r="AM38" i="9"/>
  <c r="AL39" i="9"/>
  <c r="AM39" i="9"/>
  <c r="AL40" i="9"/>
  <c r="AM40" i="9"/>
  <c r="AL41" i="9"/>
  <c r="AM41" i="9"/>
  <c r="AL42" i="9"/>
  <c r="AM42" i="9"/>
  <c r="AL43" i="9"/>
  <c r="AM43" i="9"/>
  <c r="AL44" i="9"/>
  <c r="AM44" i="9"/>
  <c r="AL45" i="9"/>
  <c r="AM45" i="9"/>
  <c r="AL46" i="9"/>
  <c r="AM46" i="9"/>
  <c r="AL47" i="9"/>
  <c r="AM47" i="9"/>
  <c r="AL48" i="9"/>
  <c r="AM48" i="9"/>
  <c r="AL49" i="9"/>
  <c r="AM49" i="9"/>
  <c r="AL50" i="9"/>
  <c r="AM50" i="9"/>
  <c r="AL51" i="9"/>
  <c r="AM51" i="9"/>
  <c r="AL52" i="9"/>
  <c r="AM52" i="9"/>
  <c r="AL53" i="9"/>
  <c r="AM53" i="9"/>
  <c r="AL54" i="9"/>
  <c r="AM54" i="9"/>
  <c r="AL55" i="9"/>
  <c r="AM55" i="9"/>
  <c r="AL56" i="9"/>
  <c r="AM56" i="9"/>
  <c r="AL57" i="9"/>
  <c r="AM57" i="9"/>
  <c r="AL58" i="9"/>
  <c r="AM58" i="9"/>
  <c r="AL59" i="9"/>
  <c r="AM59" i="9"/>
  <c r="AL60" i="9"/>
  <c r="AM60" i="9"/>
  <c r="AL61" i="9"/>
  <c r="AM61" i="9"/>
  <c r="AL62" i="9"/>
  <c r="AM62" i="9"/>
  <c r="AL63" i="9"/>
  <c r="AM63" i="9"/>
  <c r="AL64" i="9"/>
  <c r="AM64" i="9"/>
  <c r="AL65" i="9"/>
  <c r="AM65" i="9"/>
  <c r="AL66" i="9"/>
  <c r="AM66" i="9"/>
  <c r="AL67" i="9"/>
  <c r="AM67" i="9"/>
  <c r="AL68" i="9"/>
  <c r="AM68" i="9"/>
  <c r="AL69" i="9"/>
  <c r="AM69" i="9"/>
  <c r="AL70" i="9"/>
  <c r="AM70" i="9"/>
  <c r="AL71" i="9"/>
  <c r="AM71" i="9"/>
  <c r="AL72" i="9"/>
  <c r="AM72" i="9"/>
  <c r="AL73" i="9"/>
  <c r="AM73" i="9"/>
  <c r="AL74" i="9"/>
  <c r="AM74" i="9"/>
  <c r="AL75" i="9"/>
  <c r="AM75" i="9"/>
  <c r="AL76" i="9"/>
  <c r="AM76" i="9"/>
  <c r="AL77" i="9"/>
  <c r="AM77" i="9"/>
  <c r="AL78" i="9"/>
  <c r="AM78" i="9"/>
  <c r="AL79" i="9"/>
  <c r="AM79" i="9"/>
  <c r="AL80" i="9"/>
  <c r="AM80" i="9"/>
  <c r="AL81" i="9"/>
  <c r="AM81" i="9"/>
  <c r="AL82" i="9"/>
  <c r="AM82" i="9"/>
  <c r="AL83" i="9"/>
  <c r="AM83" i="9"/>
  <c r="AL84" i="9"/>
  <c r="AM84" i="9"/>
  <c r="AL85" i="9"/>
  <c r="AM85" i="9"/>
  <c r="AL86" i="9"/>
  <c r="AM86" i="9"/>
  <c r="AL87" i="9"/>
  <c r="AM87" i="9"/>
  <c r="AL88" i="9"/>
  <c r="AM88" i="9"/>
  <c r="AL89" i="9"/>
  <c r="AM89" i="9"/>
  <c r="AL90" i="9"/>
  <c r="AM90" i="9"/>
  <c r="AL91" i="9"/>
  <c r="AM91" i="9"/>
  <c r="AL92" i="9"/>
  <c r="AM92" i="9"/>
  <c r="AL93" i="9"/>
  <c r="AM93" i="9"/>
  <c r="AL94" i="9"/>
  <c r="AM94" i="9"/>
  <c r="AL95" i="9"/>
  <c r="AM95" i="9"/>
  <c r="AL96" i="9"/>
  <c r="AM96" i="9"/>
  <c r="AL97" i="9"/>
  <c r="AM97" i="9"/>
  <c r="AL98" i="9"/>
  <c r="AM98" i="9"/>
  <c r="AL99" i="9"/>
  <c r="AM99" i="9"/>
  <c r="AL100" i="9"/>
  <c r="AM100" i="9"/>
  <c r="AL101" i="9"/>
  <c r="AM101" i="9"/>
  <c r="AL102" i="9"/>
  <c r="AM102" i="9"/>
  <c r="AL103" i="9"/>
  <c r="AM103" i="9"/>
  <c r="AL104" i="9"/>
  <c r="AM104" i="9"/>
  <c r="AL105" i="9"/>
  <c r="AM105" i="9"/>
  <c r="AL7" i="9"/>
  <c r="H12" i="15" l="1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2" i="15"/>
  <c r="B3" i="10"/>
  <c r="F3" i="10" s="1"/>
  <c r="AK7" i="1" s="1"/>
  <c r="B4" i="10"/>
  <c r="F4" i="10" s="1"/>
  <c r="AK8" i="1" s="1"/>
  <c r="B5" i="10"/>
  <c r="F5" i="10" s="1"/>
  <c r="AK9" i="1" s="1"/>
  <c r="B6" i="10"/>
  <c r="F6" i="10" s="1"/>
  <c r="AK10" i="1" s="1"/>
  <c r="B7" i="10"/>
  <c r="F7" i="10" s="1"/>
  <c r="B8" i="10"/>
  <c r="B9" i="10"/>
  <c r="F9" i="10" s="1"/>
  <c r="AK13" i="1" s="1"/>
  <c r="B10" i="10"/>
  <c r="F10" i="10" s="1"/>
  <c r="AK14" i="1" s="1"/>
  <c r="B11" i="10"/>
  <c r="F11" i="10" s="1"/>
  <c r="AK15" i="1" s="1"/>
  <c r="B12" i="10"/>
  <c r="F8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2" i="10"/>
  <c r="AJ7" i="1"/>
  <c r="AJ8" i="1"/>
  <c r="AJ9" i="1"/>
  <c r="AJ10" i="1"/>
  <c r="AJ11" i="1"/>
  <c r="AK11" i="1"/>
  <c r="AJ12" i="1"/>
  <c r="AK12" i="1"/>
  <c r="AJ13" i="1"/>
  <c r="AJ14" i="1"/>
  <c r="AJ15" i="1"/>
  <c r="V16" i="1"/>
  <c r="Y16" i="1"/>
  <c r="AH16" i="1"/>
  <c r="AI16" i="1"/>
  <c r="AJ16" i="1"/>
  <c r="AK16" i="1"/>
  <c r="AL16" i="1"/>
  <c r="AM16" i="1"/>
  <c r="V17" i="1"/>
  <c r="Y17" i="1"/>
  <c r="AH17" i="1"/>
  <c r="AI17" i="1"/>
  <c r="AJ17" i="1"/>
  <c r="AK17" i="1"/>
  <c r="AL17" i="1"/>
  <c r="AM17" i="1"/>
  <c r="V18" i="1"/>
  <c r="Y18" i="1"/>
  <c r="AH18" i="1"/>
  <c r="AI18" i="1"/>
  <c r="AJ18" i="1"/>
  <c r="AK18" i="1"/>
  <c r="AL18" i="1"/>
  <c r="AM18" i="1"/>
  <c r="V19" i="1"/>
  <c r="Y19" i="1"/>
  <c r="AH19" i="1"/>
  <c r="AI19" i="1"/>
  <c r="AJ19" i="1"/>
  <c r="AK19" i="1"/>
  <c r="AL19" i="1"/>
  <c r="AM19" i="1"/>
  <c r="V20" i="1"/>
  <c r="Y20" i="1"/>
  <c r="AH20" i="1"/>
  <c r="AI20" i="1"/>
  <c r="AJ20" i="1"/>
  <c r="AK20" i="1"/>
  <c r="AL20" i="1"/>
  <c r="AM20" i="1"/>
  <c r="V21" i="1"/>
  <c r="Y21" i="1"/>
  <c r="AH21" i="1"/>
  <c r="AI21" i="1"/>
  <c r="AJ21" i="1"/>
  <c r="AK21" i="1"/>
  <c r="AL21" i="1"/>
  <c r="AM21" i="1"/>
  <c r="V22" i="1"/>
  <c r="Y22" i="1"/>
  <c r="AH22" i="1"/>
  <c r="AI22" i="1"/>
  <c r="AJ22" i="1"/>
  <c r="AK22" i="1"/>
  <c r="AL22" i="1"/>
  <c r="AM22" i="1"/>
  <c r="V23" i="1"/>
  <c r="Y23" i="1"/>
  <c r="AH23" i="1"/>
  <c r="AI23" i="1"/>
  <c r="AJ23" i="1"/>
  <c r="AK23" i="1"/>
  <c r="AL23" i="1"/>
  <c r="AM23" i="1"/>
  <c r="V24" i="1"/>
  <c r="Y24" i="1"/>
  <c r="AH24" i="1"/>
  <c r="AI24" i="1"/>
  <c r="AJ24" i="1"/>
  <c r="AK24" i="1"/>
  <c r="AL24" i="1"/>
  <c r="AM24" i="1"/>
  <c r="V25" i="1"/>
  <c r="Y25" i="1"/>
  <c r="AH25" i="1"/>
  <c r="AI25" i="1"/>
  <c r="AJ25" i="1"/>
  <c r="AK25" i="1"/>
  <c r="AL25" i="1"/>
  <c r="AM25" i="1"/>
  <c r="V26" i="1"/>
  <c r="Y26" i="1"/>
  <c r="AH26" i="1"/>
  <c r="AI26" i="1"/>
  <c r="AJ26" i="1"/>
  <c r="AK26" i="1"/>
  <c r="AL26" i="1"/>
  <c r="AM26" i="1"/>
  <c r="V27" i="1"/>
  <c r="Y27" i="1"/>
  <c r="AH27" i="1"/>
  <c r="AI27" i="1"/>
  <c r="AJ27" i="1"/>
  <c r="AK27" i="1"/>
  <c r="AL27" i="1"/>
  <c r="AM27" i="1"/>
  <c r="V28" i="1"/>
  <c r="Y28" i="1"/>
  <c r="AH28" i="1"/>
  <c r="AI28" i="1"/>
  <c r="AJ28" i="1"/>
  <c r="AK28" i="1"/>
  <c r="AL28" i="1"/>
  <c r="AM28" i="1"/>
  <c r="V29" i="1"/>
  <c r="Y29" i="1"/>
  <c r="AH29" i="1"/>
  <c r="AI29" i="1"/>
  <c r="AJ29" i="1"/>
  <c r="AK29" i="1"/>
  <c r="AL29" i="1"/>
  <c r="AM29" i="1"/>
  <c r="V30" i="1"/>
  <c r="Y30" i="1"/>
  <c r="AH30" i="1"/>
  <c r="AI30" i="1"/>
  <c r="AJ30" i="1"/>
  <c r="AK30" i="1"/>
  <c r="AL30" i="1"/>
  <c r="AM30" i="1"/>
  <c r="V31" i="1"/>
  <c r="Y31" i="1"/>
  <c r="AH31" i="1"/>
  <c r="AI31" i="1"/>
  <c r="AJ31" i="1"/>
  <c r="AK31" i="1"/>
  <c r="AL31" i="1"/>
  <c r="AM31" i="1"/>
  <c r="V32" i="1"/>
  <c r="Y32" i="1"/>
  <c r="AH32" i="1"/>
  <c r="AI32" i="1"/>
  <c r="AJ32" i="1"/>
  <c r="AK32" i="1"/>
  <c r="AL32" i="1"/>
  <c r="AM32" i="1"/>
  <c r="V33" i="1"/>
  <c r="Y33" i="1"/>
  <c r="AH33" i="1"/>
  <c r="AI33" i="1"/>
  <c r="AJ33" i="1"/>
  <c r="AK33" i="1"/>
  <c r="AL33" i="1"/>
  <c r="AM33" i="1"/>
  <c r="V34" i="1"/>
  <c r="Y34" i="1"/>
  <c r="AH34" i="1"/>
  <c r="AI34" i="1"/>
  <c r="AJ34" i="1"/>
  <c r="AK34" i="1"/>
  <c r="AL34" i="1"/>
  <c r="AM34" i="1"/>
  <c r="V35" i="1"/>
  <c r="Y35" i="1"/>
  <c r="AH35" i="1"/>
  <c r="AI35" i="1"/>
  <c r="AJ35" i="1"/>
  <c r="AK35" i="1"/>
  <c r="AL35" i="1"/>
  <c r="AM35" i="1"/>
  <c r="V36" i="1"/>
  <c r="Y36" i="1"/>
  <c r="AH36" i="1"/>
  <c r="AI36" i="1"/>
  <c r="AJ36" i="1"/>
  <c r="AK36" i="1"/>
  <c r="AL36" i="1"/>
  <c r="AM36" i="1"/>
  <c r="V37" i="1"/>
  <c r="Y37" i="1"/>
  <c r="AH37" i="1"/>
  <c r="AI37" i="1"/>
  <c r="AJ37" i="1"/>
  <c r="AK37" i="1"/>
  <c r="AL37" i="1"/>
  <c r="AM37" i="1"/>
  <c r="V38" i="1"/>
  <c r="Y38" i="1"/>
  <c r="AH38" i="1"/>
  <c r="AI38" i="1"/>
  <c r="AJ38" i="1"/>
  <c r="AK38" i="1"/>
  <c r="AL38" i="1"/>
  <c r="AM38" i="1"/>
  <c r="V39" i="1"/>
  <c r="Y39" i="1"/>
  <c r="AH39" i="1"/>
  <c r="AI39" i="1"/>
  <c r="AJ39" i="1"/>
  <c r="AK39" i="1"/>
  <c r="AL39" i="1"/>
  <c r="AM39" i="1"/>
  <c r="V40" i="1"/>
  <c r="Y40" i="1"/>
  <c r="AH40" i="1"/>
  <c r="AI40" i="1"/>
  <c r="AJ40" i="1"/>
  <c r="AK40" i="1"/>
  <c r="AL40" i="1"/>
  <c r="AM40" i="1"/>
  <c r="V41" i="1"/>
  <c r="Y41" i="1"/>
  <c r="AH41" i="1"/>
  <c r="AI41" i="1"/>
  <c r="AJ41" i="1"/>
  <c r="AK41" i="1"/>
  <c r="AL41" i="1"/>
  <c r="AM41" i="1"/>
  <c r="V42" i="1"/>
  <c r="Y42" i="1"/>
  <c r="AH42" i="1"/>
  <c r="AI42" i="1"/>
  <c r="AJ42" i="1"/>
  <c r="AK42" i="1"/>
  <c r="AL42" i="1"/>
  <c r="AM42" i="1"/>
  <c r="V43" i="1"/>
  <c r="Y43" i="1"/>
  <c r="AH43" i="1"/>
  <c r="AI43" i="1"/>
  <c r="AJ43" i="1"/>
  <c r="AK43" i="1"/>
  <c r="AL43" i="1"/>
  <c r="AM43" i="1"/>
  <c r="V44" i="1"/>
  <c r="Y44" i="1"/>
  <c r="AH44" i="1"/>
  <c r="AI44" i="1"/>
  <c r="AJ44" i="1"/>
  <c r="AK44" i="1"/>
  <c r="AL44" i="1"/>
  <c r="AM44" i="1"/>
  <c r="V45" i="1"/>
  <c r="Y45" i="1"/>
  <c r="AH45" i="1"/>
  <c r="AI45" i="1"/>
  <c r="AJ45" i="1"/>
  <c r="AK45" i="1"/>
  <c r="AL45" i="1"/>
  <c r="AM45" i="1"/>
  <c r="V46" i="1"/>
  <c r="Y46" i="1"/>
  <c r="AB46" i="1"/>
  <c r="B42" i="17" s="1"/>
  <c r="AH46" i="1"/>
  <c r="AI46" i="1"/>
  <c r="AJ46" i="1"/>
  <c r="AK46" i="1"/>
  <c r="AL46" i="1"/>
  <c r="AM46" i="1"/>
  <c r="V47" i="1"/>
  <c r="Y47" i="1"/>
  <c r="AH47" i="1"/>
  <c r="AI47" i="1"/>
  <c r="AJ47" i="1"/>
  <c r="AK47" i="1"/>
  <c r="AL47" i="1"/>
  <c r="AM47" i="1"/>
  <c r="V48" i="1"/>
  <c r="Y48" i="1"/>
  <c r="AH48" i="1"/>
  <c r="AI48" i="1"/>
  <c r="AJ48" i="1"/>
  <c r="AK48" i="1"/>
  <c r="AL48" i="1"/>
  <c r="AM48" i="1"/>
  <c r="V49" i="1"/>
  <c r="Y49" i="1"/>
  <c r="AH49" i="1"/>
  <c r="AI49" i="1"/>
  <c r="AJ49" i="1"/>
  <c r="AK49" i="1"/>
  <c r="AL49" i="1"/>
  <c r="AM49" i="1"/>
  <c r="V50" i="1"/>
  <c r="Y50" i="1"/>
  <c r="AH50" i="1"/>
  <c r="AI50" i="1"/>
  <c r="AJ50" i="1"/>
  <c r="AK50" i="1"/>
  <c r="AL50" i="1"/>
  <c r="AM50" i="1"/>
  <c r="V51" i="1"/>
  <c r="Y51" i="1"/>
  <c r="AH51" i="1"/>
  <c r="AI51" i="1"/>
  <c r="AJ51" i="1"/>
  <c r="AK51" i="1"/>
  <c r="AL51" i="1"/>
  <c r="AM51" i="1"/>
  <c r="V52" i="1"/>
  <c r="Y52" i="1"/>
  <c r="AH52" i="1"/>
  <c r="AI52" i="1"/>
  <c r="AJ52" i="1"/>
  <c r="AK52" i="1"/>
  <c r="AL52" i="1"/>
  <c r="AM52" i="1"/>
  <c r="V53" i="1"/>
  <c r="Y53" i="1"/>
  <c r="AH53" i="1"/>
  <c r="AI53" i="1"/>
  <c r="AJ53" i="1"/>
  <c r="AK53" i="1"/>
  <c r="AL53" i="1"/>
  <c r="AM53" i="1"/>
  <c r="V54" i="1"/>
  <c r="Y54" i="1"/>
  <c r="AH54" i="1"/>
  <c r="AI54" i="1"/>
  <c r="AJ54" i="1"/>
  <c r="AK54" i="1"/>
  <c r="AL54" i="1"/>
  <c r="AM54" i="1"/>
  <c r="V55" i="1"/>
  <c r="Y55" i="1"/>
  <c r="AH55" i="1"/>
  <c r="AI55" i="1"/>
  <c r="AJ55" i="1"/>
  <c r="AK55" i="1"/>
  <c r="AL55" i="1"/>
  <c r="AM55" i="1"/>
  <c r="V56" i="1"/>
  <c r="Y56" i="1"/>
  <c r="AH56" i="1"/>
  <c r="AI56" i="1"/>
  <c r="AJ56" i="1"/>
  <c r="AK56" i="1"/>
  <c r="AL56" i="1"/>
  <c r="AM56" i="1"/>
  <c r="V57" i="1"/>
  <c r="Y57" i="1"/>
  <c r="AH57" i="1"/>
  <c r="AI57" i="1"/>
  <c r="AJ57" i="1"/>
  <c r="AK57" i="1"/>
  <c r="AL57" i="1"/>
  <c r="AM57" i="1"/>
  <c r="V58" i="1"/>
  <c r="Y58" i="1"/>
  <c r="AB58" i="1"/>
  <c r="B54" i="17" s="1"/>
  <c r="AH58" i="1"/>
  <c r="AI58" i="1"/>
  <c r="AJ58" i="1"/>
  <c r="AK58" i="1"/>
  <c r="AL58" i="1"/>
  <c r="AM58" i="1"/>
  <c r="V59" i="1"/>
  <c r="Y59" i="1"/>
  <c r="AH59" i="1"/>
  <c r="AI59" i="1"/>
  <c r="AJ59" i="1"/>
  <c r="AK59" i="1"/>
  <c r="AL59" i="1"/>
  <c r="AM59" i="1"/>
  <c r="V60" i="1"/>
  <c r="Y60" i="1"/>
  <c r="AH60" i="1"/>
  <c r="AI60" i="1"/>
  <c r="AJ60" i="1"/>
  <c r="AK60" i="1"/>
  <c r="AL60" i="1"/>
  <c r="AM60" i="1"/>
  <c r="V61" i="1"/>
  <c r="Y61" i="1"/>
  <c r="AH61" i="1"/>
  <c r="AI61" i="1"/>
  <c r="AJ61" i="1"/>
  <c r="AK61" i="1"/>
  <c r="AL61" i="1"/>
  <c r="AM61" i="1"/>
  <c r="V62" i="1"/>
  <c r="Y62" i="1"/>
  <c r="AH62" i="1"/>
  <c r="AI62" i="1"/>
  <c r="AJ62" i="1"/>
  <c r="AK62" i="1"/>
  <c r="AL62" i="1"/>
  <c r="AM62" i="1"/>
  <c r="V63" i="1"/>
  <c r="Y63" i="1"/>
  <c r="AH63" i="1"/>
  <c r="AI63" i="1"/>
  <c r="AJ63" i="1"/>
  <c r="AK63" i="1"/>
  <c r="AL63" i="1"/>
  <c r="AM63" i="1"/>
  <c r="V64" i="1"/>
  <c r="Y64" i="1"/>
  <c r="AH64" i="1"/>
  <c r="AI64" i="1"/>
  <c r="AJ64" i="1"/>
  <c r="AK64" i="1"/>
  <c r="AL64" i="1"/>
  <c r="AM64" i="1"/>
  <c r="V65" i="1"/>
  <c r="Y65" i="1"/>
  <c r="AH65" i="1"/>
  <c r="AI65" i="1"/>
  <c r="AJ65" i="1"/>
  <c r="AK65" i="1"/>
  <c r="AL65" i="1"/>
  <c r="AM65" i="1"/>
  <c r="V66" i="1"/>
  <c r="Y66" i="1"/>
  <c r="AH66" i="1"/>
  <c r="AI66" i="1"/>
  <c r="AJ66" i="1"/>
  <c r="AK66" i="1"/>
  <c r="AL66" i="1"/>
  <c r="AM66" i="1"/>
  <c r="V67" i="1"/>
  <c r="Y67" i="1"/>
  <c r="AH67" i="1"/>
  <c r="AI67" i="1"/>
  <c r="AJ67" i="1"/>
  <c r="AK67" i="1"/>
  <c r="AL67" i="1"/>
  <c r="AM67" i="1"/>
  <c r="V68" i="1"/>
  <c r="Y68" i="1"/>
  <c r="AH68" i="1"/>
  <c r="AI68" i="1"/>
  <c r="AJ68" i="1"/>
  <c r="AK68" i="1"/>
  <c r="AL68" i="1"/>
  <c r="AM68" i="1"/>
  <c r="V69" i="1"/>
  <c r="Y69" i="1"/>
  <c r="AH69" i="1"/>
  <c r="AI69" i="1"/>
  <c r="AJ69" i="1"/>
  <c r="AK69" i="1"/>
  <c r="AL69" i="1"/>
  <c r="AM69" i="1"/>
  <c r="V70" i="1"/>
  <c r="Y70" i="1"/>
  <c r="AH70" i="1"/>
  <c r="AI70" i="1"/>
  <c r="AJ70" i="1"/>
  <c r="AK70" i="1"/>
  <c r="AL70" i="1"/>
  <c r="AM70" i="1"/>
  <c r="V71" i="1"/>
  <c r="Y71" i="1"/>
  <c r="AH71" i="1"/>
  <c r="AI71" i="1"/>
  <c r="AJ71" i="1"/>
  <c r="AK71" i="1"/>
  <c r="AL71" i="1"/>
  <c r="AM71" i="1"/>
  <c r="V72" i="1"/>
  <c r="Y72" i="1"/>
  <c r="AH72" i="1"/>
  <c r="AI72" i="1"/>
  <c r="AJ72" i="1"/>
  <c r="AK72" i="1"/>
  <c r="AL72" i="1"/>
  <c r="AM72" i="1"/>
  <c r="V73" i="1"/>
  <c r="Y73" i="1"/>
  <c r="AH73" i="1"/>
  <c r="AI73" i="1"/>
  <c r="AJ73" i="1"/>
  <c r="AK73" i="1"/>
  <c r="AL73" i="1"/>
  <c r="AM73" i="1"/>
  <c r="V74" i="1"/>
  <c r="Y74" i="1"/>
  <c r="AH74" i="1"/>
  <c r="AI74" i="1"/>
  <c r="AJ74" i="1"/>
  <c r="AK74" i="1"/>
  <c r="AL74" i="1"/>
  <c r="AM74" i="1"/>
  <c r="V75" i="1"/>
  <c r="Y75" i="1"/>
  <c r="AH75" i="1"/>
  <c r="AI75" i="1"/>
  <c r="AJ75" i="1"/>
  <c r="AK75" i="1"/>
  <c r="AL75" i="1"/>
  <c r="AM75" i="1"/>
  <c r="V76" i="1"/>
  <c r="Y76" i="1"/>
  <c r="AH76" i="1"/>
  <c r="AI76" i="1"/>
  <c r="AJ76" i="1"/>
  <c r="AK76" i="1"/>
  <c r="AL76" i="1"/>
  <c r="AM76" i="1"/>
  <c r="V77" i="1"/>
  <c r="Y77" i="1"/>
  <c r="AH77" i="1"/>
  <c r="AI77" i="1"/>
  <c r="AJ77" i="1"/>
  <c r="AK77" i="1"/>
  <c r="AL77" i="1"/>
  <c r="AM77" i="1"/>
  <c r="V78" i="1"/>
  <c r="Y78" i="1"/>
  <c r="AH78" i="1"/>
  <c r="AI78" i="1"/>
  <c r="AJ78" i="1"/>
  <c r="AK78" i="1"/>
  <c r="AL78" i="1"/>
  <c r="AM78" i="1"/>
  <c r="V79" i="1"/>
  <c r="Y79" i="1"/>
  <c r="AH79" i="1"/>
  <c r="AI79" i="1"/>
  <c r="AJ79" i="1"/>
  <c r="AK79" i="1"/>
  <c r="AL79" i="1"/>
  <c r="AM79" i="1"/>
  <c r="V80" i="1"/>
  <c r="Y80" i="1"/>
  <c r="AH80" i="1"/>
  <c r="AI80" i="1"/>
  <c r="AJ80" i="1"/>
  <c r="AK80" i="1"/>
  <c r="AL80" i="1"/>
  <c r="AM80" i="1"/>
  <c r="V81" i="1"/>
  <c r="Y81" i="1"/>
  <c r="AH81" i="1"/>
  <c r="AI81" i="1"/>
  <c r="AJ81" i="1"/>
  <c r="AK81" i="1"/>
  <c r="AL81" i="1"/>
  <c r="AM81" i="1"/>
  <c r="V82" i="1"/>
  <c r="Y82" i="1"/>
  <c r="AH82" i="1"/>
  <c r="AI82" i="1"/>
  <c r="AJ82" i="1"/>
  <c r="AK82" i="1"/>
  <c r="AL82" i="1"/>
  <c r="AM82" i="1"/>
  <c r="V83" i="1"/>
  <c r="Y83" i="1"/>
  <c r="AH83" i="1"/>
  <c r="AI83" i="1"/>
  <c r="AJ83" i="1"/>
  <c r="AK83" i="1"/>
  <c r="AL83" i="1"/>
  <c r="AM83" i="1"/>
  <c r="V84" i="1"/>
  <c r="Y84" i="1"/>
  <c r="AH84" i="1"/>
  <c r="AI84" i="1"/>
  <c r="AJ84" i="1"/>
  <c r="AK84" i="1"/>
  <c r="AL84" i="1"/>
  <c r="AM84" i="1"/>
  <c r="V85" i="1"/>
  <c r="Y85" i="1"/>
  <c r="AH85" i="1"/>
  <c r="AI85" i="1"/>
  <c r="AJ85" i="1"/>
  <c r="AK85" i="1"/>
  <c r="AL85" i="1"/>
  <c r="AM85" i="1"/>
  <c r="V86" i="1"/>
  <c r="Y86" i="1"/>
  <c r="AH86" i="1"/>
  <c r="AI86" i="1"/>
  <c r="AJ86" i="1"/>
  <c r="AK86" i="1"/>
  <c r="AL86" i="1"/>
  <c r="AM86" i="1"/>
  <c r="V87" i="1"/>
  <c r="Y87" i="1"/>
  <c r="AH87" i="1"/>
  <c r="AI87" i="1"/>
  <c r="AJ87" i="1"/>
  <c r="AK87" i="1"/>
  <c r="AL87" i="1"/>
  <c r="AM87" i="1"/>
  <c r="V88" i="1"/>
  <c r="Y88" i="1"/>
  <c r="AH88" i="1"/>
  <c r="AI88" i="1"/>
  <c r="AJ88" i="1"/>
  <c r="AK88" i="1"/>
  <c r="AL88" i="1"/>
  <c r="AM88" i="1"/>
  <c r="V89" i="1"/>
  <c r="Y89" i="1"/>
  <c r="AH89" i="1"/>
  <c r="AI89" i="1"/>
  <c r="AJ89" i="1"/>
  <c r="AK89" i="1"/>
  <c r="AL89" i="1"/>
  <c r="AM89" i="1"/>
  <c r="V90" i="1"/>
  <c r="Y90" i="1"/>
  <c r="AH90" i="1"/>
  <c r="AI90" i="1"/>
  <c r="AJ90" i="1"/>
  <c r="AK90" i="1"/>
  <c r="AL90" i="1"/>
  <c r="AM90" i="1"/>
  <c r="V91" i="1"/>
  <c r="Y91" i="1"/>
  <c r="AH91" i="1"/>
  <c r="AI91" i="1"/>
  <c r="AJ91" i="1"/>
  <c r="AK91" i="1"/>
  <c r="AL91" i="1"/>
  <c r="AM91" i="1"/>
  <c r="V92" i="1"/>
  <c r="Y92" i="1"/>
  <c r="AH92" i="1"/>
  <c r="AI92" i="1"/>
  <c r="AJ92" i="1"/>
  <c r="AK92" i="1"/>
  <c r="AL92" i="1"/>
  <c r="AM92" i="1"/>
  <c r="V93" i="1"/>
  <c r="Y93" i="1"/>
  <c r="AH93" i="1"/>
  <c r="AI93" i="1"/>
  <c r="AJ93" i="1"/>
  <c r="AK93" i="1"/>
  <c r="AL93" i="1"/>
  <c r="AM93" i="1"/>
  <c r="V94" i="1"/>
  <c r="Y94" i="1"/>
  <c r="AH94" i="1"/>
  <c r="AI94" i="1"/>
  <c r="AJ94" i="1"/>
  <c r="AK94" i="1"/>
  <c r="AL94" i="1"/>
  <c r="AM94" i="1"/>
  <c r="V95" i="1"/>
  <c r="Y95" i="1"/>
  <c r="AH95" i="1"/>
  <c r="AI95" i="1"/>
  <c r="AJ95" i="1"/>
  <c r="AK95" i="1"/>
  <c r="AL95" i="1"/>
  <c r="AM95" i="1"/>
  <c r="V96" i="1"/>
  <c r="Y96" i="1"/>
  <c r="AH96" i="1"/>
  <c r="AI96" i="1"/>
  <c r="AJ96" i="1"/>
  <c r="AK96" i="1"/>
  <c r="AL96" i="1"/>
  <c r="AM96" i="1"/>
  <c r="V97" i="1"/>
  <c r="Y97" i="1"/>
  <c r="AH97" i="1"/>
  <c r="AI97" i="1"/>
  <c r="AJ97" i="1"/>
  <c r="AK97" i="1"/>
  <c r="AL97" i="1"/>
  <c r="AM97" i="1"/>
  <c r="V98" i="1"/>
  <c r="Y98" i="1"/>
  <c r="AH98" i="1"/>
  <c r="AI98" i="1"/>
  <c r="AJ98" i="1"/>
  <c r="AK98" i="1"/>
  <c r="AL98" i="1"/>
  <c r="AM98" i="1"/>
  <c r="V99" i="1"/>
  <c r="Y99" i="1"/>
  <c r="AH99" i="1"/>
  <c r="AI99" i="1"/>
  <c r="AJ99" i="1"/>
  <c r="AK99" i="1"/>
  <c r="AL99" i="1"/>
  <c r="AM99" i="1"/>
  <c r="V100" i="1"/>
  <c r="Y100" i="1"/>
  <c r="AH100" i="1"/>
  <c r="AI100" i="1"/>
  <c r="AJ100" i="1"/>
  <c r="AK100" i="1"/>
  <c r="AL100" i="1"/>
  <c r="AM100" i="1"/>
  <c r="V101" i="1"/>
  <c r="Y101" i="1"/>
  <c r="AH101" i="1"/>
  <c r="AI101" i="1"/>
  <c r="AJ101" i="1"/>
  <c r="AK101" i="1"/>
  <c r="AL101" i="1"/>
  <c r="AM101" i="1"/>
  <c r="V102" i="1"/>
  <c r="Y102" i="1"/>
  <c r="AH102" i="1"/>
  <c r="AI102" i="1"/>
  <c r="AJ102" i="1"/>
  <c r="AK102" i="1"/>
  <c r="AL102" i="1"/>
  <c r="AM102" i="1"/>
  <c r="V103" i="1"/>
  <c r="Y103" i="1"/>
  <c r="AH103" i="1"/>
  <c r="AI103" i="1"/>
  <c r="AJ103" i="1"/>
  <c r="AK103" i="1"/>
  <c r="AL103" i="1"/>
  <c r="AM103" i="1"/>
  <c r="V104" i="1"/>
  <c r="Y104" i="1"/>
  <c r="AH104" i="1"/>
  <c r="AI104" i="1"/>
  <c r="AJ104" i="1"/>
  <c r="AK104" i="1"/>
  <c r="AL104" i="1"/>
  <c r="AM104" i="1"/>
  <c r="V105" i="1"/>
  <c r="Y105" i="1"/>
  <c r="AH105" i="1"/>
  <c r="AI105" i="1"/>
  <c r="AJ105" i="1"/>
  <c r="AK105" i="1"/>
  <c r="AL105" i="1"/>
  <c r="AM105" i="1"/>
  <c r="AJ6" i="1"/>
  <c r="B20" i="17"/>
  <c r="F20" i="17" s="1"/>
  <c r="B22" i="17"/>
  <c r="A102" i="17"/>
  <c r="B102" i="17"/>
  <c r="F102" i="17" s="1"/>
  <c r="A103" i="17"/>
  <c r="B103" i="17"/>
  <c r="F103" i="17" s="1"/>
  <c r="A104" i="17"/>
  <c r="B104" i="17"/>
  <c r="F104" i="17" s="1"/>
  <c r="A105" i="17"/>
  <c r="B105" i="17"/>
  <c r="F105" i="17" s="1"/>
  <c r="B3" i="4"/>
  <c r="F3" i="4" s="1"/>
  <c r="B4" i="4"/>
  <c r="F4" i="4" s="1"/>
  <c r="B5" i="4"/>
  <c r="F5" i="4" s="1"/>
  <c r="G5" i="4" s="1"/>
  <c r="AB9" i="1" s="1"/>
  <c r="B5" i="17" s="1"/>
  <c r="B6" i="4"/>
  <c r="B7" i="4"/>
  <c r="F7" i="4" s="1"/>
  <c r="B8" i="4"/>
  <c r="F8" i="4" s="1"/>
  <c r="B9" i="4"/>
  <c r="F9" i="4" s="1"/>
  <c r="B10" i="4"/>
  <c r="F10" i="4" s="1"/>
  <c r="G10" i="4"/>
  <c r="AB14" i="1" s="1"/>
  <c r="B10" i="17" s="1"/>
  <c r="B11" i="4"/>
  <c r="F11" i="4" s="1"/>
  <c r="B12" i="4"/>
  <c r="F12" i="4" s="1"/>
  <c r="B13" i="4"/>
  <c r="F13" i="4" s="1"/>
  <c r="B14" i="4"/>
  <c r="F14" i="4" s="1"/>
  <c r="G14" i="4"/>
  <c r="AB18" i="1" s="1"/>
  <c r="B14" i="17" s="1"/>
  <c r="B15" i="4"/>
  <c r="F15" i="4" s="1"/>
  <c r="B16" i="4"/>
  <c r="F16" i="4" s="1"/>
  <c r="B17" i="4"/>
  <c r="F17" i="4" s="1"/>
  <c r="B18" i="4"/>
  <c r="F18" i="4" s="1"/>
  <c r="G18" i="4"/>
  <c r="AB22" i="1" s="1"/>
  <c r="B18" i="17" s="1"/>
  <c r="B19" i="4"/>
  <c r="F19" i="4" s="1"/>
  <c r="B20" i="4"/>
  <c r="F20" i="4" s="1"/>
  <c r="G20" i="4"/>
  <c r="AB24" i="1" s="1"/>
  <c r="B21" i="4"/>
  <c r="F21" i="4" s="1"/>
  <c r="B22" i="4"/>
  <c r="F22" i="4" s="1"/>
  <c r="G22" i="4"/>
  <c r="AB26" i="1" s="1"/>
  <c r="B23" i="4"/>
  <c r="F23" i="4" s="1"/>
  <c r="B24" i="4"/>
  <c r="F24" i="4" s="1"/>
  <c r="G24" i="4"/>
  <c r="AB28" i="1" s="1"/>
  <c r="B24" i="17" s="1"/>
  <c r="F24" i="17" s="1"/>
  <c r="B25" i="4"/>
  <c r="F25" i="4" s="1"/>
  <c r="B26" i="4"/>
  <c r="F26" i="4" s="1"/>
  <c r="G26" i="4"/>
  <c r="AB30" i="1" s="1"/>
  <c r="B26" i="17" s="1"/>
  <c r="B27" i="4"/>
  <c r="F27" i="4" s="1"/>
  <c r="B28" i="4"/>
  <c r="F28" i="4" s="1"/>
  <c r="G28" i="4"/>
  <c r="AB32" i="1" s="1"/>
  <c r="B28" i="17" s="1"/>
  <c r="F28" i="17" s="1"/>
  <c r="B29" i="4"/>
  <c r="F29" i="4" s="1"/>
  <c r="B30" i="4"/>
  <c r="F30" i="4" s="1"/>
  <c r="G30" i="4"/>
  <c r="AB34" i="1" s="1"/>
  <c r="B30" i="17" s="1"/>
  <c r="B31" i="4"/>
  <c r="F31" i="4" s="1"/>
  <c r="B32" i="4"/>
  <c r="F32" i="4" s="1"/>
  <c r="G32" i="4"/>
  <c r="AB36" i="1" s="1"/>
  <c r="B32" i="17" s="1"/>
  <c r="F32" i="17" s="1"/>
  <c r="B33" i="4"/>
  <c r="F33" i="4" s="1"/>
  <c r="B34" i="4"/>
  <c r="F34" i="4" s="1"/>
  <c r="G34" i="4"/>
  <c r="AB38" i="1" s="1"/>
  <c r="B34" i="17" s="1"/>
  <c r="B35" i="4"/>
  <c r="F35" i="4" s="1"/>
  <c r="B36" i="4"/>
  <c r="F36" i="4" s="1"/>
  <c r="G36" i="4"/>
  <c r="AB40" i="1" s="1"/>
  <c r="B36" i="17" s="1"/>
  <c r="F36" i="17" s="1"/>
  <c r="B37" i="4"/>
  <c r="F37" i="4" s="1"/>
  <c r="B38" i="4"/>
  <c r="F38" i="4" s="1"/>
  <c r="G38" i="4"/>
  <c r="AB42" i="1" s="1"/>
  <c r="B38" i="17" s="1"/>
  <c r="B39" i="4"/>
  <c r="F39" i="4" s="1"/>
  <c r="B40" i="4"/>
  <c r="F40" i="4" s="1"/>
  <c r="G40" i="4"/>
  <c r="AB44" i="1" s="1"/>
  <c r="B40" i="17" s="1"/>
  <c r="F40" i="17" s="1"/>
  <c r="B41" i="4"/>
  <c r="F41" i="4" s="1"/>
  <c r="B42" i="4"/>
  <c r="F42" i="4" s="1"/>
  <c r="G42" i="4"/>
  <c r="B43" i="4"/>
  <c r="F43" i="4" s="1"/>
  <c r="B44" i="4"/>
  <c r="F44" i="4" s="1"/>
  <c r="G44" i="4"/>
  <c r="AB48" i="1" s="1"/>
  <c r="B44" i="17" s="1"/>
  <c r="F44" i="17" s="1"/>
  <c r="B45" i="4"/>
  <c r="F45" i="4" s="1"/>
  <c r="B46" i="4"/>
  <c r="F46" i="4" s="1"/>
  <c r="G46" i="4"/>
  <c r="AB50" i="1" s="1"/>
  <c r="B46" i="17" s="1"/>
  <c r="B47" i="4"/>
  <c r="F47" i="4" s="1"/>
  <c r="B48" i="4"/>
  <c r="F48" i="4" s="1"/>
  <c r="G48" i="4"/>
  <c r="AB52" i="1" s="1"/>
  <c r="B48" i="17" s="1"/>
  <c r="F48" i="17" s="1"/>
  <c r="B49" i="4"/>
  <c r="F49" i="4" s="1"/>
  <c r="B50" i="4"/>
  <c r="F50" i="4" s="1"/>
  <c r="G50" i="4"/>
  <c r="AB54" i="1" s="1"/>
  <c r="B50" i="17" s="1"/>
  <c r="B51" i="4"/>
  <c r="F51" i="4" s="1"/>
  <c r="B52" i="4"/>
  <c r="F52" i="4" s="1"/>
  <c r="G52" i="4"/>
  <c r="AB56" i="1" s="1"/>
  <c r="B52" i="17" s="1"/>
  <c r="F52" i="17" s="1"/>
  <c r="B53" i="4"/>
  <c r="F53" i="4" s="1"/>
  <c r="B54" i="4"/>
  <c r="F54" i="4" s="1"/>
  <c r="G54" i="4"/>
  <c r="B55" i="4"/>
  <c r="F55" i="4" s="1"/>
  <c r="B56" i="4"/>
  <c r="F56" i="4" s="1"/>
  <c r="G56" i="4"/>
  <c r="AB60" i="1" s="1"/>
  <c r="B56" i="17" s="1"/>
  <c r="F56" i="17" s="1"/>
  <c r="B57" i="4"/>
  <c r="F57" i="4" s="1"/>
  <c r="B58" i="4"/>
  <c r="F58" i="4" s="1"/>
  <c r="G58" i="4"/>
  <c r="AB62" i="1" s="1"/>
  <c r="B58" i="17" s="1"/>
  <c r="B59" i="4"/>
  <c r="F59" i="4" s="1"/>
  <c r="B60" i="4"/>
  <c r="F60" i="4" s="1"/>
  <c r="G60" i="4"/>
  <c r="AB64" i="1" s="1"/>
  <c r="B60" i="17" s="1"/>
  <c r="F60" i="17" s="1"/>
  <c r="B61" i="4"/>
  <c r="F61" i="4" s="1"/>
  <c r="B62" i="4"/>
  <c r="F62" i="4" s="1"/>
  <c r="G62" i="4"/>
  <c r="AB66" i="1" s="1"/>
  <c r="B62" i="17" s="1"/>
  <c r="B63" i="4"/>
  <c r="F63" i="4" s="1"/>
  <c r="B64" i="4"/>
  <c r="F64" i="4" s="1"/>
  <c r="G64" i="4"/>
  <c r="AB68" i="1" s="1"/>
  <c r="B64" i="17" s="1"/>
  <c r="F64" i="17" s="1"/>
  <c r="B65" i="4"/>
  <c r="F65" i="4" s="1"/>
  <c r="B66" i="4"/>
  <c r="F66" i="4" s="1"/>
  <c r="G66" i="4"/>
  <c r="AB70" i="1" s="1"/>
  <c r="B66" i="17" s="1"/>
  <c r="B67" i="4"/>
  <c r="F67" i="4" s="1"/>
  <c r="B68" i="4"/>
  <c r="F68" i="4" s="1"/>
  <c r="G68" i="4"/>
  <c r="AB72" i="1" s="1"/>
  <c r="B68" i="17" s="1"/>
  <c r="F68" i="17" s="1"/>
  <c r="B69" i="4"/>
  <c r="F69" i="4" s="1"/>
  <c r="B70" i="4"/>
  <c r="F70" i="4" s="1"/>
  <c r="G70" i="4"/>
  <c r="AB74" i="1" s="1"/>
  <c r="B70" i="17" s="1"/>
  <c r="B71" i="4"/>
  <c r="F71" i="4" s="1"/>
  <c r="B72" i="4"/>
  <c r="F72" i="4" s="1"/>
  <c r="G72" i="4"/>
  <c r="AB76" i="1" s="1"/>
  <c r="B72" i="17" s="1"/>
  <c r="F72" i="17" s="1"/>
  <c r="B73" i="4"/>
  <c r="F73" i="4" s="1"/>
  <c r="B74" i="4"/>
  <c r="F74" i="4" s="1"/>
  <c r="G74" i="4"/>
  <c r="AB78" i="1" s="1"/>
  <c r="B74" i="17" s="1"/>
  <c r="B75" i="4"/>
  <c r="F75" i="4" s="1"/>
  <c r="B76" i="4"/>
  <c r="F76" i="4" s="1"/>
  <c r="G76" i="4"/>
  <c r="AB80" i="1" s="1"/>
  <c r="B76" i="17" s="1"/>
  <c r="F76" i="17" s="1"/>
  <c r="B77" i="4"/>
  <c r="F77" i="4" s="1"/>
  <c r="B78" i="4"/>
  <c r="F78" i="4" s="1"/>
  <c r="G78" i="4"/>
  <c r="AB82" i="1" s="1"/>
  <c r="B78" i="17" s="1"/>
  <c r="B79" i="4"/>
  <c r="F79" i="4" s="1"/>
  <c r="B80" i="4"/>
  <c r="F80" i="4" s="1"/>
  <c r="G80" i="4"/>
  <c r="AB84" i="1" s="1"/>
  <c r="B80" i="17" s="1"/>
  <c r="F80" i="17" s="1"/>
  <c r="B81" i="4"/>
  <c r="F81" i="4" s="1"/>
  <c r="B82" i="4"/>
  <c r="F82" i="4" s="1"/>
  <c r="G82" i="4"/>
  <c r="AB86" i="1" s="1"/>
  <c r="B82" i="17" s="1"/>
  <c r="B83" i="4"/>
  <c r="F83" i="4" s="1"/>
  <c r="B84" i="4"/>
  <c r="F84" i="4" s="1"/>
  <c r="G84" i="4"/>
  <c r="AB88" i="1" s="1"/>
  <c r="B84" i="17" s="1"/>
  <c r="F84" i="17" s="1"/>
  <c r="B85" i="4"/>
  <c r="F85" i="4" s="1"/>
  <c r="B86" i="4"/>
  <c r="F86" i="4" s="1"/>
  <c r="G86" i="4"/>
  <c r="AB90" i="1" s="1"/>
  <c r="B86" i="17" s="1"/>
  <c r="B87" i="4"/>
  <c r="F87" i="4" s="1"/>
  <c r="B88" i="4"/>
  <c r="G88" i="4" s="1"/>
  <c r="AB92" i="1" s="1"/>
  <c r="B88" i="17" s="1"/>
  <c r="F88" i="17" s="1"/>
  <c r="F88" i="4"/>
  <c r="B89" i="4"/>
  <c r="G89" i="4" s="1"/>
  <c r="AB93" i="1" s="1"/>
  <c r="B89" i="17" s="1"/>
  <c r="F89" i="17" s="1"/>
  <c r="F89" i="4"/>
  <c r="B90" i="4"/>
  <c r="G90" i="4" s="1"/>
  <c r="AB94" i="1" s="1"/>
  <c r="B90" i="17" s="1"/>
  <c r="F90" i="17" s="1"/>
  <c r="F90" i="4"/>
  <c r="B91" i="4"/>
  <c r="G91" i="4" s="1"/>
  <c r="AB95" i="1" s="1"/>
  <c r="B91" i="17" s="1"/>
  <c r="F91" i="17" s="1"/>
  <c r="F91" i="4"/>
  <c r="B92" i="4"/>
  <c r="G92" i="4" s="1"/>
  <c r="AB96" i="1" s="1"/>
  <c r="B92" i="17" s="1"/>
  <c r="F92" i="17" s="1"/>
  <c r="F92" i="4"/>
  <c r="B93" i="4"/>
  <c r="G93" i="4" s="1"/>
  <c r="AB97" i="1" s="1"/>
  <c r="B93" i="17" s="1"/>
  <c r="F93" i="17" s="1"/>
  <c r="F93" i="4"/>
  <c r="B94" i="4"/>
  <c r="G94" i="4" s="1"/>
  <c r="AB98" i="1" s="1"/>
  <c r="B94" i="17" s="1"/>
  <c r="F94" i="17" s="1"/>
  <c r="F94" i="4"/>
  <c r="B95" i="4"/>
  <c r="G95" i="4" s="1"/>
  <c r="AB99" i="1" s="1"/>
  <c r="B95" i="17" s="1"/>
  <c r="F95" i="17" s="1"/>
  <c r="F95" i="4"/>
  <c r="B96" i="4"/>
  <c r="G96" i="4" s="1"/>
  <c r="AB100" i="1" s="1"/>
  <c r="B96" i="17" s="1"/>
  <c r="F96" i="17" s="1"/>
  <c r="F96" i="4"/>
  <c r="B97" i="4"/>
  <c r="G97" i="4" s="1"/>
  <c r="AB101" i="1" s="1"/>
  <c r="B97" i="17" s="1"/>
  <c r="F97" i="17" s="1"/>
  <c r="F97" i="4"/>
  <c r="B98" i="4"/>
  <c r="G98" i="4" s="1"/>
  <c r="AB102" i="1" s="1"/>
  <c r="B98" i="17" s="1"/>
  <c r="F98" i="17" s="1"/>
  <c r="F98" i="4"/>
  <c r="B99" i="4"/>
  <c r="G99" i="4" s="1"/>
  <c r="AB103" i="1" s="1"/>
  <c r="B99" i="17" s="1"/>
  <c r="F99" i="17" s="1"/>
  <c r="F99" i="4"/>
  <c r="B100" i="4"/>
  <c r="G100" i="4" s="1"/>
  <c r="AB104" i="1" s="1"/>
  <c r="B100" i="17" s="1"/>
  <c r="F100" i="17" s="1"/>
  <c r="F100" i="4"/>
  <c r="B101" i="4"/>
  <c r="G101" i="4" s="1"/>
  <c r="AB105" i="1" s="1"/>
  <c r="B101" i="17" s="1"/>
  <c r="F101" i="17" s="1"/>
  <c r="F101" i="4"/>
  <c r="A102" i="4"/>
  <c r="B102" i="4"/>
  <c r="G102" i="4" s="1"/>
  <c r="F102" i="4"/>
  <c r="A103" i="4"/>
  <c r="B103" i="4"/>
  <c r="G103" i="4" s="1"/>
  <c r="F103" i="4"/>
  <c r="A104" i="4"/>
  <c r="B104" i="4"/>
  <c r="G104" i="4" s="1"/>
  <c r="F104" i="4"/>
  <c r="A105" i="4"/>
  <c r="B105" i="4"/>
  <c r="G105" i="4" s="1"/>
  <c r="F105" i="4"/>
  <c r="G2" i="4"/>
  <c r="F2" i="4"/>
  <c r="B3" i="3"/>
  <c r="H3" i="3" s="1"/>
  <c r="B4" i="3"/>
  <c r="H4" i="3" s="1"/>
  <c r="B5" i="3"/>
  <c r="H5" i="3" s="1"/>
  <c r="B6" i="3"/>
  <c r="B7" i="3"/>
  <c r="H7" i="3" s="1"/>
  <c r="B8" i="3"/>
  <c r="H8" i="3" s="1"/>
  <c r="B9" i="3"/>
  <c r="H9" i="3" s="1"/>
  <c r="B10" i="3"/>
  <c r="H10" i="3"/>
  <c r="I10" i="3"/>
  <c r="Y14" i="1" s="1"/>
  <c r="B11" i="3"/>
  <c r="H11" i="3" s="1"/>
  <c r="B12" i="3"/>
  <c r="H12" i="3" s="1"/>
  <c r="B13" i="3"/>
  <c r="H13" i="3"/>
  <c r="I13" i="3"/>
  <c r="B14" i="3"/>
  <c r="H14" i="3"/>
  <c r="I14" i="3"/>
  <c r="B15" i="3"/>
  <c r="H15" i="3" s="1"/>
  <c r="B16" i="3"/>
  <c r="H16" i="3" s="1"/>
  <c r="B17" i="3"/>
  <c r="H17" i="3"/>
  <c r="I17" i="3"/>
  <c r="B18" i="3"/>
  <c r="H18" i="3"/>
  <c r="I18" i="3"/>
  <c r="B19" i="3"/>
  <c r="H19" i="3" s="1"/>
  <c r="B20" i="3"/>
  <c r="H20" i="3" s="1"/>
  <c r="B21" i="3"/>
  <c r="H21" i="3"/>
  <c r="I21" i="3"/>
  <c r="B22" i="3"/>
  <c r="H22" i="3"/>
  <c r="I22" i="3"/>
  <c r="B23" i="3"/>
  <c r="H23" i="3" s="1"/>
  <c r="B24" i="3"/>
  <c r="H24" i="3" s="1"/>
  <c r="B25" i="3"/>
  <c r="H25" i="3"/>
  <c r="I25" i="3"/>
  <c r="B26" i="3"/>
  <c r="H26" i="3"/>
  <c r="I26" i="3"/>
  <c r="B27" i="3"/>
  <c r="H27" i="3" s="1"/>
  <c r="B28" i="3"/>
  <c r="H28" i="3" s="1"/>
  <c r="B29" i="3"/>
  <c r="H29" i="3"/>
  <c r="I29" i="3"/>
  <c r="B30" i="3"/>
  <c r="H30" i="3"/>
  <c r="I30" i="3"/>
  <c r="B31" i="3"/>
  <c r="H31" i="3" s="1"/>
  <c r="B32" i="3"/>
  <c r="H32" i="3" s="1"/>
  <c r="B33" i="3"/>
  <c r="H33" i="3"/>
  <c r="I33" i="3"/>
  <c r="B34" i="3"/>
  <c r="H34" i="3"/>
  <c r="I34" i="3"/>
  <c r="B35" i="3"/>
  <c r="H35" i="3" s="1"/>
  <c r="B36" i="3"/>
  <c r="H36" i="3" s="1"/>
  <c r="B37" i="3"/>
  <c r="H37" i="3"/>
  <c r="I37" i="3"/>
  <c r="B38" i="3"/>
  <c r="H38" i="3"/>
  <c r="I38" i="3"/>
  <c r="B39" i="3"/>
  <c r="H39" i="3" s="1"/>
  <c r="B40" i="3"/>
  <c r="H40" i="3" s="1"/>
  <c r="B41" i="3"/>
  <c r="H41" i="3"/>
  <c r="I41" i="3"/>
  <c r="B42" i="3"/>
  <c r="H42" i="3"/>
  <c r="I42" i="3"/>
  <c r="B43" i="3"/>
  <c r="H43" i="3" s="1"/>
  <c r="B44" i="3"/>
  <c r="H44" i="3" s="1"/>
  <c r="B45" i="3"/>
  <c r="H45" i="3"/>
  <c r="I45" i="3"/>
  <c r="B46" i="3"/>
  <c r="H46" i="3"/>
  <c r="I46" i="3"/>
  <c r="B47" i="3"/>
  <c r="H47" i="3" s="1"/>
  <c r="B48" i="3"/>
  <c r="H48" i="3" s="1"/>
  <c r="B49" i="3"/>
  <c r="H49" i="3"/>
  <c r="I49" i="3"/>
  <c r="B50" i="3"/>
  <c r="H50" i="3"/>
  <c r="I50" i="3"/>
  <c r="B51" i="3"/>
  <c r="H51" i="3" s="1"/>
  <c r="B52" i="3"/>
  <c r="H52" i="3" s="1"/>
  <c r="B53" i="3"/>
  <c r="I53" i="3" s="1"/>
  <c r="H53" i="3"/>
  <c r="B54" i="3"/>
  <c r="H54" i="3"/>
  <c r="I54" i="3"/>
  <c r="B55" i="3"/>
  <c r="H55" i="3" s="1"/>
  <c r="B56" i="3"/>
  <c r="H56" i="3" s="1"/>
  <c r="B57" i="3"/>
  <c r="I57" i="3" s="1"/>
  <c r="H57" i="3"/>
  <c r="B58" i="3"/>
  <c r="H58" i="3"/>
  <c r="I58" i="3"/>
  <c r="B59" i="3"/>
  <c r="H59" i="3" s="1"/>
  <c r="I59" i="3"/>
  <c r="B60" i="3"/>
  <c r="H60" i="3" s="1"/>
  <c r="B61" i="3"/>
  <c r="I61" i="3" s="1"/>
  <c r="H61" i="3"/>
  <c r="B62" i="3"/>
  <c r="H62" i="3"/>
  <c r="I62" i="3"/>
  <c r="B63" i="3"/>
  <c r="H63" i="3" s="1"/>
  <c r="I63" i="3"/>
  <c r="B64" i="3"/>
  <c r="H64" i="3" s="1"/>
  <c r="B65" i="3"/>
  <c r="I65" i="3" s="1"/>
  <c r="H65" i="3"/>
  <c r="B66" i="3"/>
  <c r="H66" i="3"/>
  <c r="I66" i="3"/>
  <c r="B67" i="3"/>
  <c r="H67" i="3" s="1"/>
  <c r="I67" i="3"/>
  <c r="B68" i="3"/>
  <c r="H68" i="3" s="1"/>
  <c r="B69" i="3"/>
  <c r="I69" i="3" s="1"/>
  <c r="H69" i="3"/>
  <c r="B70" i="3"/>
  <c r="H70" i="3"/>
  <c r="I70" i="3"/>
  <c r="B71" i="3"/>
  <c r="H71" i="3" s="1"/>
  <c r="I71" i="3"/>
  <c r="B72" i="3"/>
  <c r="H72" i="3" s="1"/>
  <c r="B73" i="3"/>
  <c r="I73" i="3" s="1"/>
  <c r="H73" i="3"/>
  <c r="B74" i="3"/>
  <c r="H74" i="3"/>
  <c r="I74" i="3"/>
  <c r="B75" i="3"/>
  <c r="H75" i="3" s="1"/>
  <c r="I75" i="3"/>
  <c r="B76" i="3"/>
  <c r="H76" i="3" s="1"/>
  <c r="B77" i="3"/>
  <c r="I77" i="3" s="1"/>
  <c r="H77" i="3"/>
  <c r="B78" i="3"/>
  <c r="H78" i="3"/>
  <c r="I78" i="3"/>
  <c r="B79" i="3"/>
  <c r="H79" i="3" s="1"/>
  <c r="I79" i="3"/>
  <c r="B80" i="3"/>
  <c r="H80" i="3" s="1"/>
  <c r="B81" i="3"/>
  <c r="I81" i="3" s="1"/>
  <c r="H81" i="3"/>
  <c r="B82" i="3"/>
  <c r="H82" i="3"/>
  <c r="I82" i="3"/>
  <c r="B83" i="3"/>
  <c r="H83" i="3" s="1"/>
  <c r="I83" i="3"/>
  <c r="B84" i="3"/>
  <c r="H84" i="3" s="1"/>
  <c r="B85" i="3"/>
  <c r="I85" i="3" s="1"/>
  <c r="H85" i="3"/>
  <c r="B86" i="3"/>
  <c r="H86" i="3"/>
  <c r="I86" i="3"/>
  <c r="B87" i="3"/>
  <c r="H87" i="3" s="1"/>
  <c r="I87" i="3"/>
  <c r="B88" i="3"/>
  <c r="H88" i="3" s="1"/>
  <c r="B89" i="3"/>
  <c r="I89" i="3" s="1"/>
  <c r="H89" i="3"/>
  <c r="B90" i="3"/>
  <c r="H90" i="3"/>
  <c r="I90" i="3"/>
  <c r="B91" i="3"/>
  <c r="H91" i="3" s="1"/>
  <c r="I91" i="3"/>
  <c r="B92" i="3"/>
  <c r="H92" i="3" s="1"/>
  <c r="B93" i="3"/>
  <c r="I93" i="3" s="1"/>
  <c r="H93" i="3"/>
  <c r="B94" i="3"/>
  <c r="H94" i="3"/>
  <c r="I94" i="3"/>
  <c r="B95" i="3"/>
  <c r="H95" i="3" s="1"/>
  <c r="I95" i="3"/>
  <c r="B96" i="3"/>
  <c r="H96" i="3" s="1"/>
  <c r="B97" i="3"/>
  <c r="I97" i="3" s="1"/>
  <c r="H97" i="3"/>
  <c r="B98" i="3"/>
  <c r="H98" i="3"/>
  <c r="I98" i="3"/>
  <c r="B99" i="3"/>
  <c r="H99" i="3" s="1"/>
  <c r="I99" i="3"/>
  <c r="B100" i="3"/>
  <c r="H100" i="3" s="1"/>
  <c r="B101" i="3"/>
  <c r="I101" i="3" s="1"/>
  <c r="H101" i="3"/>
  <c r="B102" i="3"/>
  <c r="H102" i="3"/>
  <c r="I102" i="3"/>
  <c r="B103" i="3"/>
  <c r="H103" i="3" s="1"/>
  <c r="I103" i="3"/>
  <c r="B104" i="3"/>
  <c r="H104" i="3" s="1"/>
  <c r="B105" i="3"/>
  <c r="I105" i="3" s="1"/>
  <c r="H105" i="3"/>
  <c r="I2" i="3"/>
  <c r="H2" i="3"/>
  <c r="B3" i="2"/>
  <c r="H3" i="2" s="1"/>
  <c r="B4" i="2"/>
  <c r="H4" i="2" s="1"/>
  <c r="B5" i="2"/>
  <c r="H5" i="2" s="1"/>
  <c r="I5" i="2" s="1"/>
  <c r="V9" i="1" s="1"/>
  <c r="B6" i="2"/>
  <c r="H6" i="2" s="1"/>
  <c r="B7" i="2"/>
  <c r="H7" i="2" s="1"/>
  <c r="B8" i="2"/>
  <c r="H8" i="2" s="1"/>
  <c r="B9" i="2"/>
  <c r="I9" i="2" s="1"/>
  <c r="V13" i="1" s="1"/>
  <c r="B10" i="2"/>
  <c r="H10" i="2"/>
  <c r="I10" i="2"/>
  <c r="V14" i="1" s="1"/>
  <c r="B11" i="2"/>
  <c r="H11" i="2" s="1"/>
  <c r="B12" i="2"/>
  <c r="H12" i="2" s="1"/>
  <c r="B13" i="2"/>
  <c r="H13" i="2"/>
  <c r="I13" i="2"/>
  <c r="B14" i="2"/>
  <c r="H14" i="2"/>
  <c r="I14" i="2"/>
  <c r="B15" i="2"/>
  <c r="H15" i="2" s="1"/>
  <c r="B16" i="2"/>
  <c r="H16" i="2" s="1"/>
  <c r="B17" i="2"/>
  <c r="H17" i="2"/>
  <c r="I17" i="2"/>
  <c r="B18" i="2"/>
  <c r="H18" i="2"/>
  <c r="I18" i="2"/>
  <c r="B19" i="2"/>
  <c r="H19" i="2" s="1"/>
  <c r="B20" i="2"/>
  <c r="H20" i="2" s="1"/>
  <c r="B21" i="2"/>
  <c r="H21" i="2"/>
  <c r="I21" i="2"/>
  <c r="B22" i="2"/>
  <c r="H22" i="2"/>
  <c r="I22" i="2"/>
  <c r="B23" i="2"/>
  <c r="H23" i="2" s="1"/>
  <c r="B24" i="2"/>
  <c r="H24" i="2" s="1"/>
  <c r="B25" i="2"/>
  <c r="H25" i="2"/>
  <c r="I25" i="2"/>
  <c r="B26" i="2"/>
  <c r="H26" i="2"/>
  <c r="I26" i="2"/>
  <c r="B27" i="2"/>
  <c r="H27" i="2" s="1"/>
  <c r="B28" i="2"/>
  <c r="H28" i="2" s="1"/>
  <c r="B29" i="2"/>
  <c r="H29" i="2"/>
  <c r="I29" i="2"/>
  <c r="B30" i="2"/>
  <c r="H30" i="2"/>
  <c r="I30" i="2"/>
  <c r="B31" i="2"/>
  <c r="H31" i="2" s="1"/>
  <c r="B32" i="2"/>
  <c r="H32" i="2" s="1"/>
  <c r="B33" i="2"/>
  <c r="H33" i="2"/>
  <c r="I33" i="2"/>
  <c r="B34" i="2"/>
  <c r="H34" i="2"/>
  <c r="I34" i="2"/>
  <c r="B35" i="2"/>
  <c r="H35" i="2" s="1"/>
  <c r="B36" i="2"/>
  <c r="H36" i="2" s="1"/>
  <c r="B37" i="2"/>
  <c r="H37" i="2"/>
  <c r="I37" i="2"/>
  <c r="B38" i="2"/>
  <c r="H38" i="2"/>
  <c r="I38" i="2"/>
  <c r="B39" i="2"/>
  <c r="H39" i="2" s="1"/>
  <c r="B40" i="2"/>
  <c r="H40" i="2" s="1"/>
  <c r="B41" i="2"/>
  <c r="H41" i="2"/>
  <c r="I41" i="2"/>
  <c r="B42" i="2"/>
  <c r="H42" i="2"/>
  <c r="I42" i="2"/>
  <c r="B43" i="2"/>
  <c r="H43" i="2" s="1"/>
  <c r="B44" i="2"/>
  <c r="H44" i="2" s="1"/>
  <c r="B45" i="2"/>
  <c r="H45" i="2"/>
  <c r="I45" i="2"/>
  <c r="B46" i="2"/>
  <c r="H46" i="2"/>
  <c r="I46" i="2"/>
  <c r="B47" i="2"/>
  <c r="H47" i="2" s="1"/>
  <c r="B48" i="2"/>
  <c r="H48" i="2" s="1"/>
  <c r="B49" i="2"/>
  <c r="H49" i="2"/>
  <c r="I49" i="2"/>
  <c r="B50" i="2"/>
  <c r="H50" i="2"/>
  <c r="I50" i="2"/>
  <c r="B51" i="2"/>
  <c r="H51" i="2" s="1"/>
  <c r="B52" i="2"/>
  <c r="H52" i="2" s="1"/>
  <c r="B53" i="2"/>
  <c r="H53" i="2"/>
  <c r="I53" i="2"/>
  <c r="B54" i="2"/>
  <c r="H54" i="2"/>
  <c r="I54" i="2"/>
  <c r="B55" i="2"/>
  <c r="H55" i="2" s="1"/>
  <c r="B56" i="2"/>
  <c r="H56" i="2" s="1"/>
  <c r="B57" i="2"/>
  <c r="H57" i="2"/>
  <c r="I57" i="2"/>
  <c r="B58" i="2"/>
  <c r="H58" i="2"/>
  <c r="I58" i="2"/>
  <c r="B59" i="2"/>
  <c r="H59" i="2" s="1"/>
  <c r="B60" i="2"/>
  <c r="H60" i="2" s="1"/>
  <c r="B61" i="2"/>
  <c r="I61" i="2" s="1"/>
  <c r="H61" i="2"/>
  <c r="B62" i="2"/>
  <c r="H62" i="2"/>
  <c r="I62" i="2"/>
  <c r="B63" i="2"/>
  <c r="H63" i="2" s="1"/>
  <c r="I63" i="2"/>
  <c r="B64" i="2"/>
  <c r="H64" i="2" s="1"/>
  <c r="B65" i="2"/>
  <c r="I65" i="2" s="1"/>
  <c r="H65" i="2"/>
  <c r="B66" i="2"/>
  <c r="H66" i="2"/>
  <c r="I66" i="2"/>
  <c r="B67" i="2"/>
  <c r="H67" i="2" s="1"/>
  <c r="I67" i="2"/>
  <c r="B68" i="2"/>
  <c r="H68" i="2" s="1"/>
  <c r="B69" i="2"/>
  <c r="I69" i="2" s="1"/>
  <c r="H69" i="2"/>
  <c r="B70" i="2"/>
  <c r="H70" i="2"/>
  <c r="I70" i="2"/>
  <c r="B71" i="2"/>
  <c r="H71" i="2" s="1"/>
  <c r="I71" i="2"/>
  <c r="B72" i="2"/>
  <c r="H72" i="2" s="1"/>
  <c r="B73" i="2"/>
  <c r="I73" i="2" s="1"/>
  <c r="H73" i="2"/>
  <c r="B74" i="2"/>
  <c r="H74" i="2"/>
  <c r="I74" i="2"/>
  <c r="B75" i="2"/>
  <c r="H75" i="2" s="1"/>
  <c r="I75" i="2"/>
  <c r="B76" i="2"/>
  <c r="H76" i="2" s="1"/>
  <c r="B77" i="2"/>
  <c r="I77" i="2" s="1"/>
  <c r="H77" i="2"/>
  <c r="B78" i="2"/>
  <c r="H78" i="2"/>
  <c r="I78" i="2"/>
  <c r="B79" i="2"/>
  <c r="H79" i="2" s="1"/>
  <c r="I79" i="2"/>
  <c r="B80" i="2"/>
  <c r="H80" i="2" s="1"/>
  <c r="B81" i="2"/>
  <c r="I81" i="2" s="1"/>
  <c r="H81" i="2"/>
  <c r="B82" i="2"/>
  <c r="H82" i="2"/>
  <c r="I82" i="2"/>
  <c r="B83" i="2"/>
  <c r="H83" i="2" s="1"/>
  <c r="I83" i="2"/>
  <c r="B84" i="2"/>
  <c r="H84" i="2" s="1"/>
  <c r="B85" i="2"/>
  <c r="I85" i="2" s="1"/>
  <c r="H85" i="2"/>
  <c r="B86" i="2"/>
  <c r="H86" i="2"/>
  <c r="I86" i="2"/>
  <c r="B87" i="2"/>
  <c r="H87" i="2" s="1"/>
  <c r="I87" i="2"/>
  <c r="B88" i="2"/>
  <c r="H88" i="2" s="1"/>
  <c r="B89" i="2"/>
  <c r="I89" i="2" s="1"/>
  <c r="H89" i="2"/>
  <c r="B90" i="2"/>
  <c r="H90" i="2"/>
  <c r="I90" i="2"/>
  <c r="B91" i="2"/>
  <c r="H91" i="2" s="1"/>
  <c r="I91" i="2"/>
  <c r="B92" i="2"/>
  <c r="H92" i="2" s="1"/>
  <c r="B93" i="2"/>
  <c r="I93" i="2" s="1"/>
  <c r="H93" i="2"/>
  <c r="B94" i="2"/>
  <c r="H94" i="2"/>
  <c r="I94" i="2"/>
  <c r="B95" i="2"/>
  <c r="H95" i="2" s="1"/>
  <c r="I95" i="2"/>
  <c r="B96" i="2"/>
  <c r="H96" i="2" s="1"/>
  <c r="B97" i="2"/>
  <c r="I97" i="2" s="1"/>
  <c r="H97" i="2"/>
  <c r="B98" i="2"/>
  <c r="H98" i="2"/>
  <c r="I98" i="2"/>
  <c r="B99" i="2"/>
  <c r="H99" i="2" s="1"/>
  <c r="I99" i="2"/>
  <c r="B100" i="2"/>
  <c r="H100" i="2" s="1"/>
  <c r="B101" i="2"/>
  <c r="I101" i="2" s="1"/>
  <c r="H101" i="2"/>
  <c r="B102" i="2"/>
  <c r="H102" i="2"/>
  <c r="I102" i="2"/>
  <c r="B103" i="2"/>
  <c r="H103" i="2" s="1"/>
  <c r="I103" i="2"/>
  <c r="B104" i="2"/>
  <c r="H104" i="2" s="1"/>
  <c r="B105" i="2"/>
  <c r="I105" i="2" s="1"/>
  <c r="H105" i="2"/>
  <c r="I2" i="2"/>
  <c r="H2" i="2"/>
  <c r="H9" i="2" l="1"/>
  <c r="I9" i="3"/>
  <c r="Y13" i="1" s="1"/>
  <c r="G3" i="4"/>
  <c r="AB7" i="1" s="1"/>
  <c r="B3" i="17" s="1"/>
  <c r="H6" i="3"/>
  <c r="I6" i="3" s="1"/>
  <c r="Y10" i="1" s="1"/>
  <c r="G7" i="4"/>
  <c r="AB11" i="1" s="1"/>
  <c r="B7" i="17" s="1"/>
  <c r="F7" i="17" s="1"/>
  <c r="G4" i="4"/>
  <c r="AB8" i="1" s="1"/>
  <c r="B4" i="17" s="1"/>
  <c r="F4" i="17" s="1"/>
  <c r="F6" i="4"/>
  <c r="G6" i="4" s="1"/>
  <c r="AB10" i="1" s="1"/>
  <c r="B6" i="17" s="1"/>
  <c r="F6" i="17" s="1"/>
  <c r="I6" i="2"/>
  <c r="V10" i="1" s="1"/>
  <c r="I5" i="3"/>
  <c r="Y9" i="1" s="1"/>
  <c r="F86" i="17"/>
  <c r="G86" i="17"/>
  <c r="AC90" i="1" s="1"/>
  <c r="F62" i="17"/>
  <c r="G62" i="17"/>
  <c r="AC66" i="1" s="1"/>
  <c r="F46" i="17"/>
  <c r="G46" i="17"/>
  <c r="AC50" i="1" s="1"/>
  <c r="F30" i="17"/>
  <c r="G30" i="17"/>
  <c r="AC34" i="1" s="1"/>
  <c r="F54" i="17"/>
  <c r="G54" i="17"/>
  <c r="AC58" i="1" s="1"/>
  <c r="G7" i="17"/>
  <c r="AC11" i="1" s="1"/>
  <c r="F78" i="17"/>
  <c r="G78" i="17"/>
  <c r="AC82" i="1" s="1"/>
  <c r="F70" i="17"/>
  <c r="G70" i="17"/>
  <c r="AC74" i="1" s="1"/>
  <c r="F38" i="17"/>
  <c r="G38" i="17"/>
  <c r="AC42" i="1" s="1"/>
  <c r="F10" i="17"/>
  <c r="G10" i="17"/>
  <c r="AC14" i="1" s="1"/>
  <c r="F82" i="17"/>
  <c r="G82" i="17"/>
  <c r="AC86" i="1" s="1"/>
  <c r="F74" i="17"/>
  <c r="G74" i="17"/>
  <c r="AC78" i="1" s="1"/>
  <c r="F66" i="17"/>
  <c r="G66" i="17"/>
  <c r="AC70" i="1" s="1"/>
  <c r="F58" i="17"/>
  <c r="G58" i="17"/>
  <c r="AC62" i="1" s="1"/>
  <c r="F50" i="17"/>
  <c r="G50" i="17"/>
  <c r="AC54" i="1" s="1"/>
  <c r="F34" i="17"/>
  <c r="G34" i="17"/>
  <c r="AC38" i="1" s="1"/>
  <c r="F26" i="17"/>
  <c r="G26" i="17"/>
  <c r="AC30" i="1" s="1"/>
  <c r="F18" i="17"/>
  <c r="G18" i="17"/>
  <c r="AC22" i="1" s="1"/>
  <c r="F42" i="17"/>
  <c r="G42" i="17"/>
  <c r="AC46" i="1" s="1"/>
  <c r="F14" i="17"/>
  <c r="G14" i="17"/>
  <c r="AC18" i="1" s="1"/>
  <c r="F22" i="17"/>
  <c r="G22" i="17"/>
  <c r="AC26" i="1" s="1"/>
  <c r="F5" i="17"/>
  <c r="G5" i="17" s="1"/>
  <c r="AC9" i="1" s="1"/>
  <c r="G105" i="17"/>
  <c r="G104" i="17"/>
  <c r="G103" i="17"/>
  <c r="G102" i="17"/>
  <c r="G101" i="17"/>
  <c r="AC105" i="1" s="1"/>
  <c r="G100" i="17"/>
  <c r="AC104" i="1" s="1"/>
  <c r="G99" i="17"/>
  <c r="AC103" i="1" s="1"/>
  <c r="G98" i="17"/>
  <c r="AC102" i="1" s="1"/>
  <c r="G97" i="17"/>
  <c r="AC101" i="1" s="1"/>
  <c r="G96" i="17"/>
  <c r="AC100" i="1" s="1"/>
  <c r="G95" i="17"/>
  <c r="AC99" i="1" s="1"/>
  <c r="G94" i="17"/>
  <c r="AC98" i="1" s="1"/>
  <c r="G93" i="17"/>
  <c r="AC97" i="1" s="1"/>
  <c r="G92" i="17"/>
  <c r="AC96" i="1" s="1"/>
  <c r="G91" i="17"/>
  <c r="AC95" i="1" s="1"/>
  <c r="G90" i="17"/>
  <c r="AC94" i="1" s="1"/>
  <c r="G89" i="17"/>
  <c r="AC93" i="1" s="1"/>
  <c r="G88" i="17"/>
  <c r="AC92" i="1" s="1"/>
  <c r="G84" i="17"/>
  <c r="AC88" i="1" s="1"/>
  <c r="G80" i="17"/>
  <c r="AC84" i="1" s="1"/>
  <c r="G76" i="17"/>
  <c r="AC80" i="1" s="1"/>
  <c r="G72" i="17"/>
  <c r="AC76" i="1" s="1"/>
  <c r="G68" i="17"/>
  <c r="AC72" i="1" s="1"/>
  <c r="G64" i="17"/>
  <c r="AC68" i="1" s="1"/>
  <c r="G60" i="17"/>
  <c r="AC64" i="1" s="1"/>
  <c r="G56" i="17"/>
  <c r="AC60" i="1" s="1"/>
  <c r="G52" i="17"/>
  <c r="AC56" i="1" s="1"/>
  <c r="G48" i="17"/>
  <c r="AC52" i="1" s="1"/>
  <c r="G44" i="17"/>
  <c r="AC48" i="1" s="1"/>
  <c r="G40" i="17"/>
  <c r="AC44" i="1" s="1"/>
  <c r="G36" i="17"/>
  <c r="AC40" i="1" s="1"/>
  <c r="G32" i="17"/>
  <c r="AC36" i="1" s="1"/>
  <c r="G28" i="17"/>
  <c r="AC32" i="1" s="1"/>
  <c r="G24" i="17"/>
  <c r="AC28" i="1" s="1"/>
  <c r="G20" i="17"/>
  <c r="AC24" i="1" s="1"/>
  <c r="G81" i="17"/>
  <c r="AC85" i="1" s="1"/>
  <c r="G73" i="17"/>
  <c r="AC77" i="1" s="1"/>
  <c r="G65" i="17"/>
  <c r="AC69" i="1" s="1"/>
  <c r="G49" i="17"/>
  <c r="AC53" i="1" s="1"/>
  <c r="G33" i="17"/>
  <c r="AC37" i="1" s="1"/>
  <c r="G17" i="17"/>
  <c r="AC21" i="1" s="1"/>
  <c r="G87" i="4"/>
  <c r="AB91" i="1" s="1"/>
  <c r="B87" i="17" s="1"/>
  <c r="G83" i="4"/>
  <c r="AB87" i="1" s="1"/>
  <c r="B83" i="17" s="1"/>
  <c r="G79" i="4"/>
  <c r="AB83" i="1" s="1"/>
  <c r="B79" i="17" s="1"/>
  <c r="G75" i="4"/>
  <c r="AB79" i="1" s="1"/>
  <c r="B75" i="17" s="1"/>
  <c r="G71" i="4"/>
  <c r="AB75" i="1" s="1"/>
  <c r="B71" i="17" s="1"/>
  <c r="G67" i="4"/>
  <c r="AB71" i="1" s="1"/>
  <c r="B67" i="17" s="1"/>
  <c r="G63" i="4"/>
  <c r="AB67" i="1" s="1"/>
  <c r="B63" i="17" s="1"/>
  <c r="G59" i="4"/>
  <c r="AB63" i="1" s="1"/>
  <c r="B59" i="17" s="1"/>
  <c r="G55" i="4"/>
  <c r="AB59" i="1" s="1"/>
  <c r="B55" i="17" s="1"/>
  <c r="G51" i="4"/>
  <c r="AB55" i="1" s="1"/>
  <c r="B51" i="17" s="1"/>
  <c r="G47" i="4"/>
  <c r="AB51" i="1" s="1"/>
  <c r="B47" i="17" s="1"/>
  <c r="G43" i="4"/>
  <c r="AB47" i="1" s="1"/>
  <c r="B43" i="17" s="1"/>
  <c r="G39" i="4"/>
  <c r="AB43" i="1" s="1"/>
  <c r="B39" i="17" s="1"/>
  <c r="G35" i="4"/>
  <c r="AB39" i="1" s="1"/>
  <c r="B35" i="17" s="1"/>
  <c r="G31" i="4"/>
  <c r="AB35" i="1" s="1"/>
  <c r="B31" i="17" s="1"/>
  <c r="G27" i="4"/>
  <c r="AB31" i="1" s="1"/>
  <c r="B27" i="17" s="1"/>
  <c r="G23" i="4"/>
  <c r="AB27" i="1" s="1"/>
  <c r="B23" i="17" s="1"/>
  <c r="G19" i="4"/>
  <c r="AB23" i="1" s="1"/>
  <c r="B19" i="17" s="1"/>
  <c r="G15" i="4"/>
  <c r="AB19" i="1" s="1"/>
  <c r="B15" i="17" s="1"/>
  <c r="G11" i="4"/>
  <c r="AB15" i="1" s="1"/>
  <c r="B11" i="17" s="1"/>
  <c r="G16" i="4"/>
  <c r="AB20" i="1" s="1"/>
  <c r="B16" i="17" s="1"/>
  <c r="F16" i="17" s="1"/>
  <c r="G12" i="4"/>
  <c r="AB16" i="1" s="1"/>
  <c r="B12" i="17" s="1"/>
  <c r="F12" i="17" s="1"/>
  <c r="G8" i="4"/>
  <c r="AB12" i="1" s="1"/>
  <c r="B8" i="17" s="1"/>
  <c r="G85" i="4"/>
  <c r="AB89" i="1" s="1"/>
  <c r="B85" i="17" s="1"/>
  <c r="F85" i="17" s="1"/>
  <c r="G81" i="4"/>
  <c r="AB85" i="1" s="1"/>
  <c r="B81" i="17" s="1"/>
  <c r="F81" i="17" s="1"/>
  <c r="G77" i="4"/>
  <c r="AB81" i="1" s="1"/>
  <c r="B77" i="17" s="1"/>
  <c r="F77" i="17" s="1"/>
  <c r="G73" i="4"/>
  <c r="AB77" i="1" s="1"/>
  <c r="B73" i="17" s="1"/>
  <c r="F73" i="17" s="1"/>
  <c r="G69" i="4"/>
  <c r="AB73" i="1" s="1"/>
  <c r="B69" i="17" s="1"/>
  <c r="F69" i="17" s="1"/>
  <c r="G65" i="4"/>
  <c r="AB69" i="1" s="1"/>
  <c r="B65" i="17" s="1"/>
  <c r="F65" i="17" s="1"/>
  <c r="G61" i="4"/>
  <c r="AB65" i="1" s="1"/>
  <c r="B61" i="17" s="1"/>
  <c r="F61" i="17" s="1"/>
  <c r="G57" i="4"/>
  <c r="AB61" i="1" s="1"/>
  <c r="B57" i="17" s="1"/>
  <c r="F57" i="17" s="1"/>
  <c r="G53" i="4"/>
  <c r="AB57" i="1" s="1"/>
  <c r="B53" i="17" s="1"/>
  <c r="F53" i="17" s="1"/>
  <c r="G49" i="4"/>
  <c r="AB53" i="1" s="1"/>
  <c r="B49" i="17" s="1"/>
  <c r="F49" i="17" s="1"/>
  <c r="G45" i="4"/>
  <c r="AB49" i="1" s="1"/>
  <c r="B45" i="17" s="1"/>
  <c r="F45" i="17" s="1"/>
  <c r="G41" i="4"/>
  <c r="AB45" i="1" s="1"/>
  <c r="B41" i="17" s="1"/>
  <c r="F41" i="17" s="1"/>
  <c r="G37" i="4"/>
  <c r="AB41" i="1" s="1"/>
  <c r="B37" i="17" s="1"/>
  <c r="F37" i="17" s="1"/>
  <c r="G33" i="4"/>
  <c r="AB37" i="1" s="1"/>
  <c r="B33" i="17" s="1"/>
  <c r="F33" i="17" s="1"/>
  <c r="G29" i="4"/>
  <c r="AB33" i="1" s="1"/>
  <c r="B29" i="17" s="1"/>
  <c r="F29" i="17" s="1"/>
  <c r="G25" i="4"/>
  <c r="AB29" i="1" s="1"/>
  <c r="B25" i="17" s="1"/>
  <c r="F25" i="17" s="1"/>
  <c r="G21" i="4"/>
  <c r="AB25" i="1" s="1"/>
  <c r="B21" i="17" s="1"/>
  <c r="F21" i="17" s="1"/>
  <c r="G17" i="4"/>
  <c r="AB21" i="1" s="1"/>
  <c r="B17" i="17" s="1"/>
  <c r="F17" i="17" s="1"/>
  <c r="G13" i="4"/>
  <c r="AB17" i="1" s="1"/>
  <c r="B13" i="17" s="1"/>
  <c r="F13" i="17" s="1"/>
  <c r="G9" i="4"/>
  <c r="AB13" i="1" s="1"/>
  <c r="B9" i="17" s="1"/>
  <c r="F9" i="17" s="1"/>
  <c r="I55" i="3"/>
  <c r="I51" i="3"/>
  <c r="I47" i="3"/>
  <c r="I43" i="3"/>
  <c r="I39" i="3"/>
  <c r="I35" i="3"/>
  <c r="I31" i="3"/>
  <c r="I27" i="3"/>
  <c r="I23" i="3"/>
  <c r="I19" i="3"/>
  <c r="I15" i="3"/>
  <c r="I11" i="3"/>
  <c r="Y15" i="1" s="1"/>
  <c r="I7" i="3"/>
  <c r="Y11" i="1" s="1"/>
  <c r="I3" i="3"/>
  <c r="Y7" i="1" s="1"/>
  <c r="I104" i="3"/>
  <c r="I100" i="3"/>
  <c r="I96" i="3"/>
  <c r="I92" i="3"/>
  <c r="I88" i="3"/>
  <c r="I84" i="3"/>
  <c r="I80" i="3"/>
  <c r="I76" i="3"/>
  <c r="I72" i="3"/>
  <c r="I68" i="3"/>
  <c r="I64" i="3"/>
  <c r="I60" i="3"/>
  <c r="I56" i="3"/>
  <c r="I52" i="3"/>
  <c r="I48" i="3"/>
  <c r="I44" i="3"/>
  <c r="I40" i="3"/>
  <c r="I36" i="3"/>
  <c r="I32" i="3"/>
  <c r="I28" i="3"/>
  <c r="I24" i="3"/>
  <c r="I20" i="3"/>
  <c r="I16" i="3"/>
  <c r="I12" i="3"/>
  <c r="I8" i="3"/>
  <c r="Y12" i="1" s="1"/>
  <c r="I4" i="3"/>
  <c r="Y8" i="1" s="1"/>
  <c r="I59" i="2"/>
  <c r="I55" i="2"/>
  <c r="I51" i="2"/>
  <c r="I47" i="2"/>
  <c r="I43" i="2"/>
  <c r="I39" i="2"/>
  <c r="I35" i="2"/>
  <c r="I31" i="2"/>
  <c r="I27" i="2"/>
  <c r="I23" i="2"/>
  <c r="I19" i="2"/>
  <c r="I15" i="2"/>
  <c r="I11" i="2"/>
  <c r="V15" i="1" s="1"/>
  <c r="I7" i="2"/>
  <c r="V11" i="1" s="1"/>
  <c r="I3" i="2"/>
  <c r="V7" i="1" s="1"/>
  <c r="I104" i="2"/>
  <c r="I100" i="2"/>
  <c r="I96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I28" i="2"/>
  <c r="I24" i="2"/>
  <c r="I20" i="2"/>
  <c r="I16" i="2"/>
  <c r="I12" i="2"/>
  <c r="I8" i="2"/>
  <c r="V12" i="1" s="1"/>
  <c r="I4" i="2"/>
  <c r="V8" i="1" s="1"/>
  <c r="F3" i="17" l="1"/>
  <c r="G3" i="17" s="1"/>
  <c r="AC7" i="1" s="1"/>
  <c r="G4" i="17"/>
  <c r="AC8" i="1" s="1"/>
  <c r="G6" i="17"/>
  <c r="AC10" i="1" s="1"/>
  <c r="F19" i="17"/>
  <c r="G19" i="17"/>
  <c r="AC23" i="1" s="1"/>
  <c r="F67" i="17"/>
  <c r="G67" i="17"/>
  <c r="AC71" i="1" s="1"/>
  <c r="F23" i="17"/>
  <c r="G23" i="17"/>
  <c r="AC27" i="1" s="1"/>
  <c r="F39" i="17"/>
  <c r="G39" i="17"/>
  <c r="AC43" i="1" s="1"/>
  <c r="F55" i="17"/>
  <c r="G55" i="17"/>
  <c r="AC59" i="1" s="1"/>
  <c r="F71" i="17"/>
  <c r="G71" i="17"/>
  <c r="AC75" i="1" s="1"/>
  <c r="F87" i="17"/>
  <c r="G87" i="17"/>
  <c r="AC91" i="1" s="1"/>
  <c r="G21" i="17"/>
  <c r="AC25" i="1" s="1"/>
  <c r="G37" i="17"/>
  <c r="AC41" i="1" s="1"/>
  <c r="G53" i="17"/>
  <c r="AC57" i="1" s="1"/>
  <c r="G69" i="17"/>
  <c r="AC73" i="1" s="1"/>
  <c r="G85" i="17"/>
  <c r="AC89" i="1" s="1"/>
  <c r="F51" i="17"/>
  <c r="G51" i="17"/>
  <c r="AC55" i="1" s="1"/>
  <c r="F11" i="17"/>
  <c r="G11" i="17" s="1"/>
  <c r="AC15" i="1" s="1"/>
  <c r="F43" i="17"/>
  <c r="G43" i="17"/>
  <c r="AC47" i="1" s="1"/>
  <c r="F59" i="17"/>
  <c r="G59" i="17"/>
  <c r="AC63" i="1" s="1"/>
  <c r="F75" i="17"/>
  <c r="G75" i="17"/>
  <c r="AC79" i="1" s="1"/>
  <c r="G9" i="17"/>
  <c r="AC13" i="1" s="1"/>
  <c r="G25" i="17"/>
  <c r="AC29" i="1" s="1"/>
  <c r="G41" i="17"/>
  <c r="AC45" i="1" s="1"/>
  <c r="G57" i="17"/>
  <c r="AC61" i="1" s="1"/>
  <c r="G12" i="17"/>
  <c r="AC16" i="1" s="1"/>
  <c r="F35" i="17"/>
  <c r="G35" i="17"/>
  <c r="AC39" i="1" s="1"/>
  <c r="F83" i="17"/>
  <c r="G83" i="17"/>
  <c r="AC87" i="1" s="1"/>
  <c r="F27" i="17"/>
  <c r="G27" i="17"/>
  <c r="AC31" i="1" s="1"/>
  <c r="F8" i="17"/>
  <c r="G8" i="17" s="1"/>
  <c r="AC12" i="1" s="1"/>
  <c r="F15" i="17"/>
  <c r="G15" i="17"/>
  <c r="AC19" i="1" s="1"/>
  <c r="F31" i="17"/>
  <c r="G31" i="17"/>
  <c r="AC35" i="1" s="1"/>
  <c r="F47" i="17"/>
  <c r="G47" i="17"/>
  <c r="AC51" i="1" s="1"/>
  <c r="F63" i="17"/>
  <c r="G63" i="17"/>
  <c r="AC67" i="1" s="1"/>
  <c r="F79" i="17"/>
  <c r="G79" i="17"/>
  <c r="AC83" i="1" s="1"/>
  <c r="G13" i="17"/>
  <c r="AC17" i="1" s="1"/>
  <c r="G29" i="17"/>
  <c r="AC33" i="1" s="1"/>
  <c r="G45" i="17"/>
  <c r="AC49" i="1" s="1"/>
  <c r="G61" i="17"/>
  <c r="AC65" i="1" s="1"/>
  <c r="G77" i="17"/>
  <c r="AC81" i="1" s="1"/>
  <c r="G16" i="17"/>
  <c r="AC20" i="1" s="1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B84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A102" i="16"/>
  <c r="B102" i="16"/>
  <c r="H102" i="16" s="1"/>
  <c r="A103" i="16"/>
  <c r="B103" i="16"/>
  <c r="H103" i="16" s="1"/>
  <c r="A104" i="16"/>
  <c r="B104" i="16"/>
  <c r="H104" i="16" s="1"/>
  <c r="A105" i="16"/>
  <c r="B105" i="16"/>
  <c r="H105" i="16" s="1"/>
  <c r="A102" i="3"/>
  <c r="A103" i="3"/>
  <c r="A104" i="3"/>
  <c r="A105" i="3"/>
  <c r="A102" i="14"/>
  <c r="B102" i="14"/>
  <c r="G102" i="14"/>
  <c r="H102" i="14"/>
  <c r="A103" i="14"/>
  <c r="B103" i="14"/>
  <c r="G103" i="14"/>
  <c r="H103" i="14"/>
  <c r="A104" i="14"/>
  <c r="B104" i="14"/>
  <c r="G104" i="14"/>
  <c r="H104" i="14"/>
  <c r="A105" i="14"/>
  <c r="B105" i="14"/>
  <c r="G105" i="14"/>
  <c r="H105" i="14"/>
  <c r="A102" i="13"/>
  <c r="B102" i="13"/>
  <c r="G102" i="13" s="1"/>
  <c r="A103" i="13"/>
  <c r="B103" i="13"/>
  <c r="G103" i="13" s="1"/>
  <c r="A104" i="13"/>
  <c r="B104" i="13"/>
  <c r="G104" i="13" s="1"/>
  <c r="A105" i="13"/>
  <c r="B105" i="13"/>
  <c r="G105" i="13" s="1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A102" i="10"/>
  <c r="B102" i="10"/>
  <c r="A103" i="10"/>
  <c r="B103" i="10"/>
  <c r="A104" i="10"/>
  <c r="B104" i="10"/>
  <c r="A105" i="10"/>
  <c r="B105" i="10"/>
  <c r="T21" i="9"/>
  <c r="T24" i="9"/>
  <c r="T28" i="9"/>
  <c r="T29" i="9"/>
  <c r="T36" i="9"/>
  <c r="T44" i="9"/>
  <c r="T52" i="9"/>
  <c r="T60" i="9"/>
  <c r="T68" i="9"/>
  <c r="T76" i="9"/>
  <c r="T84" i="9"/>
  <c r="T92" i="9"/>
  <c r="T100" i="9"/>
  <c r="C8" i="9"/>
  <c r="W8" i="9" s="1"/>
  <c r="C9" i="9"/>
  <c r="T9" i="9" s="1"/>
  <c r="C10" i="9"/>
  <c r="C11" i="9"/>
  <c r="T11" i="9" s="1"/>
  <c r="C12" i="9"/>
  <c r="W12" i="9" s="1"/>
  <c r="C13" i="9"/>
  <c r="T13" i="9" s="1"/>
  <c r="C14" i="9"/>
  <c r="T14" i="9" s="1"/>
  <c r="C15" i="9"/>
  <c r="T15" i="9" s="1"/>
  <c r="C16" i="9"/>
  <c r="T16" i="9" s="1"/>
  <c r="C17" i="9"/>
  <c r="T17" i="9" s="1"/>
  <c r="C18" i="9"/>
  <c r="C19" i="9"/>
  <c r="T19" i="9" s="1"/>
  <c r="C20" i="9"/>
  <c r="W20" i="9" s="1"/>
  <c r="C21" i="9"/>
  <c r="C22" i="9"/>
  <c r="T22" i="9" s="1"/>
  <c r="W22" i="9"/>
  <c r="C23" i="9"/>
  <c r="T23" i="9" s="1"/>
  <c r="C24" i="9"/>
  <c r="W24" i="9"/>
  <c r="C25" i="9"/>
  <c r="T25" i="9" s="1"/>
  <c r="C26" i="9"/>
  <c r="C27" i="9"/>
  <c r="T27" i="9" s="1"/>
  <c r="C28" i="9"/>
  <c r="W28" i="9" s="1"/>
  <c r="C29" i="9"/>
  <c r="C30" i="9"/>
  <c r="W30" i="9" s="1"/>
  <c r="C31" i="9"/>
  <c r="T31" i="9" s="1"/>
  <c r="C32" i="9"/>
  <c r="W32" i="9" s="1"/>
  <c r="C33" i="9"/>
  <c r="T33" i="9" s="1"/>
  <c r="C34" i="9"/>
  <c r="C35" i="9"/>
  <c r="T35" i="9" s="1"/>
  <c r="C36" i="9"/>
  <c r="W36" i="9" s="1"/>
  <c r="C37" i="9"/>
  <c r="T37" i="9" s="1"/>
  <c r="C38" i="9"/>
  <c r="C39" i="9"/>
  <c r="T39" i="9" s="1"/>
  <c r="C40" i="9"/>
  <c r="W40" i="9" s="1"/>
  <c r="C41" i="9"/>
  <c r="T41" i="9" s="1"/>
  <c r="C42" i="9"/>
  <c r="C43" i="9"/>
  <c r="T43" i="9" s="1"/>
  <c r="C44" i="9"/>
  <c r="W44" i="9" s="1"/>
  <c r="C45" i="9"/>
  <c r="T45" i="9" s="1"/>
  <c r="C46" i="9"/>
  <c r="C47" i="9"/>
  <c r="T47" i="9" s="1"/>
  <c r="C48" i="9"/>
  <c r="W48" i="9" s="1"/>
  <c r="C49" i="9"/>
  <c r="T49" i="9" s="1"/>
  <c r="C50" i="9"/>
  <c r="C51" i="9"/>
  <c r="T51" i="9" s="1"/>
  <c r="C52" i="9"/>
  <c r="W52" i="9" s="1"/>
  <c r="C53" i="9"/>
  <c r="T53" i="9" s="1"/>
  <c r="C54" i="9"/>
  <c r="C55" i="9"/>
  <c r="T55" i="9" s="1"/>
  <c r="C56" i="9"/>
  <c r="W56" i="9" s="1"/>
  <c r="C57" i="9"/>
  <c r="T57" i="9" s="1"/>
  <c r="C58" i="9"/>
  <c r="C59" i="9"/>
  <c r="T59" i="9" s="1"/>
  <c r="C60" i="9"/>
  <c r="W60" i="9" s="1"/>
  <c r="C61" i="9"/>
  <c r="T61" i="9" s="1"/>
  <c r="C62" i="9"/>
  <c r="C63" i="9"/>
  <c r="T63" i="9" s="1"/>
  <c r="C64" i="9"/>
  <c r="W64" i="9" s="1"/>
  <c r="C65" i="9"/>
  <c r="T65" i="9" s="1"/>
  <c r="C66" i="9"/>
  <c r="C67" i="9"/>
  <c r="T67" i="9" s="1"/>
  <c r="C68" i="9"/>
  <c r="W68" i="9" s="1"/>
  <c r="C69" i="9"/>
  <c r="T69" i="9" s="1"/>
  <c r="C70" i="9"/>
  <c r="C71" i="9"/>
  <c r="T71" i="9" s="1"/>
  <c r="C72" i="9"/>
  <c r="W72" i="9" s="1"/>
  <c r="C73" i="9"/>
  <c r="T73" i="9" s="1"/>
  <c r="C74" i="9"/>
  <c r="C75" i="9"/>
  <c r="T75" i="9" s="1"/>
  <c r="C76" i="9"/>
  <c r="W76" i="9" s="1"/>
  <c r="C77" i="9"/>
  <c r="T77" i="9" s="1"/>
  <c r="C78" i="9"/>
  <c r="T78" i="9" s="1"/>
  <c r="C79" i="9"/>
  <c r="T79" i="9" s="1"/>
  <c r="C80" i="9"/>
  <c r="T80" i="9" s="1"/>
  <c r="C81" i="9"/>
  <c r="T81" i="9" s="1"/>
  <c r="C82" i="9"/>
  <c r="T82" i="9" s="1"/>
  <c r="C83" i="9"/>
  <c r="T83" i="9" s="1"/>
  <c r="C84" i="9"/>
  <c r="C85" i="9"/>
  <c r="T85" i="9" s="1"/>
  <c r="C86" i="9"/>
  <c r="T86" i="9" s="1"/>
  <c r="C87" i="9"/>
  <c r="T87" i="9" s="1"/>
  <c r="C88" i="9"/>
  <c r="T88" i="9" s="1"/>
  <c r="C89" i="9"/>
  <c r="T89" i="9" s="1"/>
  <c r="C90" i="9"/>
  <c r="T90" i="9" s="1"/>
  <c r="C91" i="9"/>
  <c r="T91" i="9" s="1"/>
  <c r="C92" i="9"/>
  <c r="C93" i="9"/>
  <c r="T93" i="9" s="1"/>
  <c r="C94" i="9"/>
  <c r="C95" i="9"/>
  <c r="T95" i="9" s="1"/>
  <c r="C96" i="9"/>
  <c r="T96" i="9" s="1"/>
  <c r="C97" i="9"/>
  <c r="T97" i="9" s="1"/>
  <c r="C98" i="9"/>
  <c r="T98" i="9" s="1"/>
  <c r="C99" i="9"/>
  <c r="T99" i="9" s="1"/>
  <c r="W99" i="9"/>
  <c r="C100" i="9"/>
  <c r="C101" i="9"/>
  <c r="T101" i="9" s="1"/>
  <c r="W101" i="9"/>
  <c r="C102" i="9"/>
  <c r="T102" i="9" s="1"/>
  <c r="C103" i="9"/>
  <c r="T103" i="9" s="1"/>
  <c r="C104" i="9"/>
  <c r="T104" i="9" s="1"/>
  <c r="C105" i="9"/>
  <c r="T105" i="9" s="1"/>
  <c r="B7" i="1"/>
  <c r="T7" i="1"/>
  <c r="B8" i="1"/>
  <c r="T8" i="1"/>
  <c r="B9" i="1"/>
  <c r="T9" i="1"/>
  <c r="B10" i="1"/>
  <c r="A6" i="13" s="1"/>
  <c r="T10" i="1"/>
  <c r="B11" i="1"/>
  <c r="T11" i="1"/>
  <c r="B12" i="1"/>
  <c r="T12" i="1"/>
  <c r="B13" i="1"/>
  <c r="T13" i="1"/>
  <c r="B14" i="1"/>
  <c r="T14" i="1"/>
  <c r="B15" i="1"/>
  <c r="T15" i="1"/>
  <c r="B16" i="1"/>
  <c r="T16" i="1"/>
  <c r="B17" i="1"/>
  <c r="T17" i="1"/>
  <c r="B18" i="1"/>
  <c r="T18" i="1"/>
  <c r="B19" i="1"/>
  <c r="T19" i="1"/>
  <c r="B20" i="1"/>
  <c r="T20" i="1"/>
  <c r="B21" i="1"/>
  <c r="T21" i="1"/>
  <c r="B22" i="1"/>
  <c r="T22" i="1"/>
  <c r="B23" i="1"/>
  <c r="T23" i="1"/>
  <c r="B24" i="1"/>
  <c r="T24" i="1"/>
  <c r="B25" i="1"/>
  <c r="T25" i="1"/>
  <c r="B26" i="1"/>
  <c r="T26" i="1"/>
  <c r="B27" i="1"/>
  <c r="T27" i="1"/>
  <c r="B28" i="1"/>
  <c r="A24" i="14" s="1"/>
  <c r="T28" i="1"/>
  <c r="B29" i="1"/>
  <c r="T29" i="1"/>
  <c r="B30" i="1"/>
  <c r="T30" i="1"/>
  <c r="B31" i="1"/>
  <c r="T31" i="1"/>
  <c r="B32" i="1"/>
  <c r="T32" i="1"/>
  <c r="B33" i="1"/>
  <c r="T33" i="1"/>
  <c r="B34" i="1"/>
  <c r="T34" i="1"/>
  <c r="B35" i="1"/>
  <c r="T35" i="1"/>
  <c r="B36" i="1"/>
  <c r="B37" i="9" s="1"/>
  <c r="V37" i="9" s="1"/>
  <c r="T36" i="1"/>
  <c r="B37" i="1"/>
  <c r="T37" i="1"/>
  <c r="B38" i="1"/>
  <c r="T38" i="1"/>
  <c r="B39" i="1"/>
  <c r="T39" i="1"/>
  <c r="B40" i="1"/>
  <c r="T40" i="1"/>
  <c r="B41" i="1"/>
  <c r="T41" i="1"/>
  <c r="B42" i="1"/>
  <c r="T42" i="1"/>
  <c r="B43" i="1"/>
  <c r="T43" i="1"/>
  <c r="B44" i="1"/>
  <c r="T44" i="1"/>
  <c r="B45" i="1"/>
  <c r="T45" i="1"/>
  <c r="B46" i="1"/>
  <c r="A42" i="10" s="1"/>
  <c r="T46" i="1"/>
  <c r="B47" i="1"/>
  <c r="T47" i="1"/>
  <c r="B48" i="1"/>
  <c r="T48" i="1"/>
  <c r="B49" i="1"/>
  <c r="T49" i="1"/>
  <c r="B50" i="1"/>
  <c r="T50" i="1"/>
  <c r="B51" i="1"/>
  <c r="T51" i="1"/>
  <c r="B52" i="1"/>
  <c r="T52" i="1"/>
  <c r="B53" i="1"/>
  <c r="T53" i="1"/>
  <c r="B54" i="1"/>
  <c r="T54" i="1"/>
  <c r="B55" i="1"/>
  <c r="T55" i="1"/>
  <c r="B56" i="1"/>
  <c r="B57" i="9" s="1"/>
  <c r="V57" i="9" s="1"/>
  <c r="T56" i="1"/>
  <c r="B57" i="1"/>
  <c r="T57" i="1"/>
  <c r="B58" i="1"/>
  <c r="T58" i="1"/>
  <c r="B59" i="1"/>
  <c r="T59" i="1"/>
  <c r="B60" i="1"/>
  <c r="B61" i="9" s="1"/>
  <c r="V61" i="9" s="1"/>
  <c r="T60" i="1"/>
  <c r="B61" i="1"/>
  <c r="T61" i="1"/>
  <c r="B62" i="1"/>
  <c r="T62" i="1"/>
  <c r="B63" i="1"/>
  <c r="T63" i="1"/>
  <c r="B64" i="1"/>
  <c r="T64" i="1"/>
  <c r="B65" i="1"/>
  <c r="T65" i="1"/>
  <c r="B66" i="1"/>
  <c r="T66" i="1"/>
  <c r="B67" i="1"/>
  <c r="T67" i="1"/>
  <c r="B68" i="1"/>
  <c r="T68" i="1"/>
  <c r="B69" i="1"/>
  <c r="T69" i="1"/>
  <c r="B70" i="1"/>
  <c r="B71" i="9" s="1"/>
  <c r="V71" i="9" s="1"/>
  <c r="T70" i="1"/>
  <c r="B71" i="1"/>
  <c r="T71" i="1"/>
  <c r="B72" i="1"/>
  <c r="T72" i="1"/>
  <c r="B73" i="1"/>
  <c r="T73" i="1"/>
  <c r="B74" i="1"/>
  <c r="T74" i="1"/>
  <c r="B75" i="1"/>
  <c r="T75" i="1"/>
  <c r="B76" i="1"/>
  <c r="T76" i="1"/>
  <c r="B77" i="1"/>
  <c r="T77" i="1"/>
  <c r="B78" i="1"/>
  <c r="T78" i="1"/>
  <c r="B79" i="1"/>
  <c r="T79" i="1"/>
  <c r="B80" i="1"/>
  <c r="B81" i="9" s="1"/>
  <c r="V81" i="9" s="1"/>
  <c r="T80" i="1"/>
  <c r="B81" i="1"/>
  <c r="T81" i="1"/>
  <c r="B82" i="1"/>
  <c r="T82" i="1"/>
  <c r="B83" i="1"/>
  <c r="T83" i="1"/>
  <c r="B84" i="1"/>
  <c r="T84" i="1"/>
  <c r="B85" i="1"/>
  <c r="T85" i="1"/>
  <c r="B86" i="1"/>
  <c r="T86" i="1"/>
  <c r="B87" i="1"/>
  <c r="T87" i="1"/>
  <c r="B88" i="1"/>
  <c r="B89" i="9" s="1"/>
  <c r="V89" i="9" s="1"/>
  <c r="T88" i="1"/>
  <c r="B89" i="1"/>
  <c r="T89" i="1"/>
  <c r="B90" i="1"/>
  <c r="T90" i="1"/>
  <c r="B91" i="1"/>
  <c r="T91" i="1"/>
  <c r="B92" i="1"/>
  <c r="T92" i="1"/>
  <c r="B93" i="1"/>
  <c r="T93" i="1"/>
  <c r="B94" i="1"/>
  <c r="A90" i="10" s="1"/>
  <c r="T94" i="1"/>
  <c r="B95" i="1"/>
  <c r="T95" i="1"/>
  <c r="B96" i="1"/>
  <c r="T96" i="1"/>
  <c r="B97" i="1"/>
  <c r="T97" i="1"/>
  <c r="B98" i="1"/>
  <c r="T98" i="1"/>
  <c r="B99" i="1"/>
  <c r="T99" i="1"/>
  <c r="B100" i="1"/>
  <c r="T100" i="1"/>
  <c r="B101" i="1"/>
  <c r="T101" i="1"/>
  <c r="B102" i="1"/>
  <c r="T102" i="1"/>
  <c r="B103" i="1"/>
  <c r="B104" i="9" s="1"/>
  <c r="V104" i="9" s="1"/>
  <c r="T103" i="1"/>
  <c r="B104" i="1"/>
  <c r="T104" i="1"/>
  <c r="B105" i="1"/>
  <c r="T105" i="1"/>
  <c r="W14" i="9" l="1"/>
  <c r="W16" i="9"/>
  <c r="A101" i="10"/>
  <c r="AD105" i="1"/>
  <c r="A101" i="17"/>
  <c r="A101" i="4"/>
  <c r="A97" i="13"/>
  <c r="AD101" i="1"/>
  <c r="A97" i="17"/>
  <c r="A97" i="4"/>
  <c r="AD99" i="1"/>
  <c r="A95" i="17"/>
  <c r="A95" i="4"/>
  <c r="AD97" i="1"/>
  <c r="A93" i="17"/>
  <c r="A93" i="4"/>
  <c r="AD95" i="1"/>
  <c r="A91" i="17"/>
  <c r="A91" i="4"/>
  <c r="A89" i="13"/>
  <c r="AD93" i="1"/>
  <c r="A89" i="17"/>
  <c r="A89" i="4"/>
  <c r="AD91" i="1"/>
  <c r="A87" i="17"/>
  <c r="A87" i="4"/>
  <c r="A85" i="10"/>
  <c r="AD89" i="1"/>
  <c r="A85" i="17"/>
  <c r="A85" i="4"/>
  <c r="AD87" i="1"/>
  <c r="A83" i="17"/>
  <c r="A83" i="4"/>
  <c r="AD85" i="1"/>
  <c r="A81" i="17"/>
  <c r="A81" i="4"/>
  <c r="AD83" i="1"/>
  <c r="A79" i="17"/>
  <c r="A79" i="4"/>
  <c r="A77" i="14"/>
  <c r="AD81" i="1"/>
  <c r="A77" i="17"/>
  <c r="A77" i="4"/>
  <c r="AD79" i="1"/>
  <c r="A75" i="17"/>
  <c r="A75" i="4"/>
  <c r="AD77" i="1"/>
  <c r="A73" i="17"/>
  <c r="A73" i="4"/>
  <c r="AD75" i="1"/>
  <c r="A71" i="17"/>
  <c r="A71" i="4"/>
  <c r="AD73" i="1"/>
  <c r="A69" i="17"/>
  <c r="A69" i="4"/>
  <c r="AD71" i="1"/>
  <c r="A67" i="17"/>
  <c r="A67" i="4"/>
  <c r="AD69" i="1"/>
  <c r="A65" i="17"/>
  <c r="A65" i="4"/>
  <c r="AD67" i="1"/>
  <c r="A63" i="17"/>
  <c r="A63" i="4"/>
  <c r="A61" i="14"/>
  <c r="AD65" i="1"/>
  <c r="A61" i="17"/>
  <c r="A61" i="4"/>
  <c r="AD63" i="1"/>
  <c r="A59" i="17"/>
  <c r="A59" i="4"/>
  <c r="AD61" i="1"/>
  <c r="A57" i="17"/>
  <c r="A57" i="4"/>
  <c r="AD59" i="1"/>
  <c r="A55" i="17"/>
  <c r="A55" i="4"/>
  <c r="A53" i="10"/>
  <c r="A53" i="17"/>
  <c r="AD57" i="1"/>
  <c r="A53" i="4"/>
  <c r="A51" i="13"/>
  <c r="A51" i="17"/>
  <c r="AD55" i="1"/>
  <c r="A51" i="4"/>
  <c r="B54" i="9"/>
  <c r="V54" i="9" s="1"/>
  <c r="A49" i="17"/>
  <c r="A49" i="4"/>
  <c r="AD53" i="1"/>
  <c r="A47" i="17"/>
  <c r="AD51" i="1"/>
  <c r="A47" i="4"/>
  <c r="A45" i="10"/>
  <c r="A45" i="17"/>
  <c r="AD49" i="1"/>
  <c r="A45" i="4"/>
  <c r="A43" i="4"/>
  <c r="A43" i="17"/>
  <c r="AD47" i="1"/>
  <c r="B46" i="9"/>
  <c r="V46" i="9" s="1"/>
  <c r="A41" i="17"/>
  <c r="A41" i="4"/>
  <c r="AD45" i="1"/>
  <c r="AD43" i="1"/>
  <c r="A39" i="17"/>
  <c r="A39" i="4"/>
  <c r="A37" i="10"/>
  <c r="A37" i="17"/>
  <c r="A37" i="4"/>
  <c r="AD41" i="1"/>
  <c r="AD39" i="1"/>
  <c r="A35" i="4"/>
  <c r="A35" i="17"/>
  <c r="B38" i="9"/>
  <c r="V38" i="9" s="1"/>
  <c r="A33" i="17"/>
  <c r="A33" i="4"/>
  <c r="AD37" i="1"/>
  <c r="AD35" i="1"/>
  <c r="A31" i="17"/>
  <c r="A31" i="4"/>
  <c r="A29" i="10"/>
  <c r="A29" i="17"/>
  <c r="AD33" i="1"/>
  <c r="A29" i="4"/>
  <c r="AD31" i="1"/>
  <c r="A27" i="4"/>
  <c r="A27" i="17"/>
  <c r="B30" i="9"/>
  <c r="V30" i="9" s="1"/>
  <c r="A25" i="17"/>
  <c r="A25" i="4"/>
  <c r="AD29" i="1"/>
  <c r="A23" i="13"/>
  <c r="AD27" i="1"/>
  <c r="A23" i="17"/>
  <c r="A23" i="4"/>
  <c r="A21" i="10"/>
  <c r="A21" i="4"/>
  <c r="AD25" i="1"/>
  <c r="A21" i="17"/>
  <c r="A19" i="17"/>
  <c r="AD23" i="1"/>
  <c r="A19" i="4"/>
  <c r="A17" i="4"/>
  <c r="A17" i="17"/>
  <c r="AD21" i="1"/>
  <c r="B20" i="9"/>
  <c r="V20" i="9" s="1"/>
  <c r="A15" i="17"/>
  <c r="A15" i="4"/>
  <c r="AD19" i="1"/>
  <c r="A13" i="13"/>
  <c r="A13" i="17"/>
  <c r="AD17" i="1"/>
  <c r="A13" i="4"/>
  <c r="A11" i="17"/>
  <c r="AD15" i="1"/>
  <c r="A11" i="4"/>
  <c r="B14" i="9"/>
  <c r="V14" i="9" s="1"/>
  <c r="A9" i="17"/>
  <c r="A9" i="4"/>
  <c r="AD13" i="1"/>
  <c r="A7" i="17"/>
  <c r="AD11" i="1"/>
  <c r="A7" i="4"/>
  <c r="A3" i="17"/>
  <c r="AD7" i="1"/>
  <c r="A3" i="4"/>
  <c r="B92" i="9"/>
  <c r="V92" i="9" s="1"/>
  <c r="B78" i="9"/>
  <c r="V78" i="9" s="1"/>
  <c r="B74" i="9"/>
  <c r="V74" i="9" s="1"/>
  <c r="B64" i="9"/>
  <c r="V64" i="9" s="1"/>
  <c r="A99" i="13"/>
  <c r="AD104" i="1"/>
  <c r="A100" i="4"/>
  <c r="A100" i="17"/>
  <c r="A98" i="17"/>
  <c r="AD102" i="1"/>
  <c r="A98" i="4"/>
  <c r="AD100" i="1"/>
  <c r="A96" i="4"/>
  <c r="A96" i="17"/>
  <c r="A94" i="17"/>
  <c r="AD98" i="1"/>
  <c r="A94" i="4"/>
  <c r="AD96" i="1"/>
  <c r="A92" i="17"/>
  <c r="A92" i="4"/>
  <c r="B95" i="9"/>
  <c r="V95" i="9" s="1"/>
  <c r="A90" i="17"/>
  <c r="AD94" i="1"/>
  <c r="A90" i="4"/>
  <c r="AD92" i="1"/>
  <c r="A88" i="17"/>
  <c r="A88" i="4"/>
  <c r="A86" i="17"/>
  <c r="AD90" i="1"/>
  <c r="A86" i="4"/>
  <c r="AD88" i="1"/>
  <c r="A84" i="4"/>
  <c r="A84" i="17"/>
  <c r="A82" i="17"/>
  <c r="AD86" i="1"/>
  <c r="A82" i="4"/>
  <c r="AD84" i="1"/>
  <c r="A80" i="4"/>
  <c r="A80" i="17"/>
  <c r="A78" i="17"/>
  <c r="AD82" i="1"/>
  <c r="A78" i="4"/>
  <c r="AD80" i="1"/>
  <c r="A76" i="4"/>
  <c r="A76" i="17"/>
  <c r="B79" i="9"/>
  <c r="V79" i="9" s="1"/>
  <c r="A74" i="17"/>
  <c r="AD78" i="1"/>
  <c r="A74" i="4"/>
  <c r="AD76" i="1"/>
  <c r="A72" i="17"/>
  <c r="A72" i="4"/>
  <c r="A70" i="17"/>
  <c r="AD74" i="1"/>
  <c r="A70" i="4"/>
  <c r="A68" i="13"/>
  <c r="AD72" i="1"/>
  <c r="A68" i="17"/>
  <c r="A68" i="4"/>
  <c r="A66" i="17"/>
  <c r="AD70" i="1"/>
  <c r="A66" i="4"/>
  <c r="AD68" i="1"/>
  <c r="A64" i="4"/>
  <c r="A64" i="17"/>
  <c r="A62" i="10"/>
  <c r="A62" i="17"/>
  <c r="AD66" i="1"/>
  <c r="A62" i="4"/>
  <c r="AD64" i="1"/>
  <c r="A60" i="17"/>
  <c r="A60" i="4"/>
  <c r="A58" i="17"/>
  <c r="AD62" i="1"/>
  <c r="A58" i="4"/>
  <c r="AD60" i="1"/>
  <c r="A56" i="17"/>
  <c r="A56" i="4"/>
  <c r="A54" i="17"/>
  <c r="AD58" i="1"/>
  <c r="A54" i="4"/>
  <c r="AD56" i="1"/>
  <c r="A52" i="4"/>
  <c r="A52" i="17"/>
  <c r="B55" i="9"/>
  <c r="V55" i="9" s="1"/>
  <c r="AD54" i="1"/>
  <c r="A50" i="17"/>
  <c r="A50" i="4"/>
  <c r="AD52" i="1"/>
  <c r="A48" i="4"/>
  <c r="A48" i="17"/>
  <c r="A46" i="10"/>
  <c r="A46" i="4"/>
  <c r="AD50" i="1"/>
  <c r="A46" i="17"/>
  <c r="AD48" i="1"/>
  <c r="A44" i="17"/>
  <c r="A44" i="4"/>
  <c r="AD46" i="1"/>
  <c r="A42" i="17"/>
  <c r="A42" i="4"/>
  <c r="A40" i="14"/>
  <c r="AD44" i="1"/>
  <c r="A40" i="4"/>
  <c r="A40" i="17"/>
  <c r="A38" i="10"/>
  <c r="AD42" i="1"/>
  <c r="A38" i="4"/>
  <c r="A38" i="17"/>
  <c r="AD40" i="1"/>
  <c r="A36" i="17"/>
  <c r="A36" i="4"/>
  <c r="AD38" i="1"/>
  <c r="A34" i="17"/>
  <c r="A34" i="4"/>
  <c r="A32" i="4"/>
  <c r="AD36" i="1"/>
  <c r="A32" i="17"/>
  <c r="AD34" i="1"/>
  <c r="A30" i="4"/>
  <c r="A30" i="17"/>
  <c r="AD32" i="1"/>
  <c r="A28" i="17"/>
  <c r="A28" i="4"/>
  <c r="B31" i="9"/>
  <c r="V31" i="9" s="1"/>
  <c r="AD30" i="1"/>
  <c r="A26" i="17"/>
  <c r="A26" i="4"/>
  <c r="A24" i="4"/>
  <c r="AD28" i="1"/>
  <c r="A24" i="17"/>
  <c r="AD26" i="1"/>
  <c r="A22" i="17"/>
  <c r="A22" i="4"/>
  <c r="A20" i="17"/>
  <c r="AD24" i="1"/>
  <c r="A20" i="4"/>
  <c r="A18" i="10"/>
  <c r="AD22" i="1"/>
  <c r="A18" i="17"/>
  <c r="A18" i="4"/>
  <c r="A16" i="17"/>
  <c r="AD20" i="1"/>
  <c r="A16" i="4"/>
  <c r="A14" i="10"/>
  <c r="AD18" i="1"/>
  <c r="A14" i="4"/>
  <c r="A14" i="17"/>
  <c r="A12" i="17"/>
  <c r="A12" i="4"/>
  <c r="AD16" i="1"/>
  <c r="AD14" i="1"/>
  <c r="A10" i="4"/>
  <c r="A10" i="17"/>
  <c r="A8" i="4"/>
  <c r="A8" i="17"/>
  <c r="AD12" i="1"/>
  <c r="AD10" i="1"/>
  <c r="A6" i="17"/>
  <c r="A6" i="4"/>
  <c r="A4" i="13"/>
  <c r="A4" i="4"/>
  <c r="A4" i="17"/>
  <c r="AD8" i="1"/>
  <c r="B96" i="9"/>
  <c r="V96" i="9" s="1"/>
  <c r="B87" i="9"/>
  <c r="V87" i="9" s="1"/>
  <c r="B76" i="9"/>
  <c r="V76" i="9" s="1"/>
  <c r="B69" i="9"/>
  <c r="V69" i="9" s="1"/>
  <c r="B66" i="9"/>
  <c r="V66" i="9" s="1"/>
  <c r="B59" i="9"/>
  <c r="V59" i="9" s="1"/>
  <c r="B49" i="9"/>
  <c r="V49" i="9" s="1"/>
  <c r="B29" i="9"/>
  <c r="V29" i="9" s="1"/>
  <c r="T12" i="9"/>
  <c r="A66" i="10"/>
  <c r="A83" i="13"/>
  <c r="A66" i="14"/>
  <c r="B105" i="9"/>
  <c r="V105" i="9" s="1"/>
  <c r="B99" i="9"/>
  <c r="V99" i="9" s="1"/>
  <c r="B91" i="9"/>
  <c r="V91" i="9" s="1"/>
  <c r="B88" i="9"/>
  <c r="V88" i="9" s="1"/>
  <c r="B80" i="9"/>
  <c r="V80" i="9" s="1"/>
  <c r="B77" i="9"/>
  <c r="V77" i="9" s="1"/>
  <c r="B70" i="9"/>
  <c r="V70" i="9" s="1"/>
  <c r="B60" i="9"/>
  <c r="V60" i="9" s="1"/>
  <c r="B41" i="9"/>
  <c r="V41" i="9" s="1"/>
  <c r="B13" i="9"/>
  <c r="V13" i="9" s="1"/>
  <c r="T8" i="9"/>
  <c r="A50" i="10"/>
  <c r="A10" i="10"/>
  <c r="A53" i="13"/>
  <c r="A45" i="14"/>
  <c r="AD103" i="1"/>
  <c r="A99" i="17"/>
  <c r="A99" i="4"/>
  <c r="A5" i="17"/>
  <c r="A5" i="4"/>
  <c r="AD9" i="1"/>
  <c r="B93" i="9"/>
  <c r="V93" i="9" s="1"/>
  <c r="B82" i="9"/>
  <c r="V82" i="9" s="1"/>
  <c r="B75" i="9"/>
  <c r="V75" i="9" s="1"/>
  <c r="B72" i="9"/>
  <c r="V72" i="9" s="1"/>
  <c r="B68" i="9"/>
  <c r="V68" i="9" s="1"/>
  <c r="B65" i="9"/>
  <c r="V65" i="9" s="1"/>
  <c r="B62" i="9"/>
  <c r="V62" i="9" s="1"/>
  <c r="B58" i="9"/>
  <c r="V58" i="9" s="1"/>
  <c r="B53" i="9"/>
  <c r="V53" i="9" s="1"/>
  <c r="B33" i="9"/>
  <c r="V33" i="9" s="1"/>
  <c r="A82" i="10"/>
  <c r="A26" i="10"/>
  <c r="A91" i="13"/>
  <c r="A88" i="14"/>
  <c r="A103" i="11"/>
  <c r="A98" i="16"/>
  <c r="A103" i="12"/>
  <c r="A98" i="3"/>
  <c r="A98" i="13"/>
  <c r="A63" i="11"/>
  <c r="A63" i="12"/>
  <c r="A58" i="16"/>
  <c r="A58" i="3"/>
  <c r="A58" i="14"/>
  <c r="A58" i="13"/>
  <c r="A104" i="12"/>
  <c r="A104" i="11"/>
  <c r="A99" i="16"/>
  <c r="A99" i="3"/>
  <c r="A99" i="14"/>
  <c r="A99" i="10"/>
  <c r="A98" i="11"/>
  <c r="A98" i="12"/>
  <c r="A93" i="16"/>
  <c r="A93" i="3"/>
  <c r="A87" i="11"/>
  <c r="A87" i="12"/>
  <c r="A82" i="16"/>
  <c r="A82" i="3"/>
  <c r="A82" i="13"/>
  <c r="A80" i="12"/>
  <c r="A80" i="11"/>
  <c r="A75" i="16"/>
  <c r="A75" i="3"/>
  <c r="A75" i="14"/>
  <c r="A75" i="13"/>
  <c r="A75" i="10"/>
  <c r="A74" i="11"/>
  <c r="A74" i="12"/>
  <c r="A69" i="16"/>
  <c r="A69" i="3"/>
  <c r="A69" i="14"/>
  <c r="A69" i="13"/>
  <c r="A70" i="11"/>
  <c r="A70" i="12"/>
  <c r="A65" i="16"/>
  <c r="A65" i="3"/>
  <c r="A65" i="13"/>
  <c r="A65" i="14"/>
  <c r="A68" i="12"/>
  <c r="A68" i="11"/>
  <c r="A63" i="3"/>
  <c r="A63" i="14"/>
  <c r="A63" i="16"/>
  <c r="A63" i="13"/>
  <c r="A63" i="10"/>
  <c r="A53" i="11"/>
  <c r="A53" i="12"/>
  <c r="A48" i="16"/>
  <c r="A48" i="3"/>
  <c r="A48" i="13"/>
  <c r="A48" i="14"/>
  <c r="A48" i="10"/>
  <c r="A48" i="12"/>
  <c r="A48" i="11"/>
  <c r="A43" i="3"/>
  <c r="A43" i="14"/>
  <c r="A43" i="16"/>
  <c r="A43" i="13"/>
  <c r="A43" i="10"/>
  <c r="A47" i="11"/>
  <c r="A47" i="12"/>
  <c r="A42" i="16"/>
  <c r="A42" i="3"/>
  <c r="A42" i="13"/>
  <c r="A42" i="14"/>
  <c r="A33" i="11"/>
  <c r="A33" i="12"/>
  <c r="A28" i="16"/>
  <c r="A28" i="3"/>
  <c r="A28" i="10"/>
  <c r="A28" i="14"/>
  <c r="A28" i="13"/>
  <c r="A29" i="11"/>
  <c r="A29" i="12"/>
  <c r="A24" i="16"/>
  <c r="A24" i="3"/>
  <c r="A24" i="13"/>
  <c r="A24" i="10"/>
  <c r="A24" i="12"/>
  <c r="A24" i="11"/>
  <c r="A19" i="16"/>
  <c r="A19" i="3"/>
  <c r="A19" i="14"/>
  <c r="A19" i="13"/>
  <c r="B24" i="9"/>
  <c r="V24" i="9" s="1"/>
  <c r="A19" i="10"/>
  <c r="A10" i="11"/>
  <c r="A10" i="12"/>
  <c r="A5" i="3"/>
  <c r="A5" i="16"/>
  <c r="A5" i="13"/>
  <c r="A5" i="14"/>
  <c r="B10" i="9"/>
  <c r="V10" i="9" s="1"/>
  <c r="W105" i="9"/>
  <c r="B103" i="9"/>
  <c r="V103" i="9" s="1"/>
  <c r="B102" i="9"/>
  <c r="V102" i="9" s="1"/>
  <c r="W97" i="9"/>
  <c r="B94" i="9"/>
  <c r="V94" i="9" s="1"/>
  <c r="B50" i="9"/>
  <c r="V50" i="9" s="1"/>
  <c r="B42" i="9"/>
  <c r="V42" i="9" s="1"/>
  <c r="B34" i="9"/>
  <c r="V34" i="9" s="1"/>
  <c r="T26" i="9"/>
  <c r="W26" i="9"/>
  <c r="T10" i="9"/>
  <c r="W10" i="9"/>
  <c r="A93" i="10"/>
  <c r="A77" i="10"/>
  <c r="A69" i="10"/>
  <c r="A61" i="10"/>
  <c r="A13" i="10"/>
  <c r="A5" i="10"/>
  <c r="A82" i="14"/>
  <c r="A18" i="14"/>
  <c r="A97" i="12"/>
  <c r="A92" i="16"/>
  <c r="A92" i="3"/>
  <c r="A97" i="11"/>
  <c r="A92" i="13"/>
  <c r="A92" i="10"/>
  <c r="A92" i="14"/>
  <c r="A90" i="11"/>
  <c r="A90" i="12"/>
  <c r="A85" i="16"/>
  <c r="A85" i="3"/>
  <c r="A85" i="14"/>
  <c r="A85" i="11"/>
  <c r="A85" i="12"/>
  <c r="A80" i="16"/>
  <c r="A80" i="3"/>
  <c r="A80" i="13"/>
  <c r="A80" i="14"/>
  <c r="A80" i="10"/>
  <c r="A83" i="11"/>
  <c r="A83" i="12"/>
  <c r="A78" i="16"/>
  <c r="A78" i="3"/>
  <c r="A78" i="14"/>
  <c r="A78" i="13"/>
  <c r="A73" i="11"/>
  <c r="A73" i="12"/>
  <c r="A68" i="16"/>
  <c r="A68" i="3"/>
  <c r="A68" i="14"/>
  <c r="A68" i="10"/>
  <c r="A56" i="12"/>
  <c r="A56" i="11"/>
  <c r="A51" i="3"/>
  <c r="A51" i="14"/>
  <c r="A51" i="16"/>
  <c r="A51" i="10"/>
  <c r="A44" i="12"/>
  <c r="A44" i="11"/>
  <c r="A39" i="3"/>
  <c r="A39" i="14"/>
  <c r="A39" i="16"/>
  <c r="A39" i="13"/>
  <c r="A39" i="10"/>
  <c r="A39" i="11"/>
  <c r="A34" i="16"/>
  <c r="A39" i="12"/>
  <c r="A34" i="3"/>
  <c r="A32" i="12"/>
  <c r="A32" i="11"/>
  <c r="A27" i="3"/>
  <c r="A27" i="14"/>
  <c r="A27" i="16"/>
  <c r="A27" i="13"/>
  <c r="A27" i="10"/>
  <c r="A27" i="11"/>
  <c r="A27" i="12"/>
  <c r="A22" i="16"/>
  <c r="A22" i="3"/>
  <c r="A22" i="13"/>
  <c r="A22" i="14"/>
  <c r="A18" i="11"/>
  <c r="A18" i="12"/>
  <c r="A13" i="16"/>
  <c r="A13" i="3"/>
  <c r="B18" i="9"/>
  <c r="V18" i="9" s="1"/>
  <c r="A16" i="12"/>
  <c r="A16" i="11"/>
  <c r="A11" i="3"/>
  <c r="A11" i="16"/>
  <c r="A11" i="14"/>
  <c r="B16" i="9"/>
  <c r="V16" i="9" s="1"/>
  <c r="A11" i="10"/>
  <c r="W94" i="9"/>
  <c r="T94" i="9"/>
  <c r="B73" i="9"/>
  <c r="V73" i="9" s="1"/>
  <c r="B63" i="9"/>
  <c r="V63" i="9" s="1"/>
  <c r="W46" i="9"/>
  <c r="T46" i="9"/>
  <c r="W42" i="9"/>
  <c r="T42" i="9"/>
  <c r="W38" i="9"/>
  <c r="T38" i="9"/>
  <c r="W34" i="9"/>
  <c r="T34" i="9"/>
  <c r="A91" i="11"/>
  <c r="A91" i="12"/>
  <c r="A86" i="16"/>
  <c r="A86" i="3"/>
  <c r="A86" i="13"/>
  <c r="A86" i="14"/>
  <c r="A69" i="11"/>
  <c r="A69" i="12"/>
  <c r="A64" i="16"/>
  <c r="A64" i="3"/>
  <c r="A64" i="14"/>
  <c r="A64" i="10"/>
  <c r="A64" i="13"/>
  <c r="A64" i="12"/>
  <c r="A64" i="11"/>
  <c r="A59" i="3"/>
  <c r="A59" i="14"/>
  <c r="A59" i="16"/>
  <c r="A59" i="13"/>
  <c r="A59" i="10"/>
  <c r="A57" i="11"/>
  <c r="A57" i="12"/>
  <c r="A52" i="16"/>
  <c r="A52" i="3"/>
  <c r="A52" i="14"/>
  <c r="A52" i="13"/>
  <c r="A52" i="10"/>
  <c r="A49" i="11"/>
  <c r="A49" i="12"/>
  <c r="A44" i="16"/>
  <c r="A44" i="3"/>
  <c r="A44" i="13"/>
  <c r="A44" i="10"/>
  <c r="A44" i="14"/>
  <c r="A46" i="11"/>
  <c r="A46" i="12"/>
  <c r="A41" i="16"/>
  <c r="A41" i="3"/>
  <c r="A41" i="14"/>
  <c r="A41" i="13"/>
  <c r="A40" i="12"/>
  <c r="A40" i="11"/>
  <c r="A35" i="3"/>
  <c r="A35" i="14"/>
  <c r="A35" i="16"/>
  <c r="A35" i="13"/>
  <c r="A35" i="10"/>
  <c r="A20" i="12"/>
  <c r="A20" i="11"/>
  <c r="A15" i="16"/>
  <c r="A15" i="3"/>
  <c r="A15" i="14"/>
  <c r="A15" i="13"/>
  <c r="A15" i="10"/>
  <c r="A105" i="12"/>
  <c r="A105" i="11"/>
  <c r="A100" i="16"/>
  <c r="A100" i="3"/>
  <c r="A100" i="14"/>
  <c r="A100" i="13"/>
  <c r="A100" i="10"/>
  <c r="A101" i="12"/>
  <c r="A101" i="11"/>
  <c r="A96" i="16"/>
  <c r="A96" i="3"/>
  <c r="A96" i="14"/>
  <c r="A96" i="13"/>
  <c r="A96" i="10"/>
  <c r="A100" i="12"/>
  <c r="A100" i="11"/>
  <c r="A95" i="16"/>
  <c r="A95" i="3"/>
  <c r="A95" i="14"/>
  <c r="A95" i="10"/>
  <c r="A99" i="11"/>
  <c r="A99" i="12"/>
  <c r="A94" i="16"/>
  <c r="A94" i="3"/>
  <c r="A94" i="14"/>
  <c r="A94" i="13"/>
  <c r="A94" i="11"/>
  <c r="A94" i="12"/>
  <c r="A89" i="16"/>
  <c r="A89" i="3"/>
  <c r="A89" i="14"/>
  <c r="A93" i="11"/>
  <c r="A93" i="12"/>
  <c r="A88" i="16"/>
  <c r="A88" i="3"/>
  <c r="A88" i="13"/>
  <c r="A88" i="10"/>
  <c r="A92" i="12"/>
  <c r="A92" i="11"/>
  <c r="A87" i="16"/>
  <c r="A87" i="3"/>
  <c r="A87" i="14"/>
  <c r="A87" i="10"/>
  <c r="A88" i="12"/>
  <c r="A88" i="11"/>
  <c r="A83" i="16"/>
  <c r="A83" i="3"/>
  <c r="A83" i="14"/>
  <c r="A83" i="10"/>
  <c r="A81" i="11"/>
  <c r="A81" i="12"/>
  <c r="A76" i="16"/>
  <c r="A76" i="3"/>
  <c r="A76" i="13"/>
  <c r="A76" i="10"/>
  <c r="A76" i="14"/>
  <c r="A75" i="11"/>
  <c r="A75" i="12"/>
  <c r="A70" i="16"/>
  <c r="A70" i="3"/>
  <c r="A70" i="14"/>
  <c r="A71" i="11"/>
  <c r="A66" i="16"/>
  <c r="A71" i="12"/>
  <c r="A66" i="3"/>
  <c r="A66" i="13"/>
  <c r="A65" i="11"/>
  <c r="A65" i="12"/>
  <c r="A60" i="16"/>
  <c r="A60" i="3"/>
  <c r="A60" i="10"/>
  <c r="A60" i="14"/>
  <c r="A60" i="13"/>
  <c r="A61" i="11"/>
  <c r="A61" i="12"/>
  <c r="A56" i="16"/>
  <c r="A56" i="3"/>
  <c r="A56" i="10"/>
  <c r="A56" i="13"/>
  <c r="A60" i="12"/>
  <c r="A60" i="11"/>
  <c r="A55" i="3"/>
  <c r="A55" i="14"/>
  <c r="A55" i="16"/>
  <c r="A55" i="13"/>
  <c r="A55" i="10"/>
  <c r="A59" i="11"/>
  <c r="A59" i="12"/>
  <c r="A54" i="16"/>
  <c r="A54" i="3"/>
  <c r="A54" i="13"/>
  <c r="A54" i="14"/>
  <c r="A58" i="11"/>
  <c r="A58" i="12"/>
  <c r="A53" i="16"/>
  <c r="A53" i="3"/>
  <c r="A53" i="14"/>
  <c r="A54" i="11"/>
  <c r="A54" i="12"/>
  <c r="A49" i="16"/>
  <c r="A49" i="3"/>
  <c r="A49" i="14"/>
  <c r="A49" i="13"/>
  <c r="A50" i="11"/>
  <c r="A50" i="12"/>
  <c r="A45" i="16"/>
  <c r="A45" i="3"/>
  <c r="A45" i="13"/>
  <c r="A41" i="11"/>
  <c r="A41" i="12"/>
  <c r="A36" i="16"/>
  <c r="A36" i="3"/>
  <c r="A36" i="14"/>
  <c r="A36" i="13"/>
  <c r="A36" i="10"/>
  <c r="A37" i="11"/>
  <c r="A37" i="12"/>
  <c r="A32" i="16"/>
  <c r="A32" i="3"/>
  <c r="A32" i="14"/>
  <c r="A32" i="10"/>
  <c r="A36" i="12"/>
  <c r="A36" i="11"/>
  <c r="A31" i="3"/>
  <c r="A31" i="14"/>
  <c r="A31" i="16"/>
  <c r="A31" i="13"/>
  <c r="A31" i="10"/>
  <c r="A35" i="11"/>
  <c r="A35" i="12"/>
  <c r="A30" i="16"/>
  <c r="A30" i="3"/>
  <c r="A30" i="14"/>
  <c r="A30" i="13"/>
  <c r="A34" i="11"/>
  <c r="A34" i="12"/>
  <c r="A29" i="16"/>
  <c r="A29" i="3"/>
  <c r="A29" i="13"/>
  <c r="A30" i="11"/>
  <c r="A30" i="12"/>
  <c r="A25" i="16"/>
  <c r="A25" i="3"/>
  <c r="A25" i="14"/>
  <c r="A25" i="11"/>
  <c r="A25" i="12"/>
  <c r="A20" i="16"/>
  <c r="A20" i="3"/>
  <c r="A20" i="14"/>
  <c r="A20" i="10"/>
  <c r="B25" i="9"/>
  <c r="V25" i="9" s="1"/>
  <c r="A21" i="11"/>
  <c r="A21" i="12"/>
  <c r="A16" i="16"/>
  <c r="A16" i="3"/>
  <c r="A16" i="13"/>
  <c r="A16" i="14"/>
  <c r="A16" i="10"/>
  <c r="A11" i="11"/>
  <c r="A11" i="12"/>
  <c r="A6" i="16"/>
  <c r="A6" i="3"/>
  <c r="A6" i="14"/>
  <c r="W103" i="9"/>
  <c r="B101" i="9"/>
  <c r="V101" i="9" s="1"/>
  <c r="B100" i="9"/>
  <c r="V100" i="9" s="1"/>
  <c r="W95" i="9"/>
  <c r="B51" i="9"/>
  <c r="V51" i="9" s="1"/>
  <c r="B47" i="9"/>
  <c r="V47" i="9" s="1"/>
  <c r="B43" i="9"/>
  <c r="V43" i="9" s="1"/>
  <c r="B39" i="9"/>
  <c r="V39" i="9" s="1"/>
  <c r="B35" i="9"/>
  <c r="V35" i="9" s="1"/>
  <c r="B27" i="9"/>
  <c r="V27" i="9" s="1"/>
  <c r="B21" i="9"/>
  <c r="V21" i="9" s="1"/>
  <c r="B11" i="9"/>
  <c r="V11" i="9" s="1"/>
  <c r="T72" i="9"/>
  <c r="T64" i="9"/>
  <c r="T56" i="9"/>
  <c r="T48" i="9"/>
  <c r="T40" i="9"/>
  <c r="T32" i="9"/>
  <c r="A94" i="10"/>
  <c r="A86" i="10"/>
  <c r="A78" i="10"/>
  <c r="A70" i="10"/>
  <c r="A54" i="10"/>
  <c r="A30" i="10"/>
  <c r="A22" i="10"/>
  <c r="A6" i="10"/>
  <c r="A95" i="13"/>
  <c r="A87" i="13"/>
  <c r="A34" i="13"/>
  <c r="A20" i="13"/>
  <c r="A11" i="13"/>
  <c r="A98" i="14"/>
  <c r="A56" i="14"/>
  <c r="A34" i="14"/>
  <c r="A13" i="14"/>
  <c r="A86" i="11"/>
  <c r="A86" i="12"/>
  <c r="A81" i="16"/>
  <c r="A81" i="3"/>
  <c r="A81" i="14"/>
  <c r="A81" i="13"/>
  <c r="A84" i="12"/>
  <c r="A79" i="16"/>
  <c r="A84" i="11"/>
  <c r="A79" i="3"/>
  <c r="A79" i="14"/>
  <c r="A79" i="13"/>
  <c r="A79" i="10"/>
  <c r="A79" i="11"/>
  <c r="A79" i="12"/>
  <c r="A74" i="16"/>
  <c r="A74" i="3"/>
  <c r="A74" i="13"/>
  <c r="A74" i="14"/>
  <c r="A67" i="11"/>
  <c r="A67" i="12"/>
  <c r="A62" i="16"/>
  <c r="A62" i="3"/>
  <c r="A62" i="14"/>
  <c r="A62" i="13"/>
  <c r="A52" i="12"/>
  <c r="A52" i="11"/>
  <c r="A47" i="3"/>
  <c r="A47" i="14"/>
  <c r="A47" i="16"/>
  <c r="A47" i="13"/>
  <c r="A47" i="10"/>
  <c r="A45" i="11"/>
  <c r="A45" i="12"/>
  <c r="A40" i="16"/>
  <c r="A40" i="3"/>
  <c r="A40" i="13"/>
  <c r="A40" i="10"/>
  <c r="A43" i="11"/>
  <c r="A43" i="12"/>
  <c r="A38" i="16"/>
  <c r="A38" i="3"/>
  <c r="A38" i="13"/>
  <c r="A38" i="14"/>
  <c r="A28" i="12"/>
  <c r="A28" i="11"/>
  <c r="A23" i="3"/>
  <c r="A23" i="14"/>
  <c r="A23" i="16"/>
  <c r="A23" i="10"/>
  <c r="A23" i="11"/>
  <c r="A23" i="12"/>
  <c r="A18" i="16"/>
  <c r="A18" i="3"/>
  <c r="A18" i="13"/>
  <c r="B23" i="9"/>
  <c r="V23" i="9" s="1"/>
  <c r="A19" i="11"/>
  <c r="A19" i="12"/>
  <c r="A14" i="16"/>
  <c r="A14" i="3"/>
  <c r="A14" i="13"/>
  <c r="A14" i="14"/>
  <c r="A17" i="11"/>
  <c r="A17" i="12"/>
  <c r="A12" i="16"/>
  <c r="A12" i="3"/>
  <c r="A12" i="13"/>
  <c r="A12" i="10"/>
  <c r="A12" i="14"/>
  <c r="B17" i="9"/>
  <c r="V17" i="9" s="1"/>
  <c r="A9" i="11"/>
  <c r="A9" i="12"/>
  <c r="A4" i="16"/>
  <c r="A4" i="3"/>
  <c r="A4" i="14"/>
  <c r="A4" i="10"/>
  <c r="B9" i="9"/>
  <c r="V9" i="9" s="1"/>
  <c r="B97" i="9"/>
  <c r="V97" i="9" s="1"/>
  <c r="B90" i="9"/>
  <c r="V90" i="9" s="1"/>
  <c r="B86" i="9"/>
  <c r="V86" i="9" s="1"/>
  <c r="B85" i="9"/>
  <c r="V85" i="9" s="1"/>
  <c r="B84" i="9"/>
  <c r="V84" i="9" s="1"/>
  <c r="B83" i="9"/>
  <c r="V83" i="9" s="1"/>
  <c r="B67" i="9"/>
  <c r="V67" i="9" s="1"/>
  <c r="W54" i="9"/>
  <c r="T54" i="9"/>
  <c r="W50" i="9"/>
  <c r="T50" i="9"/>
  <c r="B45" i="9"/>
  <c r="V45" i="9" s="1"/>
  <c r="B19" i="9"/>
  <c r="V19" i="9" s="1"/>
  <c r="T20" i="9"/>
  <c r="A98" i="10"/>
  <c r="A74" i="10"/>
  <c r="A58" i="10"/>
  <c r="A34" i="10"/>
  <c r="A106" i="11"/>
  <c r="A106" i="12"/>
  <c r="A101" i="16"/>
  <c r="A101" i="3"/>
  <c r="A101" i="14"/>
  <c r="A102" i="11"/>
  <c r="A102" i="12"/>
  <c r="A97" i="16"/>
  <c r="A97" i="3"/>
  <c r="A97" i="14"/>
  <c r="A96" i="12"/>
  <c r="A96" i="11"/>
  <c r="A91" i="16"/>
  <c r="A91" i="3"/>
  <c r="A91" i="14"/>
  <c r="A91" i="10"/>
  <c r="A95" i="11"/>
  <c r="A95" i="12"/>
  <c r="A90" i="16"/>
  <c r="A90" i="3"/>
  <c r="A90" i="14"/>
  <c r="A90" i="13"/>
  <c r="A89" i="11"/>
  <c r="A89" i="12"/>
  <c r="A84" i="16"/>
  <c r="A84" i="3"/>
  <c r="A84" i="14"/>
  <c r="A84" i="13"/>
  <c r="A84" i="10"/>
  <c r="A82" i="11"/>
  <c r="A82" i="12"/>
  <c r="A77" i="16"/>
  <c r="A77" i="3"/>
  <c r="A77" i="13"/>
  <c r="A78" i="11"/>
  <c r="A78" i="12"/>
  <c r="A73" i="16"/>
  <c r="A73" i="3"/>
  <c r="A73" i="14"/>
  <c r="A73" i="13"/>
  <c r="A77" i="11"/>
  <c r="A77" i="12"/>
  <c r="A72" i="16"/>
  <c r="A72" i="3"/>
  <c r="A72" i="13"/>
  <c r="A72" i="10"/>
  <c r="A76" i="12"/>
  <c r="A76" i="11"/>
  <c r="A71" i="16"/>
  <c r="A71" i="3"/>
  <c r="A71" i="14"/>
  <c r="A71" i="13"/>
  <c r="A71" i="10"/>
  <c r="A72" i="12"/>
  <c r="A72" i="11"/>
  <c r="A67" i="16"/>
  <c r="A67" i="3"/>
  <c r="A67" i="14"/>
  <c r="A67" i="13"/>
  <c r="A67" i="10"/>
  <c r="A66" i="11"/>
  <c r="A66" i="12"/>
  <c r="A61" i="16"/>
  <c r="A61" i="3"/>
  <c r="A61" i="13"/>
  <c r="A62" i="11"/>
  <c r="A62" i="12"/>
  <c r="A57" i="16"/>
  <c r="A57" i="3"/>
  <c r="A57" i="14"/>
  <c r="A57" i="13"/>
  <c r="A55" i="11"/>
  <c r="A50" i="16"/>
  <c r="A55" i="12"/>
  <c r="A50" i="3"/>
  <c r="A50" i="13"/>
  <c r="A51" i="11"/>
  <c r="A51" i="12"/>
  <c r="A46" i="16"/>
  <c r="A46" i="3"/>
  <c r="A46" i="14"/>
  <c r="A46" i="13"/>
  <c r="A42" i="11"/>
  <c r="A42" i="12"/>
  <c r="A37" i="16"/>
  <c r="A37" i="3"/>
  <c r="A37" i="14"/>
  <c r="A37" i="13"/>
  <c r="A38" i="11"/>
  <c r="A38" i="12"/>
  <c r="A33" i="16"/>
  <c r="A33" i="3"/>
  <c r="A33" i="13"/>
  <c r="A33" i="14"/>
  <c r="A31" i="11"/>
  <c r="A31" i="12"/>
  <c r="A26" i="16"/>
  <c r="A26" i="3"/>
  <c r="A26" i="14"/>
  <c r="A26" i="13"/>
  <c r="A26" i="11"/>
  <c r="A26" i="12"/>
  <c r="A21" i="16"/>
  <c r="A21" i="3"/>
  <c r="A21" i="14"/>
  <c r="A21" i="13"/>
  <c r="B26" i="9"/>
  <c r="V26" i="9" s="1"/>
  <c r="A22" i="11"/>
  <c r="A22" i="12"/>
  <c r="A17" i="16"/>
  <c r="A17" i="3"/>
  <c r="A17" i="13"/>
  <c r="A17" i="14"/>
  <c r="A15" i="11"/>
  <c r="A15" i="12"/>
  <c r="A10" i="16"/>
  <c r="A10" i="3"/>
  <c r="A10" i="14"/>
  <c r="A10" i="13"/>
  <c r="B15" i="9"/>
  <c r="V15" i="9" s="1"/>
  <c r="A14" i="11"/>
  <c r="A14" i="12"/>
  <c r="A9" i="3"/>
  <c r="A9" i="16"/>
  <c r="A9" i="13"/>
  <c r="A9" i="14"/>
  <c r="A13" i="11"/>
  <c r="A13" i="12"/>
  <c r="A8" i="16"/>
  <c r="A8" i="3"/>
  <c r="A8" i="10"/>
  <c r="A8" i="13"/>
  <c r="A12" i="12"/>
  <c r="A12" i="11"/>
  <c r="A7" i="3"/>
  <c r="A7" i="16"/>
  <c r="A7" i="14"/>
  <c r="A7" i="13"/>
  <c r="A7" i="10"/>
  <c r="A8" i="12"/>
  <c r="A8" i="11"/>
  <c r="A3" i="3"/>
  <c r="A3" i="16"/>
  <c r="A3" i="14"/>
  <c r="B8" i="9"/>
  <c r="V8" i="9" s="1"/>
  <c r="A3" i="13"/>
  <c r="A3" i="10"/>
  <c r="B98" i="9"/>
  <c r="V98" i="9" s="1"/>
  <c r="W74" i="9"/>
  <c r="T74" i="9"/>
  <c r="W70" i="9"/>
  <c r="T70" i="9"/>
  <c r="W66" i="9"/>
  <c r="T66" i="9"/>
  <c r="W62" i="9"/>
  <c r="T62" i="9"/>
  <c r="W58" i="9"/>
  <c r="T58" i="9"/>
  <c r="B56" i="9"/>
  <c r="V56" i="9" s="1"/>
  <c r="B52" i="9"/>
  <c r="V52" i="9" s="1"/>
  <c r="B48" i="9"/>
  <c r="V48" i="9" s="1"/>
  <c r="B44" i="9"/>
  <c r="V44" i="9" s="1"/>
  <c r="B40" i="9"/>
  <c r="V40" i="9" s="1"/>
  <c r="B36" i="9"/>
  <c r="V36" i="9" s="1"/>
  <c r="B32" i="9"/>
  <c r="V32" i="9" s="1"/>
  <c r="B28" i="9"/>
  <c r="V28" i="9" s="1"/>
  <c r="B22" i="9"/>
  <c r="V22" i="9" s="1"/>
  <c r="T18" i="9"/>
  <c r="W18" i="9"/>
  <c r="B12" i="9"/>
  <c r="V12" i="9" s="1"/>
  <c r="A97" i="10"/>
  <c r="A89" i="10"/>
  <c r="A81" i="10"/>
  <c r="A73" i="10"/>
  <c r="A65" i="10"/>
  <c r="A57" i="10"/>
  <c r="A49" i="10"/>
  <c r="A41" i="10"/>
  <c r="A33" i="10"/>
  <c r="A25" i="10"/>
  <c r="A17" i="10"/>
  <c r="A9" i="10"/>
  <c r="A101" i="13"/>
  <c r="A93" i="13"/>
  <c r="A85" i="13"/>
  <c r="A70" i="13"/>
  <c r="A32" i="13"/>
  <c r="A25" i="13"/>
  <c r="A93" i="14"/>
  <c r="A72" i="14"/>
  <c r="A50" i="14"/>
  <c r="A29" i="14"/>
  <c r="A8" i="14"/>
  <c r="T30" i="9"/>
  <c r="I105" i="16"/>
  <c r="I104" i="16"/>
  <c r="I103" i="16"/>
  <c r="I102" i="16"/>
  <c r="H105" i="13"/>
  <c r="H104" i="13"/>
  <c r="H103" i="13"/>
  <c r="H102" i="13"/>
  <c r="W19" i="9"/>
  <c r="W104" i="9"/>
  <c r="W102" i="9"/>
  <c r="W100" i="9"/>
  <c r="W98" i="9"/>
  <c r="W96" i="9"/>
  <c r="W93" i="9"/>
  <c r="W25" i="9"/>
  <c r="W17" i="9"/>
  <c r="W9" i="9"/>
  <c r="W27" i="9"/>
  <c r="W11" i="9"/>
  <c r="W23" i="9"/>
  <c r="W15" i="9"/>
  <c r="W92" i="9"/>
  <c r="W91" i="9"/>
  <c r="W90" i="9"/>
  <c r="W89" i="9"/>
  <c r="W88" i="9"/>
  <c r="W87" i="9"/>
  <c r="W86" i="9"/>
  <c r="W85" i="9"/>
  <c r="W84" i="9"/>
  <c r="W83" i="9"/>
  <c r="W82" i="9"/>
  <c r="W81" i="9"/>
  <c r="W80" i="9"/>
  <c r="W79" i="9"/>
  <c r="W78" i="9"/>
  <c r="W77" i="9"/>
  <c r="W75" i="9"/>
  <c r="W73" i="9"/>
  <c r="W71" i="9"/>
  <c r="W69" i="9"/>
  <c r="W67" i="9"/>
  <c r="W65" i="9"/>
  <c r="W63" i="9"/>
  <c r="W61" i="9"/>
  <c r="W59" i="9"/>
  <c r="W57" i="9"/>
  <c r="W55" i="9"/>
  <c r="W53" i="9"/>
  <c r="W51" i="9"/>
  <c r="W49" i="9"/>
  <c r="W47" i="9"/>
  <c r="W45" i="9"/>
  <c r="W43" i="9"/>
  <c r="W41" i="9"/>
  <c r="W39" i="9"/>
  <c r="W37" i="9"/>
  <c r="W35" i="9"/>
  <c r="W33" i="9"/>
  <c r="W31" i="9"/>
  <c r="W29" i="9"/>
  <c r="W21" i="9"/>
  <c r="W13" i="9"/>
  <c r="AT22" i="1" l="1"/>
  <c r="AT13" i="1"/>
  <c r="I101" i="15"/>
  <c r="Z105" i="1" s="1"/>
  <c r="B101" i="15"/>
  <c r="I100" i="15"/>
  <c r="Z104" i="1" s="1"/>
  <c r="B100" i="15"/>
  <c r="I99" i="15"/>
  <c r="Z103" i="1" s="1"/>
  <c r="B99" i="15"/>
  <c r="I98" i="15"/>
  <c r="Z102" i="1" s="1"/>
  <c r="B98" i="15"/>
  <c r="I97" i="15"/>
  <c r="Z101" i="1" s="1"/>
  <c r="B97" i="15"/>
  <c r="I96" i="15"/>
  <c r="Z100" i="1" s="1"/>
  <c r="B96" i="15"/>
  <c r="I95" i="15"/>
  <c r="Z99" i="1" s="1"/>
  <c r="B95" i="15"/>
  <c r="I94" i="15"/>
  <c r="Z98" i="1" s="1"/>
  <c r="B94" i="15"/>
  <c r="I93" i="15"/>
  <c r="Z97" i="1" s="1"/>
  <c r="B93" i="15"/>
  <c r="I92" i="15"/>
  <c r="Z96" i="1" s="1"/>
  <c r="B92" i="15"/>
  <c r="I91" i="15"/>
  <c r="Z95" i="1" s="1"/>
  <c r="B91" i="15"/>
  <c r="I90" i="15"/>
  <c r="Z94" i="1" s="1"/>
  <c r="B90" i="15"/>
  <c r="I89" i="15"/>
  <c r="Z93" i="1" s="1"/>
  <c r="B89" i="15"/>
  <c r="I88" i="15"/>
  <c r="Z92" i="1" s="1"/>
  <c r="B88" i="15"/>
  <c r="I87" i="15"/>
  <c r="Z91" i="1" s="1"/>
  <c r="B87" i="15"/>
  <c r="I86" i="15"/>
  <c r="Z90" i="1" s="1"/>
  <c r="B86" i="15"/>
  <c r="I85" i="15"/>
  <c r="Z89" i="1" s="1"/>
  <c r="B85" i="15"/>
  <c r="I84" i="15"/>
  <c r="Z88" i="1" s="1"/>
  <c r="B84" i="15"/>
  <c r="I83" i="15"/>
  <c r="Z87" i="1" s="1"/>
  <c r="B83" i="15"/>
  <c r="I82" i="15"/>
  <c r="Z86" i="1" s="1"/>
  <c r="B82" i="15"/>
  <c r="I81" i="15"/>
  <c r="Z85" i="1" s="1"/>
  <c r="B81" i="15"/>
  <c r="I80" i="15"/>
  <c r="Z84" i="1" s="1"/>
  <c r="B80" i="15"/>
  <c r="I79" i="15"/>
  <c r="Z83" i="1" s="1"/>
  <c r="B79" i="15"/>
  <c r="I78" i="15"/>
  <c r="Z82" i="1" s="1"/>
  <c r="B78" i="15"/>
  <c r="I77" i="15"/>
  <c r="Z81" i="1" s="1"/>
  <c r="B77" i="15"/>
  <c r="I76" i="15"/>
  <c r="Z80" i="1" s="1"/>
  <c r="B76" i="15"/>
  <c r="I75" i="15"/>
  <c r="Z79" i="1" s="1"/>
  <c r="B75" i="15"/>
  <c r="I74" i="15"/>
  <c r="Z78" i="1" s="1"/>
  <c r="B74" i="15"/>
  <c r="I73" i="15"/>
  <c r="Z77" i="1" s="1"/>
  <c r="B73" i="15"/>
  <c r="I72" i="15"/>
  <c r="Z76" i="1" s="1"/>
  <c r="B72" i="15"/>
  <c r="I71" i="15"/>
  <c r="Z75" i="1" s="1"/>
  <c r="B71" i="15"/>
  <c r="I70" i="15"/>
  <c r="Z74" i="1" s="1"/>
  <c r="B70" i="15"/>
  <c r="I69" i="15"/>
  <c r="Z73" i="1" s="1"/>
  <c r="B69" i="15"/>
  <c r="I68" i="15"/>
  <c r="Z72" i="1" s="1"/>
  <c r="B68" i="15"/>
  <c r="I67" i="15"/>
  <c r="Z71" i="1" s="1"/>
  <c r="B67" i="15"/>
  <c r="I66" i="15"/>
  <c r="Z70" i="1" s="1"/>
  <c r="B66" i="15"/>
  <c r="I65" i="15"/>
  <c r="Z69" i="1" s="1"/>
  <c r="B65" i="15"/>
  <c r="I64" i="15"/>
  <c r="Z68" i="1" s="1"/>
  <c r="B64" i="15"/>
  <c r="I63" i="15"/>
  <c r="Z67" i="1" s="1"/>
  <c r="B63" i="15"/>
  <c r="I62" i="15"/>
  <c r="Z66" i="1" s="1"/>
  <c r="B62" i="15"/>
  <c r="I61" i="15"/>
  <c r="Z65" i="1" s="1"/>
  <c r="B61" i="15"/>
  <c r="I60" i="15"/>
  <c r="Z64" i="1" s="1"/>
  <c r="B60" i="15"/>
  <c r="I59" i="15"/>
  <c r="Z63" i="1" s="1"/>
  <c r="B59" i="15"/>
  <c r="I58" i="15"/>
  <c r="Z62" i="1" s="1"/>
  <c r="B58" i="15"/>
  <c r="I57" i="15"/>
  <c r="Z61" i="1" s="1"/>
  <c r="B57" i="15"/>
  <c r="I56" i="15"/>
  <c r="Z60" i="1" s="1"/>
  <c r="B56" i="15"/>
  <c r="I55" i="15"/>
  <c r="Z59" i="1" s="1"/>
  <c r="B55" i="15"/>
  <c r="I54" i="15"/>
  <c r="Z58" i="1" s="1"/>
  <c r="B54" i="15"/>
  <c r="I53" i="15"/>
  <c r="Z57" i="1" s="1"/>
  <c r="B53" i="15"/>
  <c r="I52" i="15"/>
  <c r="Z56" i="1" s="1"/>
  <c r="B52" i="15"/>
  <c r="I51" i="15"/>
  <c r="Z55" i="1" s="1"/>
  <c r="B51" i="15"/>
  <c r="I50" i="15"/>
  <c r="Z54" i="1" s="1"/>
  <c r="B50" i="15"/>
  <c r="I49" i="15"/>
  <c r="Z53" i="1" s="1"/>
  <c r="B49" i="15"/>
  <c r="I48" i="15"/>
  <c r="Z52" i="1" s="1"/>
  <c r="B48" i="15"/>
  <c r="I47" i="15"/>
  <c r="Z51" i="1" s="1"/>
  <c r="B47" i="15"/>
  <c r="I46" i="15"/>
  <c r="Z50" i="1" s="1"/>
  <c r="B46" i="15"/>
  <c r="I45" i="15"/>
  <c r="Z49" i="1" s="1"/>
  <c r="B45" i="15"/>
  <c r="I44" i="15"/>
  <c r="Z48" i="1" s="1"/>
  <c r="B44" i="15"/>
  <c r="I43" i="15"/>
  <c r="Z47" i="1" s="1"/>
  <c r="B43" i="15"/>
  <c r="I42" i="15"/>
  <c r="Z46" i="1" s="1"/>
  <c r="B42" i="15"/>
  <c r="I41" i="15"/>
  <c r="Z45" i="1" s="1"/>
  <c r="B41" i="15"/>
  <c r="I40" i="15"/>
  <c r="Z44" i="1" s="1"/>
  <c r="B40" i="15"/>
  <c r="B39" i="15"/>
  <c r="I39" i="15" s="1"/>
  <c r="Z43" i="1" s="1"/>
  <c r="AM7" i="9" l="1"/>
  <c r="C7" i="9" l="1"/>
  <c r="B6" i="1"/>
  <c r="A2" i="14" l="1"/>
  <c r="A2" i="17"/>
  <c r="A2" i="16"/>
  <c r="A2" i="15"/>
  <c r="A2" i="13"/>
  <c r="AP106" i="1"/>
  <c r="A95" i="15" l="1"/>
  <c r="A83" i="15"/>
  <c r="A75" i="15"/>
  <c r="A67" i="15"/>
  <c r="A55" i="15"/>
  <c r="A47" i="15"/>
  <c r="A35" i="15"/>
  <c r="A27" i="15"/>
  <c r="A19" i="15"/>
  <c r="A7" i="15"/>
  <c r="A94" i="15"/>
  <c r="A90" i="15"/>
  <c r="A82" i="15"/>
  <c r="A74" i="15"/>
  <c r="A66" i="15"/>
  <c r="A54" i="15"/>
  <c r="A46" i="15"/>
  <c r="A38" i="15"/>
  <c r="A30" i="15"/>
  <c r="A18" i="15"/>
  <c r="A10" i="15"/>
  <c r="A101" i="15"/>
  <c r="A89" i="15"/>
  <c r="A85" i="15"/>
  <c r="A81" i="15"/>
  <c r="A77" i="15"/>
  <c r="A73" i="15"/>
  <c r="A69" i="15"/>
  <c r="A65" i="15"/>
  <c r="A61" i="15"/>
  <c r="A57" i="15"/>
  <c r="A53" i="15"/>
  <c r="A49" i="15"/>
  <c r="A45" i="15"/>
  <c r="A41" i="15"/>
  <c r="A37" i="15"/>
  <c r="A33" i="15"/>
  <c r="A29" i="15"/>
  <c r="A25" i="15"/>
  <c r="A21" i="15"/>
  <c r="A17" i="15"/>
  <c r="A13" i="15"/>
  <c r="A9" i="15"/>
  <c r="A5" i="15"/>
  <c r="A99" i="15"/>
  <c r="A91" i="15"/>
  <c r="A87" i="15"/>
  <c r="A79" i="15"/>
  <c r="A71" i="15"/>
  <c r="A63" i="15"/>
  <c r="A59" i="15"/>
  <c r="A51" i="15"/>
  <c r="A43" i="15"/>
  <c r="A39" i="15"/>
  <c r="A31" i="15"/>
  <c r="A23" i="15"/>
  <c r="A15" i="15"/>
  <c r="A11" i="15"/>
  <c r="A98" i="15"/>
  <c r="A86" i="15"/>
  <c r="A78" i="15"/>
  <c r="A70" i="15"/>
  <c r="A62" i="15"/>
  <c r="A58" i="15"/>
  <c r="A50" i="15"/>
  <c r="A42" i="15"/>
  <c r="A34" i="15"/>
  <c r="A26" i="15"/>
  <c r="A22" i="15"/>
  <c r="A14" i="15"/>
  <c r="A6" i="15"/>
  <c r="A97" i="15"/>
  <c r="A93" i="15"/>
  <c r="A100" i="15"/>
  <c r="A96" i="15"/>
  <c r="A92" i="15"/>
  <c r="A88" i="15"/>
  <c r="A84" i="15"/>
  <c r="A80" i="15"/>
  <c r="A76" i="15"/>
  <c r="A72" i="15"/>
  <c r="A68" i="15"/>
  <c r="A64" i="15"/>
  <c r="A60" i="15"/>
  <c r="A56" i="15"/>
  <c r="A52" i="15"/>
  <c r="A48" i="15"/>
  <c r="A44" i="15"/>
  <c r="A40" i="15"/>
  <c r="A36" i="15"/>
  <c r="A32" i="15"/>
  <c r="A28" i="15"/>
  <c r="A24" i="15"/>
  <c r="A20" i="15"/>
  <c r="A16" i="15"/>
  <c r="A12" i="15"/>
  <c r="A8" i="15"/>
  <c r="A4" i="15"/>
  <c r="AD6" i="1"/>
  <c r="D7" i="12" l="1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C7" i="12"/>
  <c r="Q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C7" i="11"/>
  <c r="D5" i="12"/>
  <c r="AJ8" i="12" s="1"/>
  <c r="E5" i="12"/>
  <c r="AJ9" i="12" s="1"/>
  <c r="F5" i="12"/>
  <c r="AJ10" i="12" s="1"/>
  <c r="G5" i="12"/>
  <c r="AJ11" i="12" s="1"/>
  <c r="H5" i="12"/>
  <c r="I5" i="12"/>
  <c r="AJ13" i="12" s="1"/>
  <c r="J5" i="12"/>
  <c r="K5" i="12"/>
  <c r="AJ15" i="12" s="1"/>
  <c r="L5" i="12"/>
  <c r="AJ16" i="12" s="1"/>
  <c r="M5" i="12"/>
  <c r="AJ17" i="12" s="1"/>
  <c r="N5" i="12"/>
  <c r="AJ18" i="12" s="1"/>
  <c r="O5" i="12"/>
  <c r="AJ19" i="12" s="1"/>
  <c r="P5" i="12"/>
  <c r="Q5" i="12"/>
  <c r="AJ21" i="12" s="1"/>
  <c r="C5" i="12"/>
  <c r="AJ7" i="12" s="1"/>
  <c r="B7" i="12"/>
  <c r="A7" i="12"/>
  <c r="AJ20" i="12"/>
  <c r="AJ14" i="12"/>
  <c r="AJ12" i="12"/>
  <c r="D5" i="11"/>
  <c r="AJ8" i="11" s="1"/>
  <c r="E5" i="11"/>
  <c r="AJ9" i="11" s="1"/>
  <c r="F5" i="11"/>
  <c r="AJ10" i="11" s="1"/>
  <c r="G5" i="11"/>
  <c r="AJ11" i="11" s="1"/>
  <c r="H5" i="11"/>
  <c r="AJ12" i="11" s="1"/>
  <c r="I5" i="11"/>
  <c r="AJ13" i="11" s="1"/>
  <c r="J5" i="11"/>
  <c r="AJ14" i="11" s="1"/>
  <c r="K5" i="11"/>
  <c r="AJ15" i="11" s="1"/>
  <c r="L5" i="11"/>
  <c r="AJ16" i="11" s="1"/>
  <c r="M5" i="11"/>
  <c r="AJ17" i="11" s="1"/>
  <c r="N5" i="11"/>
  <c r="AJ18" i="11" s="1"/>
  <c r="O5" i="11"/>
  <c r="AJ19" i="11" s="1"/>
  <c r="P5" i="11"/>
  <c r="AJ20" i="11" s="1"/>
  <c r="Q5" i="11"/>
  <c r="AJ21" i="11" s="1"/>
  <c r="C5" i="11"/>
  <c r="AJ7" i="11" s="1"/>
  <c r="A7" i="11"/>
  <c r="B7" i="11"/>
  <c r="C4" i="11"/>
  <c r="AL23" i="11"/>
  <c r="AL106" i="9"/>
  <c r="T6" i="1"/>
  <c r="AL23" i="12" l="1"/>
  <c r="AU5" i="1"/>
  <c r="AR5" i="1"/>
  <c r="A3" i="15" l="1"/>
  <c r="AS5" i="1"/>
  <c r="AM106" i="9" l="1"/>
  <c r="AK6" i="1" l="1"/>
  <c r="A2" i="4"/>
  <c r="A2" i="3"/>
  <c r="A2" i="2"/>
  <c r="A2" i="10"/>
  <c r="B2" i="10"/>
  <c r="I13" i="10" l="1"/>
  <c r="I3" i="10"/>
  <c r="I4" i="10"/>
  <c r="I5" i="10"/>
  <c r="I6" i="10"/>
  <c r="I7" i="10"/>
  <c r="I8" i="10"/>
  <c r="I9" i="10"/>
  <c r="I10" i="10"/>
  <c r="I11" i="10"/>
  <c r="I12" i="10"/>
  <c r="C106" i="9" l="1"/>
  <c r="B7" i="9"/>
  <c r="V7" i="9" s="1"/>
  <c r="W7" i="9" l="1"/>
  <c r="T7" i="9"/>
  <c r="W106" i="9"/>
  <c r="T106" i="9"/>
  <c r="A3" i="2"/>
  <c r="A4" i="2" l="1"/>
  <c r="A5" i="2" l="1"/>
  <c r="A6" i="2" l="1"/>
  <c r="A7" i="2" l="1"/>
  <c r="A8" i="2" l="1"/>
  <c r="A9" i="2" l="1"/>
  <c r="A10" i="2" l="1"/>
  <c r="B60" i="16" l="1"/>
  <c r="B84" i="16"/>
  <c r="B52" i="13"/>
  <c r="B68" i="13"/>
  <c r="B76" i="13"/>
  <c r="B53" i="16"/>
  <c r="B69" i="16"/>
  <c r="B85" i="16"/>
  <c r="B53" i="13"/>
  <c r="B77" i="13"/>
  <c r="B85" i="13"/>
  <c r="B100" i="16"/>
  <c r="B54" i="16"/>
  <c r="B62" i="16"/>
  <c r="B70" i="16"/>
  <c r="B78" i="16"/>
  <c r="B86" i="16"/>
  <c r="B94" i="16"/>
  <c r="B54" i="13"/>
  <c r="B62" i="13"/>
  <c r="B70" i="13"/>
  <c r="B78" i="13"/>
  <c r="B86" i="13"/>
  <c r="B94" i="13"/>
  <c r="B55" i="16"/>
  <c r="B63" i="16"/>
  <c r="B71" i="16"/>
  <c r="B79" i="16"/>
  <c r="B87" i="16"/>
  <c r="B95" i="16"/>
  <c r="B55" i="13"/>
  <c r="B63" i="13"/>
  <c r="B71" i="13"/>
  <c r="B79" i="13"/>
  <c r="B87" i="13"/>
  <c r="B95" i="13"/>
  <c r="B100" i="13"/>
  <c r="B52" i="16"/>
  <c r="B68" i="16"/>
  <c r="B76" i="16"/>
  <c r="B92" i="16"/>
  <c r="B60" i="13"/>
  <c r="B84" i="13"/>
  <c r="B92" i="13"/>
  <c r="B61" i="16"/>
  <c r="B77" i="16"/>
  <c r="B93" i="16"/>
  <c r="B61" i="13"/>
  <c r="B69" i="13"/>
  <c r="B93" i="13"/>
  <c r="B56" i="16"/>
  <c r="B64" i="16"/>
  <c r="B72" i="16"/>
  <c r="B80" i="16"/>
  <c r="B88" i="16"/>
  <c r="B96" i="16"/>
  <c r="B56" i="13"/>
  <c r="B64" i="13"/>
  <c r="B72" i="13"/>
  <c r="B80" i="13"/>
  <c r="B88" i="13"/>
  <c r="B96" i="13"/>
  <c r="B57" i="16"/>
  <c r="B65" i="16"/>
  <c r="B73" i="16"/>
  <c r="B81" i="16"/>
  <c r="B89" i="16"/>
  <c r="B97" i="16"/>
  <c r="B57" i="13"/>
  <c r="B65" i="13"/>
  <c r="B73" i="13"/>
  <c r="B81" i="13"/>
  <c r="B89" i="13"/>
  <c r="B97" i="13"/>
  <c r="B101" i="16"/>
  <c r="B58" i="16"/>
  <c r="B66" i="16"/>
  <c r="B74" i="16"/>
  <c r="B82" i="16"/>
  <c r="B90" i="16"/>
  <c r="B98" i="16"/>
  <c r="B58" i="13"/>
  <c r="B66" i="13"/>
  <c r="B74" i="13"/>
  <c r="B82" i="13"/>
  <c r="B90" i="13"/>
  <c r="B98" i="13"/>
  <c r="B59" i="16"/>
  <c r="B67" i="16"/>
  <c r="B75" i="16"/>
  <c r="B83" i="16"/>
  <c r="B91" i="16"/>
  <c r="B99" i="16"/>
  <c r="B59" i="13"/>
  <c r="B67" i="13"/>
  <c r="B75" i="13"/>
  <c r="B83" i="13"/>
  <c r="B91" i="13"/>
  <c r="B99" i="13"/>
  <c r="B101" i="13"/>
  <c r="A11" i="2"/>
  <c r="B2" i="4"/>
  <c r="B2" i="3"/>
  <c r="B2" i="2"/>
  <c r="B51" i="16" l="1"/>
  <c r="I91" i="16"/>
  <c r="AA95" i="1" s="1"/>
  <c r="H91" i="16"/>
  <c r="H74" i="16"/>
  <c r="I74" i="16"/>
  <c r="AA78" i="1" s="1"/>
  <c r="G64" i="13"/>
  <c r="H64" i="13"/>
  <c r="G91" i="13"/>
  <c r="H91" i="13"/>
  <c r="I75" i="16"/>
  <c r="AA79" i="1" s="1"/>
  <c r="H75" i="16"/>
  <c r="G90" i="13"/>
  <c r="H90" i="13"/>
  <c r="G58" i="13"/>
  <c r="H58" i="13"/>
  <c r="G81" i="13"/>
  <c r="H81" i="13"/>
  <c r="H81" i="16"/>
  <c r="I81" i="16"/>
  <c r="AA85" i="1" s="1"/>
  <c r="H65" i="16"/>
  <c r="I65" i="16"/>
  <c r="AA69" i="1" s="1"/>
  <c r="H80" i="16"/>
  <c r="I80" i="16"/>
  <c r="AA84" i="1" s="1"/>
  <c r="G93" i="13"/>
  <c r="H93" i="13"/>
  <c r="G92" i="13"/>
  <c r="H92" i="13"/>
  <c r="H52" i="16"/>
  <c r="I52" i="16"/>
  <c r="AA56" i="1" s="1"/>
  <c r="G79" i="13"/>
  <c r="H79" i="13"/>
  <c r="I79" i="16"/>
  <c r="AA83" i="1" s="1"/>
  <c r="H79" i="16"/>
  <c r="H78" i="13"/>
  <c r="G78" i="13"/>
  <c r="H94" i="16"/>
  <c r="I94" i="16"/>
  <c r="AA98" i="1" s="1"/>
  <c r="H78" i="16"/>
  <c r="I78" i="16"/>
  <c r="AA82" i="1" s="1"/>
  <c r="G77" i="13"/>
  <c r="H77" i="13"/>
  <c r="H85" i="16"/>
  <c r="I85" i="16"/>
  <c r="AA89" i="1" s="1"/>
  <c r="H53" i="16"/>
  <c r="I53" i="16"/>
  <c r="AA57" i="1" s="1"/>
  <c r="G68" i="13"/>
  <c r="H68" i="13"/>
  <c r="H84" i="16"/>
  <c r="I84" i="16"/>
  <c r="AA88" i="1" s="1"/>
  <c r="B51" i="13"/>
  <c r="G75" i="13"/>
  <c r="H75" i="13"/>
  <c r="H59" i="16"/>
  <c r="I59" i="16"/>
  <c r="AA63" i="1" s="1"/>
  <c r="H90" i="16"/>
  <c r="I90" i="16"/>
  <c r="AA94" i="1" s="1"/>
  <c r="G97" i="13"/>
  <c r="H97" i="13"/>
  <c r="G65" i="13"/>
  <c r="H65" i="13"/>
  <c r="G80" i="13"/>
  <c r="H80" i="13"/>
  <c r="H96" i="16"/>
  <c r="I96" i="16"/>
  <c r="AA100" i="1" s="1"/>
  <c r="H64" i="16"/>
  <c r="I64" i="16"/>
  <c r="AA68" i="1" s="1"/>
  <c r="H77" i="16"/>
  <c r="I77" i="16"/>
  <c r="AA81" i="1" s="1"/>
  <c r="G60" i="13"/>
  <c r="H60" i="13"/>
  <c r="G95" i="13"/>
  <c r="H95" i="13"/>
  <c r="I95" i="16"/>
  <c r="AA99" i="1" s="1"/>
  <c r="H95" i="16"/>
  <c r="H63" i="16"/>
  <c r="I63" i="16"/>
  <c r="AA67" i="1" s="1"/>
  <c r="G62" i="13"/>
  <c r="H62" i="13"/>
  <c r="H62" i="16"/>
  <c r="I62" i="16"/>
  <c r="AA66" i="1" s="1"/>
  <c r="G83" i="13"/>
  <c r="H83" i="13"/>
  <c r="I99" i="16"/>
  <c r="AA103" i="1" s="1"/>
  <c r="H99" i="16"/>
  <c r="I67" i="16"/>
  <c r="AA71" i="1" s="1"/>
  <c r="H67" i="16"/>
  <c r="G66" i="13"/>
  <c r="H66" i="13"/>
  <c r="H101" i="16"/>
  <c r="I101" i="16"/>
  <c r="AA105" i="1" s="1"/>
  <c r="G73" i="13"/>
  <c r="H73" i="13"/>
  <c r="H73" i="16"/>
  <c r="I73" i="16"/>
  <c r="AA77" i="1" s="1"/>
  <c r="G72" i="13"/>
  <c r="H72" i="13"/>
  <c r="H88" i="16"/>
  <c r="I88" i="16"/>
  <c r="AA92" i="1" s="1"/>
  <c r="H56" i="16"/>
  <c r="I56" i="16"/>
  <c r="AA60" i="1" s="1"/>
  <c r="H93" i="16"/>
  <c r="I93" i="16"/>
  <c r="AA97" i="1" s="1"/>
  <c r="G84" i="13"/>
  <c r="H84" i="13"/>
  <c r="H68" i="16"/>
  <c r="I68" i="16"/>
  <c r="AA72" i="1" s="1"/>
  <c r="G100" i="13"/>
  <c r="H100" i="13"/>
  <c r="G87" i="13"/>
  <c r="H87" i="13"/>
  <c r="G71" i="13"/>
  <c r="H71" i="13"/>
  <c r="G55" i="13"/>
  <c r="H55" i="13"/>
  <c r="I87" i="16"/>
  <c r="AA91" i="1" s="1"/>
  <c r="H87" i="16"/>
  <c r="I71" i="16"/>
  <c r="AA75" i="1" s="1"/>
  <c r="H71" i="16"/>
  <c r="H55" i="16"/>
  <c r="I55" i="16"/>
  <c r="AA59" i="1" s="1"/>
  <c r="G86" i="13"/>
  <c r="H86" i="13"/>
  <c r="G70" i="13"/>
  <c r="H70" i="13"/>
  <c r="G54" i="13"/>
  <c r="H54" i="13"/>
  <c r="H86" i="16"/>
  <c r="I86" i="16"/>
  <c r="AA90" i="1" s="1"/>
  <c r="H70" i="16"/>
  <c r="I70" i="16"/>
  <c r="AA74" i="1" s="1"/>
  <c r="H54" i="16"/>
  <c r="I54" i="16"/>
  <c r="AA58" i="1" s="1"/>
  <c r="G85" i="13"/>
  <c r="H85" i="13"/>
  <c r="G53" i="13"/>
  <c r="H53" i="13"/>
  <c r="H69" i="16"/>
  <c r="I69" i="16"/>
  <c r="AA73" i="1" s="1"/>
  <c r="G76" i="13"/>
  <c r="H76" i="13"/>
  <c r="G52" i="13"/>
  <c r="H52" i="13"/>
  <c r="H60" i="16"/>
  <c r="I60" i="16"/>
  <c r="AA64" i="1" s="1"/>
  <c r="G101" i="13"/>
  <c r="H101" i="13"/>
  <c r="G59" i="13"/>
  <c r="H59" i="13"/>
  <c r="G74" i="13"/>
  <c r="H74" i="13"/>
  <c r="H58" i="16"/>
  <c r="I58" i="16"/>
  <c r="AA62" i="1" s="1"/>
  <c r="H97" i="16"/>
  <c r="I97" i="16"/>
  <c r="AA101" i="1" s="1"/>
  <c r="G96" i="13"/>
  <c r="H96" i="13"/>
  <c r="G61" i="13"/>
  <c r="H61" i="13"/>
  <c r="H76" i="16"/>
  <c r="I76" i="16"/>
  <c r="AA80" i="1" s="1"/>
  <c r="G63" i="13"/>
  <c r="H63" i="13"/>
  <c r="G94" i="13"/>
  <c r="H94" i="13"/>
  <c r="H100" i="16"/>
  <c r="I100" i="16"/>
  <c r="AA104" i="1" s="1"/>
  <c r="G99" i="13"/>
  <c r="H99" i="13"/>
  <c r="G67" i="13"/>
  <c r="H67" i="13"/>
  <c r="I83" i="16"/>
  <c r="AA87" i="1" s="1"/>
  <c r="H83" i="16"/>
  <c r="G98" i="13"/>
  <c r="H98" i="13"/>
  <c r="G82" i="13"/>
  <c r="H82" i="13"/>
  <c r="H98" i="16"/>
  <c r="I98" i="16"/>
  <c r="AA102" i="1" s="1"/>
  <c r="H82" i="16"/>
  <c r="I82" i="16"/>
  <c r="AA86" i="1" s="1"/>
  <c r="H66" i="16"/>
  <c r="I66" i="16"/>
  <c r="AA70" i="1" s="1"/>
  <c r="G89" i="13"/>
  <c r="H89" i="13"/>
  <c r="G57" i="13"/>
  <c r="H57" i="13"/>
  <c r="H89" i="16"/>
  <c r="I89" i="16"/>
  <c r="AA93" i="1" s="1"/>
  <c r="H57" i="16"/>
  <c r="I57" i="16"/>
  <c r="AA61" i="1" s="1"/>
  <c r="G88" i="13"/>
  <c r="H88" i="13"/>
  <c r="G56" i="13"/>
  <c r="H56" i="13"/>
  <c r="H72" i="16"/>
  <c r="I72" i="16"/>
  <c r="AA76" i="1" s="1"/>
  <c r="G69" i="13"/>
  <c r="H69" i="13"/>
  <c r="H61" i="16"/>
  <c r="I61" i="16"/>
  <c r="AA65" i="1" s="1"/>
  <c r="H92" i="16"/>
  <c r="I92" i="16"/>
  <c r="AA96" i="1" s="1"/>
  <c r="AN63" i="1"/>
  <c r="AN78" i="1"/>
  <c r="AN76" i="1"/>
  <c r="AN67" i="1"/>
  <c r="AN97" i="1"/>
  <c r="AN80" i="1"/>
  <c r="AN102" i="1"/>
  <c r="AN70" i="1"/>
  <c r="AN100" i="1"/>
  <c r="AN91" i="1"/>
  <c r="AN59" i="1"/>
  <c r="AN89" i="1"/>
  <c r="AN72" i="1"/>
  <c r="AN105" i="1"/>
  <c r="AN79" i="1"/>
  <c r="AN94" i="1"/>
  <c r="AN62" i="1"/>
  <c r="AN77" i="1"/>
  <c r="AN92" i="1"/>
  <c r="AN60" i="1"/>
  <c r="AN83" i="1"/>
  <c r="AN98" i="1"/>
  <c r="AN66" i="1"/>
  <c r="AN81" i="1"/>
  <c r="AN96" i="1"/>
  <c r="AN64" i="1"/>
  <c r="AN95" i="1"/>
  <c r="AN93" i="1"/>
  <c r="AN61" i="1"/>
  <c r="AN99" i="1"/>
  <c r="AN82" i="1"/>
  <c r="AN65" i="1"/>
  <c r="AN87" i="1"/>
  <c r="AN85" i="1"/>
  <c r="AN68" i="1"/>
  <c r="AN74" i="1"/>
  <c r="AN57" i="1"/>
  <c r="AN103" i="1"/>
  <c r="AN71" i="1"/>
  <c r="AN86" i="1"/>
  <c r="AN101" i="1"/>
  <c r="AN69" i="1"/>
  <c r="AN84" i="1"/>
  <c r="AN104" i="1"/>
  <c r="AN75" i="1"/>
  <c r="AN90" i="1"/>
  <c r="AN58" i="1"/>
  <c r="AN73" i="1"/>
  <c r="AN88" i="1"/>
  <c r="AN56" i="1"/>
  <c r="AO95" i="1"/>
  <c r="AP95" i="1"/>
  <c r="AO63" i="1"/>
  <c r="AP63" i="1"/>
  <c r="AO78" i="1"/>
  <c r="AP78" i="1"/>
  <c r="AO93" i="1"/>
  <c r="AP93" i="1"/>
  <c r="AP61" i="1"/>
  <c r="AO61" i="1"/>
  <c r="AO76" i="1"/>
  <c r="AP76" i="1"/>
  <c r="AO99" i="1"/>
  <c r="AP99" i="1"/>
  <c r="AO67" i="1"/>
  <c r="AP67" i="1"/>
  <c r="AO82" i="1"/>
  <c r="AP82" i="1"/>
  <c r="AO97" i="1"/>
  <c r="AP97" i="1"/>
  <c r="AP65" i="1"/>
  <c r="AO65" i="1"/>
  <c r="AO80" i="1"/>
  <c r="AP80" i="1"/>
  <c r="AP87" i="1"/>
  <c r="AO87" i="1"/>
  <c r="AP102" i="1"/>
  <c r="AO102" i="1"/>
  <c r="AO70" i="1"/>
  <c r="AP70" i="1"/>
  <c r="AO85" i="1"/>
  <c r="AP85" i="1"/>
  <c r="AO100" i="1"/>
  <c r="AP100" i="1"/>
  <c r="AO68" i="1"/>
  <c r="AP68" i="1"/>
  <c r="AP91" i="1"/>
  <c r="AO91" i="1"/>
  <c r="AO59" i="1"/>
  <c r="AP59" i="1"/>
  <c r="AO74" i="1"/>
  <c r="AP74" i="1"/>
  <c r="AO89" i="1"/>
  <c r="AP89" i="1"/>
  <c r="AP57" i="1"/>
  <c r="AO57" i="1"/>
  <c r="AO72" i="1"/>
  <c r="AP72" i="1"/>
  <c r="AP105" i="1"/>
  <c r="AO105" i="1"/>
  <c r="AP79" i="1"/>
  <c r="AO79" i="1"/>
  <c r="AO94" i="1"/>
  <c r="AP94" i="1"/>
  <c r="AO62" i="1"/>
  <c r="AP62" i="1"/>
  <c r="AP77" i="1"/>
  <c r="AO77" i="1"/>
  <c r="AO92" i="1"/>
  <c r="AP92" i="1"/>
  <c r="AO60" i="1"/>
  <c r="AP60" i="1"/>
  <c r="AP83" i="1"/>
  <c r="AO83" i="1"/>
  <c r="AP98" i="1"/>
  <c r="AO98" i="1"/>
  <c r="AO66" i="1"/>
  <c r="AP66" i="1"/>
  <c r="AO81" i="1"/>
  <c r="AP81" i="1"/>
  <c r="AO96" i="1"/>
  <c r="AP96" i="1"/>
  <c r="AO64" i="1"/>
  <c r="AP64" i="1"/>
  <c r="AO103" i="1"/>
  <c r="AP103" i="1"/>
  <c r="AP71" i="1"/>
  <c r="AO71" i="1"/>
  <c r="AO86" i="1"/>
  <c r="AP86" i="1"/>
  <c r="AO101" i="1"/>
  <c r="AP101" i="1"/>
  <c r="AP69" i="1"/>
  <c r="AO69" i="1"/>
  <c r="AO84" i="1"/>
  <c r="AP84" i="1"/>
  <c r="AO104" i="1"/>
  <c r="AP104" i="1"/>
  <c r="AP75" i="1"/>
  <c r="AO75" i="1"/>
  <c r="AO90" i="1"/>
  <c r="AP90" i="1"/>
  <c r="AO58" i="1"/>
  <c r="AP58" i="1"/>
  <c r="AP73" i="1"/>
  <c r="AO73" i="1"/>
  <c r="AO88" i="1"/>
  <c r="AP88" i="1"/>
  <c r="AO56" i="1"/>
  <c r="AP56" i="1"/>
  <c r="B26" i="13"/>
  <c r="B22" i="13"/>
  <c r="B29" i="13"/>
  <c r="B28" i="13"/>
  <c r="B24" i="13"/>
  <c r="B16" i="13"/>
  <c r="B31" i="13"/>
  <c r="B27" i="13"/>
  <c r="B23" i="13"/>
  <c r="B14" i="13"/>
  <c r="B21" i="13"/>
  <c r="B13" i="13"/>
  <c r="B20" i="13"/>
  <c r="B12" i="13"/>
  <c r="B8" i="13"/>
  <c r="B4" i="13"/>
  <c r="B18" i="13"/>
  <c r="B10" i="13"/>
  <c r="B17" i="13"/>
  <c r="B9" i="13"/>
  <c r="B19" i="13"/>
  <c r="B15" i="13"/>
  <c r="B11" i="13"/>
  <c r="B7" i="13"/>
  <c r="B3" i="13"/>
  <c r="A12" i="2"/>
  <c r="L4" i="4"/>
  <c r="L8" i="4"/>
  <c r="L12" i="4"/>
  <c r="L5" i="4"/>
  <c r="L9" i="4"/>
  <c r="L13" i="4"/>
  <c r="L6" i="4"/>
  <c r="L10" i="4"/>
  <c r="L3" i="4"/>
  <c r="L7" i="4"/>
  <c r="L11" i="4"/>
  <c r="B88" i="14" l="1"/>
  <c r="W92" i="1"/>
  <c r="W93" i="1"/>
  <c r="B89" i="14" s="1"/>
  <c r="B82" i="14"/>
  <c r="W86" i="1"/>
  <c r="W103" i="1"/>
  <c r="B99" i="14" s="1"/>
  <c r="B94" i="14"/>
  <c r="W98" i="1"/>
  <c r="W100" i="1"/>
  <c r="B96" i="14" s="1"/>
  <c r="B59" i="14"/>
  <c r="W63" i="1"/>
  <c r="W80" i="1"/>
  <c r="B76" i="14" s="1"/>
  <c r="B53" i="14"/>
  <c r="W57" i="1"/>
  <c r="W74" i="1"/>
  <c r="B70" i="14" s="1"/>
  <c r="B71" i="14"/>
  <c r="W75" i="1"/>
  <c r="W104" i="1"/>
  <c r="B100" i="14" s="1"/>
  <c r="B84" i="14"/>
  <c r="W88" i="1"/>
  <c r="W76" i="1"/>
  <c r="B72" i="14" s="1"/>
  <c r="B73" i="14"/>
  <c r="W77" i="1"/>
  <c r="W70" i="1"/>
  <c r="B66" i="14" s="1"/>
  <c r="B95" i="14"/>
  <c r="W99" i="1"/>
  <c r="W69" i="1"/>
  <c r="B65" i="14" s="1"/>
  <c r="B75" i="14"/>
  <c r="W79" i="1"/>
  <c r="W72" i="1"/>
  <c r="B68" i="14" s="1"/>
  <c r="B79" i="14"/>
  <c r="W83" i="1"/>
  <c r="W96" i="1"/>
  <c r="B92" i="14" s="1"/>
  <c r="B58" i="14"/>
  <c r="W62" i="1"/>
  <c r="W68" i="1"/>
  <c r="B64" i="14" s="1"/>
  <c r="B98" i="14"/>
  <c r="W102" i="1"/>
  <c r="W71" i="1"/>
  <c r="B67" i="14" s="1"/>
  <c r="B63" i="14"/>
  <c r="W67" i="1"/>
  <c r="W65" i="1"/>
  <c r="B61" i="14" s="1"/>
  <c r="B74" i="14"/>
  <c r="W78" i="1"/>
  <c r="W105" i="1"/>
  <c r="B101" i="14" s="1"/>
  <c r="B52" i="14"/>
  <c r="W56" i="1"/>
  <c r="W89" i="1"/>
  <c r="B85" i="14" s="1"/>
  <c r="B54" i="14"/>
  <c r="W58" i="1"/>
  <c r="W90" i="1"/>
  <c r="B86" i="14" s="1"/>
  <c r="B55" i="14"/>
  <c r="W59" i="1"/>
  <c r="W91" i="1"/>
  <c r="B87" i="14" s="1"/>
  <c r="B83" i="14"/>
  <c r="W87" i="1"/>
  <c r="W66" i="1"/>
  <c r="B62" i="14" s="1"/>
  <c r="B60" i="14"/>
  <c r="W64" i="1"/>
  <c r="W84" i="1"/>
  <c r="B80" i="14" s="1"/>
  <c r="B97" i="14"/>
  <c r="W101" i="1"/>
  <c r="W82" i="1"/>
  <c r="B78" i="14" s="1"/>
  <c r="B69" i="14"/>
  <c r="G69" i="14" s="1"/>
  <c r="W73" i="1"/>
  <c r="W60" i="1"/>
  <c r="B56" i="14" s="1"/>
  <c r="B57" i="14"/>
  <c r="G57" i="14" s="1"/>
  <c r="W61" i="1"/>
  <c r="W81" i="1"/>
  <c r="B77" i="14" s="1"/>
  <c r="B93" i="14"/>
  <c r="W97" i="1"/>
  <c r="W85" i="1"/>
  <c r="B81" i="14" s="1"/>
  <c r="B90" i="14"/>
  <c r="W94" i="1"/>
  <c r="W95" i="1"/>
  <c r="B91" i="14" s="1"/>
  <c r="G9" i="13"/>
  <c r="H9" i="13" s="1"/>
  <c r="W13" i="1" s="1"/>
  <c r="B44" i="16"/>
  <c r="G18" i="13"/>
  <c r="H18" i="13"/>
  <c r="W22" i="1" s="1"/>
  <c r="G21" i="13"/>
  <c r="H21" i="13"/>
  <c r="W25" i="1" s="1"/>
  <c r="G29" i="13"/>
  <c r="H29" i="13"/>
  <c r="B36" i="13"/>
  <c r="G26" i="13"/>
  <c r="H26" i="13"/>
  <c r="H69" i="14"/>
  <c r="X73" i="1" s="1"/>
  <c r="H57" i="14"/>
  <c r="X61" i="1" s="1"/>
  <c r="G98" i="14"/>
  <c r="H98" i="14"/>
  <c r="X102" i="1" s="1"/>
  <c r="G63" i="14"/>
  <c r="H63" i="14"/>
  <c r="X67" i="1" s="1"/>
  <c r="G74" i="14"/>
  <c r="H74" i="14"/>
  <c r="X78" i="1" s="1"/>
  <c r="G52" i="14"/>
  <c r="H52" i="14"/>
  <c r="X56" i="1" s="1"/>
  <c r="G54" i="14"/>
  <c r="H54" i="14"/>
  <c r="X58" i="1" s="1"/>
  <c r="G55" i="14"/>
  <c r="H55" i="14"/>
  <c r="X59" i="1" s="1"/>
  <c r="G83" i="14"/>
  <c r="H83" i="14"/>
  <c r="X87" i="1" s="1"/>
  <c r="G60" i="14"/>
  <c r="H60" i="14"/>
  <c r="X64" i="1" s="1"/>
  <c r="G97" i="14"/>
  <c r="H97" i="14"/>
  <c r="X101" i="1" s="1"/>
  <c r="G51" i="13"/>
  <c r="H51" i="13"/>
  <c r="G79" i="14"/>
  <c r="H79" i="14"/>
  <c r="X83" i="1" s="1"/>
  <c r="G58" i="14"/>
  <c r="H58" i="14"/>
  <c r="X62" i="1" s="1"/>
  <c r="H14" i="13"/>
  <c r="W18" i="1" s="1"/>
  <c r="G14" i="13"/>
  <c r="B33" i="13"/>
  <c r="G11" i="13"/>
  <c r="H11" i="13" s="1"/>
  <c r="W15" i="1" s="1"/>
  <c r="G20" i="13"/>
  <c r="H20" i="13"/>
  <c r="W24" i="1" s="1"/>
  <c r="B40" i="16"/>
  <c r="B48" i="16"/>
  <c r="B37" i="13"/>
  <c r="B45" i="13"/>
  <c r="G28" i="13"/>
  <c r="H28" i="13"/>
  <c r="B39" i="16"/>
  <c r="B47" i="16"/>
  <c r="B44" i="13"/>
  <c r="G15" i="13"/>
  <c r="H15" i="13"/>
  <c r="W19" i="1" s="1"/>
  <c r="G4" i="13"/>
  <c r="H4" i="13" s="1"/>
  <c r="W8" i="1" s="1"/>
  <c r="G23" i="13"/>
  <c r="H23" i="13"/>
  <c r="W27" i="1" s="1"/>
  <c r="B42" i="16"/>
  <c r="B50" i="16"/>
  <c r="B39" i="13"/>
  <c r="B47" i="13"/>
  <c r="B41" i="16"/>
  <c r="B49" i="16"/>
  <c r="B38" i="13"/>
  <c r="B46" i="13"/>
  <c r="G3" i="13"/>
  <c r="H3" i="13" s="1"/>
  <c r="W7" i="1" s="1"/>
  <c r="G8" i="13"/>
  <c r="H8" i="13" s="1"/>
  <c r="W12" i="1" s="1"/>
  <c r="B41" i="13"/>
  <c r="B49" i="13"/>
  <c r="G88" i="14"/>
  <c r="H88" i="14"/>
  <c r="X92" i="1" s="1"/>
  <c r="G82" i="14"/>
  <c r="H82" i="14"/>
  <c r="X86" i="1" s="1"/>
  <c r="G94" i="14"/>
  <c r="H94" i="14"/>
  <c r="X98" i="1" s="1"/>
  <c r="G59" i="14"/>
  <c r="H59" i="14"/>
  <c r="X63" i="1" s="1"/>
  <c r="G53" i="14"/>
  <c r="H53" i="14"/>
  <c r="X57" i="1" s="1"/>
  <c r="H71" i="14"/>
  <c r="X75" i="1" s="1"/>
  <c r="G71" i="14"/>
  <c r="G84" i="14"/>
  <c r="H84" i="14"/>
  <c r="X88" i="1" s="1"/>
  <c r="H73" i="14"/>
  <c r="X77" i="1" s="1"/>
  <c r="G73" i="14"/>
  <c r="G95" i="14"/>
  <c r="H95" i="14"/>
  <c r="X99" i="1" s="1"/>
  <c r="G75" i="14"/>
  <c r="H75" i="14"/>
  <c r="X79" i="1" s="1"/>
  <c r="G93" i="14"/>
  <c r="H93" i="14"/>
  <c r="X97" i="1" s="1"/>
  <c r="G90" i="14"/>
  <c r="H90" i="14"/>
  <c r="X94" i="1" s="1"/>
  <c r="H51" i="16"/>
  <c r="I51" i="16"/>
  <c r="AA55" i="1" s="1"/>
  <c r="G19" i="13"/>
  <c r="H19" i="13"/>
  <c r="W23" i="1" s="1"/>
  <c r="G27" i="13"/>
  <c r="H27" i="13"/>
  <c r="H16" i="13"/>
  <c r="W20" i="1" s="1"/>
  <c r="G16" i="13"/>
  <c r="B43" i="16"/>
  <c r="B32" i="13"/>
  <c r="B40" i="13"/>
  <c r="B48" i="13"/>
  <c r="G7" i="13"/>
  <c r="H7" i="13" s="1"/>
  <c r="W11" i="1" s="1"/>
  <c r="G17" i="13"/>
  <c r="H17" i="13"/>
  <c r="W21" i="1" s="1"/>
  <c r="G10" i="13"/>
  <c r="H10" i="13"/>
  <c r="W14" i="1" s="1"/>
  <c r="G12" i="13"/>
  <c r="H12" i="13"/>
  <c r="W16" i="1" s="1"/>
  <c r="G13" i="13"/>
  <c r="H13" i="13"/>
  <c r="W17" i="1" s="1"/>
  <c r="G31" i="13"/>
  <c r="H31" i="13"/>
  <c r="B46" i="16"/>
  <c r="B35" i="13"/>
  <c r="B43" i="13"/>
  <c r="H24" i="13"/>
  <c r="W28" i="1" s="1"/>
  <c r="G24" i="13"/>
  <c r="B45" i="16"/>
  <c r="B34" i="13"/>
  <c r="B42" i="13"/>
  <c r="B50" i="13"/>
  <c r="G22" i="13"/>
  <c r="H22" i="13"/>
  <c r="W26" i="1" s="1"/>
  <c r="AN45" i="1"/>
  <c r="AN49" i="1"/>
  <c r="AN53" i="1"/>
  <c r="AN47" i="1"/>
  <c r="AN43" i="1"/>
  <c r="AN51" i="1"/>
  <c r="AN55" i="1"/>
  <c r="AP49" i="1"/>
  <c r="AO49" i="1"/>
  <c r="B25" i="13"/>
  <c r="B6" i="13"/>
  <c r="AO43" i="1"/>
  <c r="AP43" i="1"/>
  <c r="AO51" i="1"/>
  <c r="AP51" i="1"/>
  <c r="B5" i="13"/>
  <c r="AP45" i="1"/>
  <c r="AO45" i="1"/>
  <c r="AP53" i="1"/>
  <c r="AO53" i="1"/>
  <c r="B30" i="13"/>
  <c r="AO47" i="1"/>
  <c r="AP47" i="1"/>
  <c r="AO55" i="1"/>
  <c r="AP55" i="1"/>
  <c r="B9" i="15"/>
  <c r="H9" i="15" s="1"/>
  <c r="B20" i="15"/>
  <c r="B6" i="15"/>
  <c r="H6" i="15" s="1"/>
  <c r="B7" i="15"/>
  <c r="H7" i="15" s="1"/>
  <c r="B29" i="15"/>
  <c r="B32" i="15"/>
  <c r="I32" i="15" s="1"/>
  <c r="Z36" i="1" s="1"/>
  <c r="B26" i="15"/>
  <c r="B23" i="15"/>
  <c r="B35" i="15"/>
  <c r="I35" i="15" s="1"/>
  <c r="Z39" i="1" s="1"/>
  <c r="B28" i="15"/>
  <c r="B13" i="15"/>
  <c r="B10" i="15"/>
  <c r="B15" i="15"/>
  <c r="B4" i="15"/>
  <c r="H4" i="15" s="1"/>
  <c r="B34" i="15"/>
  <c r="I34" i="15" s="1"/>
  <c r="Z38" i="1" s="1"/>
  <c r="B30" i="15"/>
  <c r="B27" i="15"/>
  <c r="B37" i="15"/>
  <c r="I37" i="15" s="1"/>
  <c r="Z41" i="1" s="1"/>
  <c r="B17" i="15"/>
  <c r="B11" i="15"/>
  <c r="H11" i="15" s="1"/>
  <c r="B8" i="15"/>
  <c r="B14" i="15"/>
  <c r="I14" i="15" s="1"/>
  <c r="Z18" i="1" s="1"/>
  <c r="B36" i="15"/>
  <c r="I36" i="15" s="1"/>
  <c r="Z40" i="1" s="1"/>
  <c r="B31" i="15"/>
  <c r="B16" i="15"/>
  <c r="B5" i="15"/>
  <c r="H5" i="15" s="1"/>
  <c r="B21" i="15"/>
  <c r="B19" i="15"/>
  <c r="B12" i="15"/>
  <c r="B18" i="15"/>
  <c r="B25" i="15"/>
  <c r="B38" i="15"/>
  <c r="I38" i="15" s="1"/>
  <c r="Z42" i="1" s="1"/>
  <c r="B22" i="15"/>
  <c r="I22" i="15" s="1"/>
  <c r="Z26" i="1" s="1"/>
  <c r="B33" i="15"/>
  <c r="I33" i="15" s="1"/>
  <c r="Z37" i="1" s="1"/>
  <c r="B24" i="15"/>
  <c r="N12" i="3"/>
  <c r="N7" i="3"/>
  <c r="N12" i="2"/>
  <c r="N13" i="3"/>
  <c r="N6" i="3"/>
  <c r="N6" i="2"/>
  <c r="N7" i="2"/>
  <c r="N3" i="2"/>
  <c r="N9" i="3"/>
  <c r="N8" i="2"/>
  <c r="N8" i="3"/>
  <c r="N9" i="2"/>
  <c r="N4" i="2"/>
  <c r="N10" i="2"/>
  <c r="N4" i="3"/>
  <c r="N10" i="3"/>
  <c r="N5" i="3"/>
  <c r="N13" i="2"/>
  <c r="N3" i="3"/>
  <c r="N5" i="2"/>
  <c r="N11" i="2"/>
  <c r="N11" i="3"/>
  <c r="A13" i="2"/>
  <c r="H10" i="15" l="1"/>
  <c r="I10" i="15" s="1"/>
  <c r="Z14" i="1" s="1"/>
  <c r="H8" i="15"/>
  <c r="I8" i="15" s="1"/>
  <c r="Z12" i="1" s="1"/>
  <c r="B8" i="16" s="1"/>
  <c r="G81" i="14"/>
  <c r="H81" i="14"/>
  <c r="X85" i="1" s="1"/>
  <c r="G80" i="14"/>
  <c r="H80" i="14"/>
  <c r="X84" i="1" s="1"/>
  <c r="G85" i="14"/>
  <c r="H85" i="14"/>
  <c r="X89" i="1" s="1"/>
  <c r="G64" i="14"/>
  <c r="H64" i="14"/>
  <c r="X68" i="1" s="1"/>
  <c r="G66" i="14"/>
  <c r="H66" i="14"/>
  <c r="X70" i="1" s="1"/>
  <c r="G76" i="14"/>
  <c r="H76" i="14"/>
  <c r="X80" i="1" s="1"/>
  <c r="G91" i="14"/>
  <c r="H91" i="14"/>
  <c r="X95" i="1" s="1"/>
  <c r="H78" i="14"/>
  <c r="X82" i="1" s="1"/>
  <c r="G78" i="14"/>
  <c r="G86" i="14"/>
  <c r="H86" i="14"/>
  <c r="X90" i="1" s="1"/>
  <c r="H67" i="14"/>
  <c r="X71" i="1" s="1"/>
  <c r="G67" i="14"/>
  <c r="H65" i="14"/>
  <c r="X69" i="1" s="1"/>
  <c r="G65" i="14"/>
  <c r="G70" i="14"/>
  <c r="H70" i="14"/>
  <c r="X74" i="1" s="1"/>
  <c r="G89" i="14"/>
  <c r="H89" i="14"/>
  <c r="X93" i="1" s="1"/>
  <c r="G56" i="14"/>
  <c r="H56" i="14"/>
  <c r="X60" i="1" s="1"/>
  <c r="G87" i="14"/>
  <c r="H87" i="14"/>
  <c r="X91" i="1" s="1"/>
  <c r="H61" i="14"/>
  <c r="X65" i="1" s="1"/>
  <c r="G61" i="14"/>
  <c r="G68" i="14"/>
  <c r="H68" i="14"/>
  <c r="X72" i="1" s="1"/>
  <c r="G100" i="14"/>
  <c r="H100" i="14"/>
  <c r="X104" i="1" s="1"/>
  <c r="G99" i="14"/>
  <c r="H99" i="14"/>
  <c r="X103" i="1" s="1"/>
  <c r="H77" i="14"/>
  <c r="X81" i="1" s="1"/>
  <c r="G77" i="14"/>
  <c r="G62" i="14"/>
  <c r="H62" i="14"/>
  <c r="X66" i="1" s="1"/>
  <c r="G101" i="14"/>
  <c r="H101" i="14"/>
  <c r="X105" i="1" s="1"/>
  <c r="G92" i="14"/>
  <c r="H92" i="14"/>
  <c r="X96" i="1" s="1"/>
  <c r="G72" i="14"/>
  <c r="H72" i="14"/>
  <c r="X76" i="1" s="1"/>
  <c r="H96" i="14"/>
  <c r="X100" i="1" s="1"/>
  <c r="G96" i="14"/>
  <c r="W30" i="1"/>
  <c r="B26" i="14" s="1"/>
  <c r="W31" i="1"/>
  <c r="B27" i="14" s="1"/>
  <c r="W35" i="1"/>
  <c r="B31" i="14" s="1"/>
  <c r="W55" i="1"/>
  <c r="B51" i="14" s="1"/>
  <c r="W32" i="1"/>
  <c r="B28" i="14" s="1"/>
  <c r="W33" i="1"/>
  <c r="B29" i="14" s="1"/>
  <c r="G42" i="13"/>
  <c r="H42" i="13"/>
  <c r="H45" i="16"/>
  <c r="I45" i="16"/>
  <c r="AA49" i="1" s="1"/>
  <c r="G40" i="13"/>
  <c r="H40" i="13"/>
  <c r="H43" i="16"/>
  <c r="I43" i="16"/>
  <c r="AA47" i="1" s="1"/>
  <c r="G41" i="13"/>
  <c r="H41" i="13"/>
  <c r="H38" i="13"/>
  <c r="G38" i="13"/>
  <c r="H41" i="16"/>
  <c r="I41" i="16"/>
  <c r="AA45" i="1" s="1"/>
  <c r="G44" i="13"/>
  <c r="H44" i="13"/>
  <c r="H39" i="16"/>
  <c r="I39" i="16"/>
  <c r="AA43" i="1" s="1"/>
  <c r="G45" i="13"/>
  <c r="H45" i="13"/>
  <c r="H48" i="16"/>
  <c r="I48" i="16"/>
  <c r="AA52" i="1" s="1"/>
  <c r="B32" i="16"/>
  <c r="G5" i="13"/>
  <c r="H5" i="13" s="1"/>
  <c r="W9" i="1" s="1"/>
  <c r="G35" i="13"/>
  <c r="H35" i="13"/>
  <c r="B38" i="16"/>
  <c r="B35" i="16"/>
  <c r="G47" i="13"/>
  <c r="H47" i="13"/>
  <c r="H50" i="16"/>
  <c r="I50" i="16"/>
  <c r="AA54" i="1" s="1"/>
  <c r="B34" i="16"/>
  <c r="G25" i="13"/>
  <c r="H25" i="13"/>
  <c r="W29" i="1" s="1"/>
  <c r="G50" i="13"/>
  <c r="H50" i="13"/>
  <c r="G34" i="13"/>
  <c r="H34" i="13"/>
  <c r="B37" i="16"/>
  <c r="G48" i="13"/>
  <c r="H48" i="13"/>
  <c r="G32" i="13"/>
  <c r="H32" i="13"/>
  <c r="G49" i="13"/>
  <c r="H49" i="13"/>
  <c r="B36" i="16"/>
  <c r="G46" i="13"/>
  <c r="H46" i="13"/>
  <c r="H49" i="16"/>
  <c r="I49" i="16"/>
  <c r="AA53" i="1" s="1"/>
  <c r="B33" i="16"/>
  <c r="H47" i="16"/>
  <c r="I47" i="16"/>
  <c r="AA51" i="1" s="1"/>
  <c r="G37" i="13"/>
  <c r="H37" i="13"/>
  <c r="H40" i="16"/>
  <c r="I40" i="16"/>
  <c r="AA44" i="1" s="1"/>
  <c r="G30" i="13"/>
  <c r="H30" i="13"/>
  <c r="G6" i="13"/>
  <c r="H6" i="13" s="1"/>
  <c r="W10" i="1" s="1"/>
  <c r="G43" i="13"/>
  <c r="H43" i="13"/>
  <c r="H46" i="16"/>
  <c r="I46" i="16"/>
  <c r="AA50" i="1" s="1"/>
  <c r="G39" i="13"/>
  <c r="H39" i="13"/>
  <c r="H42" i="16"/>
  <c r="I42" i="16"/>
  <c r="AA46" i="1" s="1"/>
  <c r="G33" i="13"/>
  <c r="H33" i="13"/>
  <c r="G36" i="13"/>
  <c r="H36" i="13"/>
  <c r="H44" i="16"/>
  <c r="I44" i="16"/>
  <c r="AA48" i="1" s="1"/>
  <c r="AN36" i="1"/>
  <c r="AN44" i="1"/>
  <c r="AN37" i="1"/>
  <c r="AN41" i="1"/>
  <c r="AN52" i="1"/>
  <c r="AN39" i="1"/>
  <c r="AN50" i="1"/>
  <c r="AN54" i="1"/>
  <c r="AN42" i="1"/>
  <c r="AN46" i="1"/>
  <c r="AN40" i="1"/>
  <c r="AN38" i="1"/>
  <c r="AN48" i="1"/>
  <c r="AO40" i="1"/>
  <c r="AP40" i="1"/>
  <c r="AP41" i="1"/>
  <c r="AO41" i="1"/>
  <c r="AO39" i="1"/>
  <c r="AP39" i="1"/>
  <c r="AO37" i="1"/>
  <c r="AP37" i="1"/>
  <c r="AO36" i="1"/>
  <c r="AP36" i="1"/>
  <c r="AP38" i="1"/>
  <c r="AO38" i="1"/>
  <c r="AP42" i="1"/>
  <c r="AO42" i="1"/>
  <c r="B22" i="16"/>
  <c r="B9" i="14"/>
  <c r="AO44" i="1"/>
  <c r="AP44" i="1"/>
  <c r="AO50" i="1"/>
  <c r="AP50" i="1"/>
  <c r="AO48" i="1"/>
  <c r="AP48" i="1"/>
  <c r="B14" i="16"/>
  <c r="AO54" i="1"/>
  <c r="AP54" i="1"/>
  <c r="AO52" i="1"/>
  <c r="AP52" i="1"/>
  <c r="AO46" i="1"/>
  <c r="AP46" i="1"/>
  <c r="B3" i="15"/>
  <c r="H3" i="15" s="1"/>
  <c r="B13" i="14"/>
  <c r="I18" i="15"/>
  <c r="I12" i="15"/>
  <c r="I5" i="15"/>
  <c r="I16" i="15"/>
  <c r="I31" i="15"/>
  <c r="Z35" i="1" s="1"/>
  <c r="I4" i="15"/>
  <c r="I28" i="15"/>
  <c r="Z32" i="1" s="1"/>
  <c r="I29" i="15"/>
  <c r="Z33" i="1" s="1"/>
  <c r="I7" i="15"/>
  <c r="I6" i="15"/>
  <c r="B3" i="14"/>
  <c r="I24" i="15"/>
  <c r="B10" i="14"/>
  <c r="I11" i="15"/>
  <c r="I17" i="15"/>
  <c r="I30" i="15"/>
  <c r="Z34" i="1" s="1"/>
  <c r="I23" i="15"/>
  <c r="I26" i="15"/>
  <c r="Z30" i="1" s="1"/>
  <c r="I25" i="15"/>
  <c r="I19" i="15"/>
  <c r="I21" i="15"/>
  <c r="I15" i="15"/>
  <c r="B17" i="14"/>
  <c r="I13" i="15"/>
  <c r="B21" i="14"/>
  <c r="B4" i="14"/>
  <c r="I20" i="15"/>
  <c r="B19" i="14"/>
  <c r="I9" i="15"/>
  <c r="B22" i="14"/>
  <c r="I27" i="15"/>
  <c r="Z31" i="1" s="1"/>
  <c r="A14" i="2"/>
  <c r="B10" i="16" l="1"/>
  <c r="B5" i="14"/>
  <c r="G5" i="14" s="1"/>
  <c r="H5" i="14" s="1"/>
  <c r="X9" i="1" s="1"/>
  <c r="AH9" i="1" s="1"/>
  <c r="B6" i="14"/>
  <c r="G6" i="14" s="1"/>
  <c r="H6" i="14" s="1"/>
  <c r="X10" i="1" s="1"/>
  <c r="AH10" i="1" s="1"/>
  <c r="H29" i="14"/>
  <c r="X33" i="1" s="1"/>
  <c r="G29" i="14"/>
  <c r="G27" i="14"/>
  <c r="H27" i="14"/>
  <c r="X31" i="1" s="1"/>
  <c r="H28" i="14"/>
  <c r="X32" i="1" s="1"/>
  <c r="G28" i="14"/>
  <c r="G26" i="14"/>
  <c r="H26" i="14"/>
  <c r="X30" i="1" s="1"/>
  <c r="G51" i="14"/>
  <c r="H51" i="14"/>
  <c r="X55" i="1" s="1"/>
  <c r="G31" i="14"/>
  <c r="H31" i="14"/>
  <c r="X35" i="1" s="1"/>
  <c r="Z24" i="1"/>
  <c r="B20" i="16" s="1"/>
  <c r="Z16" i="1"/>
  <c r="B12" i="16" s="1"/>
  <c r="Z13" i="1"/>
  <c r="B9" i="16" s="1"/>
  <c r="H9" i="16" s="1"/>
  <c r="Z28" i="1"/>
  <c r="B24" i="16" s="1"/>
  <c r="Z8" i="1"/>
  <c r="B4" i="16" s="1"/>
  <c r="Z9" i="1"/>
  <c r="B46" i="14"/>
  <c r="W50" i="1"/>
  <c r="W38" i="1"/>
  <c r="B34" i="14" s="1"/>
  <c r="B41" i="14"/>
  <c r="W45" i="1"/>
  <c r="W44" i="1"/>
  <c r="B40" i="14" s="1"/>
  <c r="B42" i="14"/>
  <c r="W46" i="1"/>
  <c r="Z10" i="1"/>
  <c r="Z20" i="1"/>
  <c r="B16" i="16" s="1"/>
  <c r="Z17" i="1"/>
  <c r="B13" i="16" s="1"/>
  <c r="Z19" i="1"/>
  <c r="B15" i="16" s="1"/>
  <c r="Z29" i="1"/>
  <c r="B25" i="16" s="1"/>
  <c r="B23" i="16"/>
  <c r="Z27" i="1"/>
  <c r="Z15" i="1"/>
  <c r="B32" i="14"/>
  <c r="H32" i="14" s="1"/>
  <c r="X36" i="1" s="1"/>
  <c r="W36" i="1"/>
  <c r="B47" i="14"/>
  <c r="W51" i="1"/>
  <c r="B21" i="16"/>
  <c r="H21" i="16" s="1"/>
  <c r="Z25" i="1"/>
  <c r="B50" i="14"/>
  <c r="W54" i="1"/>
  <c r="B45" i="14"/>
  <c r="H45" i="14" s="1"/>
  <c r="X49" i="1" s="1"/>
  <c r="W49" i="1"/>
  <c r="B44" i="14"/>
  <c r="W48" i="1"/>
  <c r="B19" i="16"/>
  <c r="H19" i="16" s="1"/>
  <c r="Z23" i="1"/>
  <c r="Z21" i="1"/>
  <c r="B17" i="16" s="1"/>
  <c r="Z11" i="1"/>
  <c r="B7" i="16" s="1"/>
  <c r="H7" i="16" s="1"/>
  <c r="B18" i="16"/>
  <c r="Z22" i="1"/>
  <c r="B36" i="14"/>
  <c r="G36" i="14" s="1"/>
  <c r="W40" i="1"/>
  <c r="B33" i="14"/>
  <c r="W37" i="1"/>
  <c r="B39" i="14"/>
  <c r="G39" i="14" s="1"/>
  <c r="W43" i="1"/>
  <c r="B43" i="14"/>
  <c r="W47" i="1"/>
  <c r="B30" i="14"/>
  <c r="G30" i="14" s="1"/>
  <c r="W34" i="1"/>
  <c r="B37" i="14"/>
  <c r="W41" i="1"/>
  <c r="W53" i="1"/>
  <c r="B49" i="14" s="1"/>
  <c r="B48" i="14"/>
  <c r="W52" i="1"/>
  <c r="W39" i="1"/>
  <c r="B35" i="14" s="1"/>
  <c r="B38" i="14"/>
  <c r="W42" i="1"/>
  <c r="H14" i="16"/>
  <c r="I14" i="16"/>
  <c r="AA18" i="1" s="1"/>
  <c r="H36" i="16"/>
  <c r="I36" i="16"/>
  <c r="AA40" i="1" s="1"/>
  <c r="G50" i="14"/>
  <c r="H50" i="14"/>
  <c r="X54" i="1" s="1"/>
  <c r="H34" i="16"/>
  <c r="I34" i="16"/>
  <c r="AA38" i="1" s="1"/>
  <c r="H38" i="16"/>
  <c r="I38" i="16"/>
  <c r="AA42" i="1" s="1"/>
  <c r="G44" i="14"/>
  <c r="H44" i="14"/>
  <c r="X48" i="1" s="1"/>
  <c r="H10" i="16"/>
  <c r="I10" i="16"/>
  <c r="AA14" i="1" s="1"/>
  <c r="AI14" i="1" s="1"/>
  <c r="H33" i="14"/>
  <c r="X37" i="1" s="1"/>
  <c r="G33" i="14"/>
  <c r="G43" i="14"/>
  <c r="H43" i="14"/>
  <c r="X47" i="1" s="1"/>
  <c r="H37" i="14"/>
  <c r="X41" i="1" s="1"/>
  <c r="G37" i="14"/>
  <c r="G48" i="14"/>
  <c r="H48" i="14"/>
  <c r="X52" i="1" s="1"/>
  <c r="H37" i="16"/>
  <c r="I37" i="16"/>
  <c r="AA41" i="1" s="1"/>
  <c r="H35" i="16"/>
  <c r="I35" i="16"/>
  <c r="AA39" i="1" s="1"/>
  <c r="H32" i="16"/>
  <c r="I32" i="16"/>
  <c r="AA36" i="1" s="1"/>
  <c r="G38" i="14"/>
  <c r="H38" i="14"/>
  <c r="X42" i="1" s="1"/>
  <c r="I19" i="16"/>
  <c r="AA23" i="1" s="1"/>
  <c r="H18" i="16"/>
  <c r="I18" i="16"/>
  <c r="AA22" i="1" s="1"/>
  <c r="H22" i="16"/>
  <c r="I22" i="16"/>
  <c r="AA26" i="1" s="1"/>
  <c r="G46" i="14"/>
  <c r="H46" i="14"/>
  <c r="X50" i="1" s="1"/>
  <c r="H41" i="14"/>
  <c r="X45" i="1" s="1"/>
  <c r="G41" i="14"/>
  <c r="G42" i="14"/>
  <c r="H42" i="14"/>
  <c r="X46" i="1" s="1"/>
  <c r="H23" i="16"/>
  <c r="I23" i="16"/>
  <c r="AA27" i="1" s="1"/>
  <c r="H8" i="16"/>
  <c r="I8" i="16" s="1"/>
  <c r="AA12" i="1" s="1"/>
  <c r="AI12" i="1" s="1"/>
  <c r="H33" i="16"/>
  <c r="I33" i="16"/>
  <c r="AA37" i="1" s="1"/>
  <c r="G32" i="14"/>
  <c r="G47" i="14"/>
  <c r="H47" i="14"/>
  <c r="X51" i="1" s="1"/>
  <c r="H17" i="14"/>
  <c r="X21" i="1" s="1"/>
  <c r="G17" i="14"/>
  <c r="G9" i="14"/>
  <c r="H9" i="14" s="1"/>
  <c r="X13" i="1" s="1"/>
  <c r="AH13" i="1" s="1"/>
  <c r="H21" i="14"/>
  <c r="X25" i="1" s="1"/>
  <c r="G21" i="14"/>
  <c r="G22" i="14"/>
  <c r="H22" i="14"/>
  <c r="X26" i="1" s="1"/>
  <c r="G4" i="14"/>
  <c r="H4" i="14" s="1"/>
  <c r="X8" i="1" s="1"/>
  <c r="AH8" i="1" s="1"/>
  <c r="H19" i="14"/>
  <c r="X23" i="1" s="1"/>
  <c r="G19" i="14"/>
  <c r="G10" i="14"/>
  <c r="H10" i="14"/>
  <c r="X14" i="1" s="1"/>
  <c r="AH14" i="1" s="1"/>
  <c r="G3" i="14"/>
  <c r="H3" i="14" s="1"/>
  <c r="X7" i="1" s="1"/>
  <c r="AH7" i="1" s="1"/>
  <c r="H13" i="14"/>
  <c r="X17" i="1" s="1"/>
  <c r="G13" i="14"/>
  <c r="B30" i="16"/>
  <c r="B28" i="16"/>
  <c r="B23" i="14"/>
  <c r="B14" i="14"/>
  <c r="B26" i="16"/>
  <c r="B12" i="14"/>
  <c r="B15" i="14"/>
  <c r="B18" i="14"/>
  <c r="B7" i="14"/>
  <c r="B29" i="16"/>
  <c r="B11" i="14"/>
  <c r="B24" i="14"/>
  <c r="B20" i="14"/>
  <c r="B8" i="14"/>
  <c r="B16" i="14"/>
  <c r="I3" i="15"/>
  <c r="A15" i="2"/>
  <c r="B11" i="16" l="1"/>
  <c r="I11" i="16" s="1"/>
  <c r="AA15" i="1" s="1"/>
  <c r="AI15" i="1" s="1"/>
  <c r="AL14" i="1"/>
  <c r="AM14" i="1" s="1"/>
  <c r="H17" i="16"/>
  <c r="I17" i="16"/>
  <c r="AA21" i="1" s="1"/>
  <c r="H20" i="16"/>
  <c r="I20" i="16"/>
  <c r="AA24" i="1" s="1"/>
  <c r="H15" i="16"/>
  <c r="I15" i="16"/>
  <c r="AA19" i="1" s="1"/>
  <c r="I16" i="16"/>
  <c r="AA20" i="1" s="1"/>
  <c r="H16" i="16"/>
  <c r="I9" i="16"/>
  <c r="AA13" i="1" s="1"/>
  <c r="AI13" i="1" s="1"/>
  <c r="AL13" i="1" s="1"/>
  <c r="AM13" i="1" s="1"/>
  <c r="I4" i="16"/>
  <c r="AA8" i="1" s="1"/>
  <c r="AI8" i="1" s="1"/>
  <c r="AL8" i="1" s="1"/>
  <c r="AM8" i="1" s="1"/>
  <c r="H4" i="16"/>
  <c r="B6" i="16"/>
  <c r="H6" i="16" s="1"/>
  <c r="B5" i="16"/>
  <c r="H49" i="14"/>
  <c r="X53" i="1" s="1"/>
  <c r="G49" i="14"/>
  <c r="H25" i="16"/>
  <c r="I25" i="16"/>
  <c r="AA29" i="1" s="1"/>
  <c r="G35" i="14"/>
  <c r="H35" i="14"/>
  <c r="X39" i="1" s="1"/>
  <c r="H12" i="16"/>
  <c r="I12" i="16"/>
  <c r="AA16" i="1" s="1"/>
  <c r="G34" i="14"/>
  <c r="H34" i="14"/>
  <c r="X38" i="1" s="1"/>
  <c r="G40" i="14"/>
  <c r="H40" i="14"/>
  <c r="X44" i="1" s="1"/>
  <c r="H24" i="16"/>
  <c r="I24" i="16"/>
  <c r="AA28" i="1" s="1"/>
  <c r="H11" i="16"/>
  <c r="H13" i="16"/>
  <c r="I13" i="16"/>
  <c r="AA17" i="1" s="1"/>
  <c r="Z7" i="1"/>
  <c r="I7" i="16"/>
  <c r="AA11" i="1" s="1"/>
  <c r="AI11" i="1" s="1"/>
  <c r="H30" i="14"/>
  <c r="X34" i="1" s="1"/>
  <c r="H39" i="14"/>
  <c r="X43" i="1" s="1"/>
  <c r="H36" i="14"/>
  <c r="X40" i="1" s="1"/>
  <c r="G45" i="14"/>
  <c r="I21" i="16"/>
  <c r="AA25" i="1" s="1"/>
  <c r="H30" i="16"/>
  <c r="I30" i="16"/>
  <c r="AA34" i="1" s="1"/>
  <c r="H29" i="16"/>
  <c r="I29" i="16"/>
  <c r="AA33" i="1" s="1"/>
  <c r="B27" i="16"/>
  <c r="H26" i="16"/>
  <c r="I26" i="16"/>
  <c r="AA30" i="1" s="1"/>
  <c r="B31" i="16"/>
  <c r="H28" i="16"/>
  <c r="I28" i="16"/>
  <c r="AA32" i="1" s="1"/>
  <c r="G11" i="14"/>
  <c r="H11" i="14" s="1"/>
  <c r="X15" i="1" s="1"/>
  <c r="AH15" i="1" s="1"/>
  <c r="AL15" i="1" s="1"/>
  <c r="AM15" i="1" s="1"/>
  <c r="G8" i="14"/>
  <c r="H8" i="14"/>
  <c r="X12" i="1" s="1"/>
  <c r="AH12" i="1" s="1"/>
  <c r="AL12" i="1" s="1"/>
  <c r="AM12" i="1" s="1"/>
  <c r="G24" i="14"/>
  <c r="H24" i="14"/>
  <c r="X28" i="1" s="1"/>
  <c r="H15" i="14"/>
  <c r="X19" i="1" s="1"/>
  <c r="G15" i="14"/>
  <c r="H23" i="14"/>
  <c r="X27" i="1" s="1"/>
  <c r="G23" i="14"/>
  <c r="G20" i="14"/>
  <c r="H20" i="14"/>
  <c r="X24" i="1" s="1"/>
  <c r="G18" i="14"/>
  <c r="H18" i="14"/>
  <c r="X22" i="1" s="1"/>
  <c r="G14" i="14"/>
  <c r="H14" i="14"/>
  <c r="X18" i="1" s="1"/>
  <c r="G16" i="14"/>
  <c r="H16" i="14"/>
  <c r="X20" i="1" s="1"/>
  <c r="G7" i="14"/>
  <c r="H7" i="14"/>
  <c r="X11" i="1" s="1"/>
  <c r="AH11" i="1" s="1"/>
  <c r="G12" i="14"/>
  <c r="H12" i="14"/>
  <c r="X16" i="1" s="1"/>
  <c r="B25" i="14"/>
  <c r="A16" i="2"/>
  <c r="B3" i="16" l="1"/>
  <c r="H3" i="16" s="1"/>
  <c r="I3" i="16" s="1"/>
  <c r="AA7" i="1" s="1"/>
  <c r="AI7" i="1" s="1"/>
  <c r="AL7" i="1" s="1"/>
  <c r="AM7" i="1" s="1"/>
  <c r="H5" i="16"/>
  <c r="I5" i="16" s="1"/>
  <c r="AA9" i="1" s="1"/>
  <c r="AI9" i="1" s="1"/>
  <c r="AL9" i="1" s="1"/>
  <c r="AM9" i="1" s="1"/>
  <c r="I6" i="16"/>
  <c r="AA10" i="1" s="1"/>
  <c r="AI10" i="1" s="1"/>
  <c r="AL10" i="1" s="1"/>
  <c r="AM10" i="1" s="1"/>
  <c r="AL11" i="1"/>
  <c r="AM11" i="1" s="1"/>
  <c r="H31" i="16"/>
  <c r="I31" i="16"/>
  <c r="AA35" i="1" s="1"/>
  <c r="H27" i="16"/>
  <c r="I27" i="16"/>
  <c r="AA31" i="1" s="1"/>
  <c r="AN26" i="1"/>
  <c r="AN31" i="1"/>
  <c r="AN13" i="1"/>
  <c r="AN23" i="1"/>
  <c r="AN34" i="1"/>
  <c r="AN30" i="1"/>
  <c r="AN25" i="1"/>
  <c r="AN35" i="1"/>
  <c r="AN21" i="1"/>
  <c r="AN14" i="1"/>
  <c r="AP14" i="1" s="1"/>
  <c r="AN8" i="1"/>
  <c r="AP8" i="1" s="1"/>
  <c r="AN33" i="1"/>
  <c r="H25" i="14"/>
  <c r="X29" i="1" s="1"/>
  <c r="G25" i="14"/>
  <c r="AO13" i="1"/>
  <c r="AP13" i="1"/>
  <c r="AO21" i="1"/>
  <c r="AP21" i="1"/>
  <c r="AO25" i="1"/>
  <c r="AP25" i="1"/>
  <c r="AP23" i="1"/>
  <c r="AO23" i="1"/>
  <c r="AP26" i="1"/>
  <c r="AO26" i="1"/>
  <c r="AP30" i="1"/>
  <c r="AO30" i="1"/>
  <c r="AO14" i="1"/>
  <c r="AO33" i="1"/>
  <c r="AP33" i="1"/>
  <c r="AO31" i="1"/>
  <c r="AP31" i="1"/>
  <c r="AO35" i="1"/>
  <c r="AP35" i="1"/>
  <c r="AP34" i="1"/>
  <c r="AO34" i="1"/>
  <c r="A17" i="2"/>
  <c r="AO8" i="1" l="1"/>
  <c r="AN20" i="1"/>
  <c r="AN10" i="1"/>
  <c r="AO10" i="1" s="1"/>
  <c r="AN24" i="1"/>
  <c r="AN12" i="1"/>
  <c r="AO12" i="1" s="1"/>
  <c r="AN16" i="1"/>
  <c r="AN19" i="1"/>
  <c r="AN11" i="1"/>
  <c r="AP11" i="1" s="1"/>
  <c r="AN27" i="1"/>
  <c r="AN17" i="1"/>
  <c r="AN15" i="1"/>
  <c r="AO15" i="1" s="1"/>
  <c r="AN7" i="1"/>
  <c r="AP7" i="1" s="1"/>
  <c r="AN28" i="1"/>
  <c r="AN32" i="1"/>
  <c r="AN22" i="1"/>
  <c r="AO32" i="1"/>
  <c r="AP32" i="1"/>
  <c r="AN18" i="1"/>
  <c r="AO28" i="1"/>
  <c r="AP28" i="1"/>
  <c r="AO27" i="1"/>
  <c r="AP27" i="1"/>
  <c r="AO16" i="1"/>
  <c r="AP16" i="1"/>
  <c r="AO22" i="1"/>
  <c r="AP22" i="1"/>
  <c r="AO24" i="1"/>
  <c r="AP24" i="1"/>
  <c r="AO17" i="1"/>
  <c r="AP17" i="1"/>
  <c r="AO20" i="1"/>
  <c r="AP20" i="1"/>
  <c r="AP19" i="1"/>
  <c r="AO19" i="1"/>
  <c r="AP15" i="1"/>
  <c r="A18" i="2"/>
  <c r="AO11" i="1" l="1"/>
  <c r="AP12" i="1"/>
  <c r="AP10" i="1"/>
  <c r="AO7" i="1"/>
  <c r="AO18" i="1"/>
  <c r="AP18" i="1"/>
  <c r="A19" i="2"/>
  <c r="Y6" i="1"/>
  <c r="B2" i="15" l="1"/>
  <c r="A20" i="2"/>
  <c r="V6" i="1"/>
  <c r="B2" i="13" l="1"/>
  <c r="G2" i="13" s="1"/>
  <c r="I2" i="15"/>
  <c r="A21" i="2"/>
  <c r="AB6" i="1"/>
  <c r="B2" i="17" s="1"/>
  <c r="Z6" i="1" l="1"/>
  <c r="N10" i="15"/>
  <c r="N8" i="15"/>
  <c r="N9" i="15"/>
  <c r="N13" i="15"/>
  <c r="N6" i="15"/>
  <c r="N5" i="15"/>
  <c r="N3" i="15"/>
  <c r="N12" i="15"/>
  <c r="N7" i="15"/>
  <c r="N4" i="15"/>
  <c r="N11" i="15"/>
  <c r="A22" i="2"/>
  <c r="B2" i="16" l="1"/>
  <c r="A23" i="2"/>
  <c r="H2" i="16" l="1"/>
  <c r="I2" i="16" s="1"/>
  <c r="A24" i="2"/>
  <c r="AA6" i="1" l="1"/>
  <c r="AI6" i="1" s="1"/>
  <c r="N5" i="16"/>
  <c r="N3" i="16"/>
  <c r="N8" i="16"/>
  <c r="N7" i="16"/>
  <c r="N11" i="16"/>
  <c r="N6" i="16"/>
  <c r="N4" i="16"/>
  <c r="N10" i="16"/>
  <c r="N12" i="16"/>
  <c r="N9" i="16"/>
  <c r="N13" i="16"/>
  <c r="A25" i="2"/>
  <c r="AV22" i="1" l="1"/>
  <c r="AZ22" i="1"/>
  <c r="BD22" i="1"/>
  <c r="AW22" i="1"/>
  <c r="BA22" i="1"/>
  <c r="BE22" i="1"/>
  <c r="BB22" i="1"/>
  <c r="AU22" i="1"/>
  <c r="AX22" i="1"/>
  <c r="AY22" i="1"/>
  <c r="BC22" i="1"/>
  <c r="A26" i="2"/>
  <c r="BG22" i="1" l="1"/>
  <c r="A27" i="2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A62" i="2" l="1"/>
  <c r="A63" i="2" l="1"/>
  <c r="A64" i="2" l="1"/>
  <c r="A65" i="2" l="1"/>
  <c r="A66" i="2" l="1"/>
  <c r="A67" i="2" l="1"/>
  <c r="A68" i="2" l="1"/>
  <c r="A69" i="2" l="1"/>
  <c r="A70" i="2" l="1"/>
  <c r="A71" i="2" l="1"/>
  <c r="A72" i="2" l="1"/>
  <c r="A73" i="2" l="1"/>
  <c r="A74" i="2" l="1"/>
  <c r="A75" i="2" l="1"/>
  <c r="A76" i="2" l="1"/>
  <c r="A77" i="2" l="1"/>
  <c r="A78" i="2" l="1"/>
  <c r="A79" i="2" l="1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B106" i="9"/>
  <c r="V106" i="9" s="1"/>
  <c r="H2" i="13" l="1"/>
  <c r="M10" i="13" l="1"/>
  <c r="M8" i="13"/>
  <c r="M11" i="13"/>
  <c r="M5" i="13"/>
  <c r="M12" i="13"/>
  <c r="M3" i="13"/>
  <c r="M6" i="13"/>
  <c r="W6" i="1"/>
  <c r="M4" i="13"/>
  <c r="M13" i="13"/>
  <c r="M9" i="13"/>
  <c r="M7" i="13"/>
  <c r="B2" i="14" l="1"/>
  <c r="AN9" i="1" l="1"/>
  <c r="AO9" i="1" s="1"/>
  <c r="G2" i="14"/>
  <c r="H2" i="14" s="1"/>
  <c r="X6" i="1" s="1"/>
  <c r="AH6" i="1" s="1"/>
  <c r="AP9" i="1" l="1"/>
  <c r="AN29" i="1"/>
  <c r="AO29" i="1"/>
  <c r="AP29" i="1"/>
  <c r="AL6" i="1"/>
  <c r="AM6" i="1" s="1"/>
  <c r="AZ13" i="1"/>
  <c r="BE13" i="1"/>
  <c r="M12" i="14"/>
  <c r="M10" i="14"/>
  <c r="M7" i="14"/>
  <c r="M6" i="14"/>
  <c r="M4" i="14"/>
  <c r="M9" i="14"/>
  <c r="M5" i="14"/>
  <c r="M3" i="14"/>
  <c r="M11" i="14"/>
  <c r="M8" i="14"/>
  <c r="M13" i="14"/>
  <c r="AU13" i="1" l="1"/>
  <c r="F2" i="17"/>
  <c r="G2" i="17" s="1"/>
  <c r="AN6" i="1"/>
  <c r="AP6" i="1" s="1"/>
  <c r="BA13" i="1"/>
  <c r="AV13" i="1"/>
  <c r="BB13" i="1"/>
  <c r="AW13" i="1"/>
  <c r="BC13" i="1"/>
  <c r="AX13" i="1"/>
  <c r="BD13" i="1"/>
  <c r="AY13" i="1"/>
  <c r="AT5" i="1"/>
  <c r="BE5" i="1"/>
  <c r="BD5" i="1"/>
  <c r="L11" i="17" l="1"/>
  <c r="AC6" i="1"/>
  <c r="BG13" i="1"/>
  <c r="L12" i="17"/>
  <c r="L6" i="17"/>
  <c r="AO6" i="1"/>
  <c r="L3" i="17"/>
  <c r="L13" i="17"/>
  <c r="L8" i="17"/>
  <c r="L9" i="17"/>
  <c r="L5" i="17"/>
  <c r="L10" i="17"/>
  <c r="L4" i="17"/>
  <c r="L7" i="17"/>
  <c r="BC5" i="1" l="1"/>
  <c r="BB5" i="1"/>
  <c r="AW5" i="1"/>
  <c r="AZ5" i="1"/>
  <c r="BA5" i="1"/>
  <c r="AX5" i="1"/>
  <c r="AY5" i="1"/>
  <c r="BG5" i="1" l="1"/>
  <c r="B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  <author>Electron-UTM</author>
  </authors>
  <commentList>
    <comment ref="W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Microsoft Office:</t>
        </r>
        <r>
          <rPr>
            <sz val="9"/>
            <color indexed="81"/>
            <rFont val="Tahoma"/>
            <family val="2"/>
          </rPr>
          <t xml:space="preserve">
Aici se indica data cand trebuie sustinuta lucrarea de laborator</t>
        </r>
      </text>
    </comment>
    <comment ref="AL6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Electron-UTM:</t>
        </r>
        <r>
          <rPr>
            <sz val="9"/>
            <color indexed="81"/>
            <rFont val="Tahoma"/>
            <family val="2"/>
            <charset val="204"/>
          </rPr>
          <t xml:space="preserve">
Suma penalitatilor</t>
        </r>
      </text>
    </comment>
  </commentList>
</comments>
</file>

<file path=xl/sharedStrings.xml><?xml version="1.0" encoding="utf-8"?>
<sst xmlns="http://schemas.openxmlformats.org/spreadsheetml/2006/main" count="357" uniqueCount="189">
  <si>
    <t>Nr.</t>
  </si>
  <si>
    <t>Nume, Prenume</t>
  </si>
  <si>
    <t>e-mail</t>
  </si>
  <si>
    <t>Atestarea Nr.1</t>
  </si>
  <si>
    <t>Atestarea Nr.2</t>
  </si>
  <si>
    <t>Sesiunea</t>
  </si>
  <si>
    <t>Examen</t>
  </si>
  <si>
    <t>Reexam</t>
  </si>
  <si>
    <t>Atest.1.1</t>
  </si>
  <si>
    <t>Atest.1.3</t>
  </si>
  <si>
    <t>Atest.1.2</t>
  </si>
  <si>
    <t>Atest.2.1</t>
  </si>
  <si>
    <t>Atest.2.3</t>
  </si>
  <si>
    <t>Atest.2.2</t>
  </si>
  <si>
    <t>Nota semestrială</t>
  </si>
  <si>
    <t>Ev.finală (0.4)</t>
  </si>
  <si>
    <t>Nota finală</t>
  </si>
  <si>
    <t>Componente</t>
  </si>
  <si>
    <t>Media trunchiată (0.6)</t>
  </si>
  <si>
    <t>în sist.național, trunchiată</t>
  </si>
  <si>
    <t>Conform ECTS</t>
  </si>
  <si>
    <t>nr.1</t>
  </si>
  <si>
    <t>nr.2</t>
  </si>
  <si>
    <t>Evaluarea curentă</t>
  </si>
  <si>
    <t>Lucrul individual</t>
  </si>
  <si>
    <t>item 1</t>
  </si>
  <si>
    <t>item 2</t>
  </si>
  <si>
    <t>item 3</t>
  </si>
  <si>
    <t>item 4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</si>
  <si>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</si>
  <si>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</si>
  <si>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</si>
  <si>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</si>
  <si>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</si>
  <si>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</si>
  <si>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Curs</t>
  </si>
  <si>
    <t>2
2p</t>
  </si>
  <si>
    <t>3
4p</t>
  </si>
  <si>
    <t>4
4p</t>
  </si>
  <si>
    <t>5
10p</t>
  </si>
  <si>
    <t>item 1
6 p</t>
  </si>
  <si>
    <t>item 3
14 p</t>
  </si>
  <si>
    <t>item 2
10 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</si>
  <si>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</si>
  <si>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</si>
  <si>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</si>
  <si>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</si>
  <si>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</si>
  <si>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</si>
  <si>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</si>
  <si>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</si>
  <si>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</si>
  <si>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</si>
  <si>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</si>
  <si>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</si>
  <si>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</si>
  <si>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</si>
  <si>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</si>
  <si>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Var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</si>
  <si>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</si>
  <si>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</si>
  <si>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</si>
  <si>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</si>
  <si>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</si>
  <si>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</si>
  <si>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</si>
  <si>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</si>
  <si>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</si>
  <si>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</si>
  <si>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1_x000D_
10 p</t>
  </si>
  <si>
    <t>Examen:</t>
  </si>
  <si>
    <t>Prezenta</t>
  </si>
  <si>
    <t>Exam</t>
  </si>
  <si>
    <t>Borderou</t>
  </si>
  <si>
    <t>Prezenti</t>
  </si>
  <si>
    <t>Admisi</t>
  </si>
  <si>
    <t>L1</t>
  </si>
  <si>
    <t>L2</t>
  </si>
  <si>
    <t>L3</t>
  </si>
  <si>
    <t>L4</t>
  </si>
  <si>
    <t>L5</t>
  </si>
  <si>
    <t>L6</t>
  </si>
  <si>
    <t>L7</t>
  </si>
  <si>
    <t>Varianta</t>
  </si>
  <si>
    <t>Total</t>
  </si>
  <si>
    <t>Data susținerii--</t>
  </si>
  <si>
    <t>13.05</t>
  </si>
  <si>
    <t>Prezența</t>
  </si>
  <si>
    <t>Evaluarea activităților</t>
  </si>
  <si>
    <t>Penalit</t>
  </si>
  <si>
    <t>Penalități</t>
  </si>
  <si>
    <t xml:space="preserve">Nr. Subgrupe - </t>
  </si>
  <si>
    <t>Nota medie</t>
  </si>
  <si>
    <t>LGC 2</t>
  </si>
  <si>
    <t>Puncte activ. suplim</t>
  </si>
  <si>
    <t>Ore absentate</t>
  </si>
  <si>
    <t>Evidenţa îndeplinirii planului de învăţământ</t>
  </si>
  <si>
    <t>Evidenţa frecvenţei, reuşitei curente, evaluării curente a studenţilor</t>
  </si>
  <si>
    <t>Nr. crt.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</si>
  <si>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</si>
  <si>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</si>
  <si>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</si>
  <si>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</si>
  <si>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</si>
  <si>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</si>
  <si>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 xml:space="preserve">Total plan </t>
  </si>
  <si>
    <t xml:space="preserve">Total realizat </t>
  </si>
  <si>
    <t>Numele, prenumele</t>
  </si>
  <si>
    <r>
      <t>Denumirea disciplinei _</t>
    </r>
    <r>
      <rPr>
        <u/>
        <sz val="12"/>
        <color theme="1"/>
        <rFont val="Calibri"/>
        <family val="2"/>
        <scheme val="minor"/>
      </rPr>
      <t>_Mecanica Teoretică</t>
    </r>
    <r>
      <rPr>
        <sz val="12"/>
        <color theme="1"/>
        <rFont val="Calibri"/>
        <family val="2"/>
        <charset val="238"/>
        <scheme val="minor"/>
      </rPr>
      <t>____</t>
    </r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</si>
  <si>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</si>
  <si>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r>
      <t>Cadrul didactic:</t>
    </r>
    <r>
      <rPr>
        <u/>
        <sz val="12"/>
        <color theme="1"/>
        <rFont val="Calibri"/>
        <family val="2"/>
        <scheme val="minor"/>
      </rPr>
      <t xml:space="preserve"> </t>
    </r>
  </si>
  <si>
    <t>Lucrare de laborator Nr.1. Introducere în MatLab</t>
  </si>
  <si>
    <t>Lucrare de laborator Nr.2. Grafica în MatLab</t>
  </si>
  <si>
    <t>Lucrare de laborator Nr.3. Studiul cinematicii punctului (MatLab)</t>
  </si>
  <si>
    <t>Lucrare de laborator Nr.4. Compunerea oscilațiilor armonice</t>
  </si>
  <si>
    <t>Laborator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</si>
  <si>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Lucrări de laborator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</si>
  <si>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Rezultate atestări și sesiune</t>
  </si>
  <si>
    <t>Tema 1. Cinematica punctului. Introducere. Noțiuni fundamentale. Traiectorie, viteză, accelerații</t>
  </si>
  <si>
    <t>Tema 2. Cinematica corpului solid rigid. Mișcarea de translație. Mișcarea de rotație</t>
  </si>
  <si>
    <t>Tema 3. Mișcarea plan-paralelă a rigidului. Determinarea vitezelor. Centrul instantaneu al vitezelor.</t>
  </si>
  <si>
    <t>Tema 4. Mișcarea compusă a punctului materiale. Teorema Coriolis</t>
  </si>
  <si>
    <t>Tema 5. Dinamica punctului material liber. Problemele dinamicii. Medii cu rezistență</t>
  </si>
  <si>
    <t>Tema 6. Ecuațiile diferențiale ale mișcării punctului material. Pendulul matermatic. Dinamica mișcării relative. Forțe de inerție.</t>
  </si>
  <si>
    <t>Tema 7. Dinamica sistemului mecanic și a rigidului. Cantintatea de mișcare (impulsul). Impulsul forței. Teorema variației impuls.</t>
  </si>
  <si>
    <t>Tema 9. Energia cinetică a sistemului mecanic. Teorema Konig. Lucrul forțelor. Teorema var. energ. cinetice.</t>
  </si>
  <si>
    <t>Tema 10. Câmp de forțe. Energia potențială. Legea conservării energiei mecanice.</t>
  </si>
  <si>
    <t>Tema 11. Statica analitică. Legături ideale. Deplasări reale și virtuale. Principiul deplasărilor virtuale.</t>
  </si>
  <si>
    <t xml:space="preserve">Tema 12. Coordonate generalizate. </t>
  </si>
  <si>
    <t>Tema 13. Ecuațiile lui Lagrange de speța II. Aplicarea la studierea mișcării unui sistem de corpuri.</t>
  </si>
  <si>
    <t xml:space="preserve">Lucrare de laborator Nr.5. Calculul caracteristicilor cinematice ale mișcării corpului rigid. </t>
  </si>
  <si>
    <t xml:space="preserve">Lucrare de laborator Nr.6. Studiul oscilațiilor rectilinii ale unui punct material </t>
  </si>
  <si>
    <t xml:space="preserve">Lucrare de laborator Nr.6.Studiul oscilațiilor rectilinii ale unui punct material </t>
  </si>
  <si>
    <t xml:space="preserve">Lucrare de laborator Nr.7. Dinamica punctului material în prezența forțelor de rezistență. </t>
  </si>
  <si>
    <t>Totalizare.</t>
  </si>
  <si>
    <t>Puncte utilizate</t>
  </si>
  <si>
    <t>LGC 1
C2 + C3.1</t>
  </si>
  <si>
    <t>29.01</t>
  </si>
  <si>
    <t>5.02</t>
  </si>
  <si>
    <t>12.02</t>
  </si>
  <si>
    <t>19.02</t>
  </si>
  <si>
    <t>26.02</t>
  </si>
  <si>
    <t>4.03</t>
  </si>
  <si>
    <t>11.03</t>
  </si>
  <si>
    <t>18.03</t>
  </si>
  <si>
    <t>25.03</t>
  </si>
  <si>
    <t>1.04</t>
  </si>
  <si>
    <t>8.04</t>
  </si>
  <si>
    <t>15.04</t>
  </si>
  <si>
    <t>22.04</t>
  </si>
  <si>
    <t>29.04</t>
  </si>
  <si>
    <t>2.02</t>
  </si>
  <si>
    <t>9.02</t>
  </si>
  <si>
    <t>16.02</t>
  </si>
  <si>
    <t>23.02</t>
  </si>
  <si>
    <t>1.03</t>
  </si>
  <si>
    <t>8.03</t>
  </si>
  <si>
    <t>15.03</t>
  </si>
  <si>
    <t>22.03</t>
  </si>
  <si>
    <t>29.03</t>
  </si>
  <si>
    <t>5.04</t>
  </si>
  <si>
    <t>12.04</t>
  </si>
  <si>
    <t>19.04</t>
  </si>
  <si>
    <t>26.04</t>
  </si>
  <si>
    <t>3.05</t>
  </si>
  <si>
    <t>9.02
16.02</t>
  </si>
  <si>
    <t>23.02
1.03</t>
  </si>
  <si>
    <t>8.03
15.03</t>
  </si>
  <si>
    <t>22.03
29.03</t>
  </si>
  <si>
    <t>5.04
12.04</t>
  </si>
  <si>
    <t>19.04
26.04</t>
  </si>
  <si>
    <t>3.05
10.05</t>
  </si>
  <si>
    <t>Dacă studentul a susținut toate laboratoarele, 
puneti în dreptul lui Admis.
 In caz contrar lăsați celula liberă (în acest caz nota nu se va duce în borderou pe pagina 'Curs')</t>
  </si>
  <si>
    <t>Examen
(Admis, N/A)</t>
  </si>
  <si>
    <t>1</t>
  </si>
  <si>
    <t>supl</t>
  </si>
  <si>
    <t>04.04</t>
  </si>
  <si>
    <t>17.05</t>
  </si>
  <si>
    <t>Tema 8. Momentul cinetic al sistemului mecanic. Teorema variației momentului cinetic. Pendulul fizic.</t>
  </si>
  <si>
    <t>Reușita 
din nr.
total, %</t>
  </si>
  <si>
    <t>Reușita 
din nr.
prez., %</t>
  </si>
  <si>
    <t>Evaluarea periodică Nr.1</t>
  </si>
  <si>
    <t>Nr.
stud</t>
  </si>
  <si>
    <t>Evaluarea periodică Nr.2</t>
  </si>
  <si>
    <t>Tema 14. Oscilații mecanice libere fără rezistență. Teorema Lagrange-Dirichlet. Sistem conservativ cu un grad de libertate</t>
  </si>
  <si>
    <t xml:space="preserve">Tema 15. Oscilații mecanice forțate în prezența mediului rezistent. </t>
  </si>
  <si>
    <t>Mecanica Teoretică. Anul de studii: 
Titular: 
Grupa:
Șeful grupei:</t>
  </si>
  <si>
    <t>Ev.periodice
(Atestările)</t>
  </si>
  <si>
    <t>student@mt.utm.md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</si>
</sst>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[$P]"/>
    <numFmt numFmtId="166" formatCode="0.0%"/>
  </numFmts>
  <fonts count="61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sz val="16"/>
      <color theme="4" tint="-0.249977111117893"/>
      <name val="Times New Roman"/>
      <family val="1"/>
    </font>
    <font>
      <b/>
      <sz val="18"/>
      <name val="Times New Roman"/>
      <family val="1"/>
    </font>
    <font>
      <u/>
      <sz val="11"/>
      <color theme="1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5" fillId="0" borderId="0"/>
    <xf numFmtId="0" fontId="60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 wrapText="1"/>
    </xf>
    <xf numFmtId="0" fontId="10" fillId="0" borderId="0" xfId="0" applyFont="1"/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5" xfId="0" applyNumberFormat="1" applyFont="1" applyBorder="1" applyAlignment="1">
      <alignment horizontal="center" vertical="center" textRotation="90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1" fontId="25" fillId="0" borderId="16" xfId="0" applyNumberFormat="1" applyFont="1" applyBorder="1" applyAlignment="1">
      <alignment horizontal="center" vertical="center" textRotation="90" wrapText="1"/>
    </xf>
    <xf numFmtId="1" fontId="25" fillId="0" borderId="6" xfId="0" applyNumberFormat="1" applyFont="1" applyBorder="1" applyAlignment="1">
      <alignment horizontal="center" vertical="center" textRotation="90" wrapText="1"/>
    </xf>
    <xf numFmtId="0" fontId="30" fillId="0" borderId="0" xfId="0" applyFont="1"/>
    <xf numFmtId="0" fontId="33" fillId="0" borderId="0" xfId="0" applyFont="1" applyAlignment="1">
      <alignment vertical="top" wrapText="1"/>
    </xf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6" fillId="0" borderId="0" xfId="0" applyFont="1"/>
    <xf numFmtId="49" fontId="16" fillId="0" borderId="18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/>
    </xf>
    <xf numFmtId="49" fontId="10" fillId="0" borderId="0" xfId="0" applyNumberFormat="1" applyFont="1"/>
    <xf numFmtId="1" fontId="6" fillId="0" borderId="18" xfId="0" applyNumberFormat="1" applyFont="1" applyBorder="1" applyAlignment="1">
      <alignment horizontal="center" wrapText="1"/>
    </xf>
    <xf numFmtId="1" fontId="16" fillId="0" borderId="0" xfId="0" applyNumberFormat="1" applyFont="1" applyAlignment="1">
      <alignment horizontal="center"/>
    </xf>
    <xf numFmtId="1" fontId="36" fillId="0" borderId="0" xfId="0" applyNumberFormat="1" applyFont="1"/>
    <xf numFmtId="0" fontId="19" fillId="0" borderId="0" xfId="0" applyFont="1" applyAlignment="1">
      <alignment horizontal="center"/>
    </xf>
    <xf numFmtId="0" fontId="23" fillId="0" borderId="0" xfId="0" applyFont="1"/>
    <xf numFmtId="1" fontId="23" fillId="0" borderId="0" xfId="0" applyNumberFormat="1" applyFont="1"/>
    <xf numFmtId="0" fontId="23" fillId="0" borderId="0" xfId="0" applyFont="1" applyAlignment="1">
      <alignment vertical="top" wrapText="1"/>
    </xf>
    <xf numFmtId="0" fontId="39" fillId="0" borderId="0" xfId="0" applyFont="1"/>
    <xf numFmtId="0" fontId="23" fillId="0" borderId="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/>
    </xf>
    <xf numFmtId="0" fontId="23" fillId="0" borderId="0" xfId="0" applyFont="1" applyAlignment="1">
      <alignment textRotation="90"/>
    </xf>
    <xf numFmtId="0" fontId="23" fillId="0" borderId="1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/>
    </xf>
    <xf numFmtId="14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/>
    </xf>
    <xf numFmtId="1" fontId="19" fillId="0" borderId="27" xfId="0" applyNumberFormat="1" applyFont="1" applyBorder="1" applyAlignment="1">
      <alignment horizontal="center" vertical="center" textRotation="90"/>
    </xf>
    <xf numFmtId="1" fontId="19" fillId="0" borderId="27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38" fillId="0" borderId="0" xfId="0" applyFont="1"/>
    <xf numFmtId="0" fontId="37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vertical="center" textRotation="90"/>
    </xf>
    <xf numFmtId="1" fontId="31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 textRotation="90" wrapText="1"/>
    </xf>
    <xf numFmtId="49" fontId="15" fillId="4" borderId="16" xfId="0" applyNumberFormat="1" applyFont="1" applyFill="1" applyBorder="1" applyAlignment="1">
      <alignment horizontal="center" vertical="center" textRotation="90" wrapText="1"/>
    </xf>
    <xf numFmtId="0" fontId="32" fillId="6" borderId="1" xfId="1" applyFont="1" applyFill="1" applyBorder="1" applyAlignment="1">
      <alignment horizontal="center" vertical="center" textRotation="90" wrapText="1"/>
    </xf>
    <xf numFmtId="0" fontId="32" fillId="7" borderId="1" xfId="1" applyFont="1" applyFill="1" applyBorder="1" applyAlignment="1">
      <alignment horizontal="center" vertical="center" textRotation="90" wrapText="1"/>
    </xf>
    <xf numFmtId="0" fontId="36" fillId="0" borderId="0" xfId="0" applyFont="1"/>
    <xf numFmtId="0" fontId="20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textRotation="90" wrapText="1"/>
    </xf>
    <xf numFmtId="1" fontId="21" fillId="0" borderId="12" xfId="0" applyNumberFormat="1" applyFont="1" applyBorder="1" applyAlignment="1">
      <alignment horizontal="center" vertical="center" textRotation="90" wrapText="1"/>
    </xf>
    <xf numFmtId="1" fontId="46" fillId="0" borderId="13" xfId="0" applyNumberFormat="1" applyFont="1" applyBorder="1" applyAlignment="1">
      <alignment horizontal="center" vertical="center"/>
    </xf>
    <xf numFmtId="0" fontId="48" fillId="0" borderId="0" xfId="0" applyFont="1"/>
    <xf numFmtId="0" fontId="49" fillId="0" borderId="31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10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47" fillId="0" borderId="0" xfId="0" applyFont="1"/>
    <xf numFmtId="0" fontId="4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9" fontId="19" fillId="9" borderId="1" xfId="0" applyNumberFormat="1" applyFont="1" applyFill="1" applyBorder="1" applyAlignment="1">
      <alignment horizontal="center" vertical="center" textRotation="90"/>
    </xf>
    <xf numFmtId="0" fontId="50" fillId="0" borderId="0" xfId="0" applyFont="1"/>
    <xf numFmtId="0" fontId="51" fillId="0" borderId="0" xfId="0" applyFont="1"/>
    <xf numFmtId="0" fontId="54" fillId="0" borderId="0" xfId="0" applyFont="1" applyAlignment="1">
      <alignment horizontal="left"/>
    </xf>
    <xf numFmtId="0" fontId="55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56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right" vertical="center" wrapText="1"/>
    </xf>
    <xf numFmtId="0" fontId="57" fillId="0" borderId="1" xfId="0" applyFont="1" applyBorder="1" applyAlignment="1">
      <alignment horizontal="center" vertical="center"/>
    </xf>
    <xf numFmtId="0" fontId="23" fillId="0" borderId="12" xfId="0" applyFont="1" applyBorder="1" applyAlignment="1">
      <alignment vertical="top" wrapText="1"/>
    </xf>
    <xf numFmtId="0" fontId="23" fillId="0" borderId="0" xfId="0" applyFont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textRotation="90"/>
    </xf>
    <xf numFmtId="0" fontId="20" fillId="0" borderId="0" xfId="0" applyFont="1"/>
    <xf numFmtId="164" fontId="23" fillId="0" borderId="0" xfId="0" applyNumberFormat="1" applyFont="1" applyAlignment="1">
      <alignment horizontal="center"/>
    </xf>
    <xf numFmtId="0" fontId="23" fillId="10" borderId="0" xfId="0" applyFont="1" applyFill="1"/>
    <xf numFmtId="0" fontId="23" fillId="10" borderId="0" xfId="0" applyFont="1" applyFill="1" applyAlignment="1">
      <alignment horizontal="center" vertical="center"/>
    </xf>
    <xf numFmtId="164" fontId="44" fillId="0" borderId="0" xfId="0" applyNumberFormat="1" applyFont="1" applyAlignment="1">
      <alignment horizontal="center"/>
    </xf>
    <xf numFmtId="0" fontId="58" fillId="0" borderId="0" xfId="0" applyFont="1"/>
    <xf numFmtId="0" fontId="23" fillId="0" borderId="16" xfId="0" applyFont="1" applyBorder="1" applyAlignment="1">
      <alignment horizontal="center" vertical="center"/>
    </xf>
    <xf numFmtId="14" fontId="19" fillId="8" borderId="32" xfId="0" applyNumberFormat="1" applyFont="1" applyFill="1" applyBorder="1" applyAlignment="1">
      <alignment horizontal="center" vertical="center" textRotation="90" wrapText="1"/>
    </xf>
    <xf numFmtId="14" fontId="19" fillId="8" borderId="33" xfId="0" applyNumberFormat="1" applyFont="1" applyFill="1" applyBorder="1" applyAlignment="1">
      <alignment horizontal="center" vertical="center" textRotation="90"/>
    </xf>
    <xf numFmtId="0" fontId="22" fillId="0" borderId="0" xfId="0" applyFont="1" applyAlignment="1">
      <alignment wrapText="1"/>
    </xf>
    <xf numFmtId="0" fontId="16" fillId="0" borderId="0" xfId="0" applyFont="1" applyAlignment="1">
      <alignment wrapText="1"/>
    </xf>
    <xf numFmtId="166" fontId="49" fillId="0" borderId="0" xfId="0" applyNumberFormat="1" applyFont="1" applyAlignment="1">
      <alignment horizontal="center" vertical="center"/>
    </xf>
    <xf numFmtId="1" fontId="59" fillId="0" borderId="0" xfId="0" applyNumberFormat="1" applyFont="1" applyAlignment="1">
      <alignment vertical="center"/>
    </xf>
    <xf numFmtId="49" fontId="15" fillId="11" borderId="6" xfId="0" applyNumberFormat="1" applyFont="1" applyFill="1" applyBorder="1" applyAlignment="1">
      <alignment horizontal="center" vertical="center" textRotation="90" wrapText="1"/>
    </xf>
    <xf numFmtId="49" fontId="15" fillId="2" borderId="5" xfId="0" applyNumberFormat="1" applyFont="1" applyFill="1" applyBorder="1" applyAlignment="1">
      <alignment horizontal="center" vertical="center" textRotation="90" wrapText="1"/>
    </xf>
    <xf numFmtId="49" fontId="15" fillId="2" borderId="1" xfId="0" applyNumberFormat="1" applyFont="1" applyFill="1" applyBorder="1" applyAlignment="1">
      <alignment horizontal="center" vertical="center" textRotation="90" wrapText="1"/>
    </xf>
    <xf numFmtId="49" fontId="15" fillId="2" borderId="16" xfId="0" applyNumberFormat="1" applyFont="1" applyFill="1" applyBorder="1" applyAlignment="1">
      <alignment horizontal="center" vertical="center" textRotation="90" wrapText="1"/>
    </xf>
    <xf numFmtId="0" fontId="60" fillId="0" borderId="0" xfId="2"/>
    <xf numFmtId="1" fontId="19" fillId="11" borderId="31" xfId="0" applyNumberFormat="1" applyFont="1" applyFill="1" applyBorder="1" applyAlignment="1">
      <alignment horizontal="center" vertical="center" textRotation="90" wrapText="1"/>
    </xf>
    <xf numFmtId="1" fontId="19" fillId="11" borderId="30" xfId="0" applyNumberFormat="1" applyFont="1" applyFill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44" fillId="9" borderId="0" xfId="0" applyFont="1" applyFill="1" applyAlignment="1">
      <alignment horizontal="center" vertical="center"/>
    </xf>
    <xf numFmtId="0" fontId="38" fillId="5" borderId="7" xfId="1" applyFont="1" applyFill="1" applyBorder="1" applyAlignment="1">
      <alignment horizontal="center" vertical="center" textRotation="90" wrapText="1"/>
    </xf>
    <xf numFmtId="0" fontId="38" fillId="5" borderId="8" xfId="1" applyFont="1" applyFill="1" applyBorder="1" applyAlignment="1">
      <alignment horizontal="center" vertical="center" textRotation="90" wrapText="1"/>
    </xf>
    <xf numFmtId="0" fontId="38" fillId="5" borderId="13" xfId="1" applyFont="1" applyFill="1" applyBorder="1" applyAlignment="1">
      <alignment horizontal="center" vertical="center" textRotation="90" wrapText="1"/>
    </xf>
    <xf numFmtId="0" fontId="32" fillId="5" borderId="1" xfId="1" applyFont="1" applyFill="1" applyBorder="1" applyAlignment="1">
      <alignment horizontal="center" vertical="center" wrapText="1"/>
    </xf>
    <xf numFmtId="0" fontId="32" fillId="5" borderId="9" xfId="1" applyFont="1" applyFill="1" applyBorder="1" applyAlignment="1">
      <alignment horizontal="center" vertical="center" wrapText="1"/>
    </xf>
    <xf numFmtId="0" fontId="32" fillId="5" borderId="10" xfId="1" applyFont="1" applyFill="1" applyBorder="1" applyAlignment="1">
      <alignment horizontal="center" vertical="center" wrapText="1"/>
    </xf>
    <xf numFmtId="0" fontId="32" fillId="5" borderId="11" xfId="1" applyFont="1" applyFill="1" applyBorder="1" applyAlignment="1">
      <alignment horizontal="center" vertical="center" wrapText="1"/>
    </xf>
    <xf numFmtId="0" fontId="32" fillId="5" borderId="12" xfId="1" applyFont="1" applyFill="1" applyBorder="1" applyAlignment="1">
      <alignment horizontal="center" vertical="center" wrapText="1"/>
    </xf>
    <xf numFmtId="0" fontId="32" fillId="5" borderId="14" xfId="1" applyFont="1" applyFill="1" applyBorder="1" applyAlignment="1">
      <alignment horizontal="center" vertical="center" wrapText="1"/>
    </xf>
    <xf numFmtId="0" fontId="32" fillId="5" borderId="15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textRotation="90" wrapText="1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2" xfId="0" applyNumberFormat="1" applyFont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center" vertical="center" textRotation="90"/>
    </xf>
    <xf numFmtId="1" fontId="19" fillId="3" borderId="19" xfId="0" applyNumberFormat="1" applyFont="1" applyFill="1" applyBorder="1" applyAlignment="1">
      <alignment horizontal="center" vertical="center" textRotation="90"/>
    </xf>
    <xf numFmtId="0" fontId="32" fillId="5" borderId="7" xfId="1" applyFont="1" applyFill="1" applyBorder="1" applyAlignment="1">
      <alignment horizontal="center" vertical="center" textRotation="90" wrapText="1"/>
    </xf>
    <xf numFmtId="0" fontId="32" fillId="5" borderId="13" xfId="1" applyFont="1" applyFill="1" applyBorder="1" applyAlignment="1">
      <alignment horizontal="center" vertical="center" textRotation="90" wrapText="1"/>
    </xf>
    <xf numFmtId="165" fontId="32" fillId="5" borderId="7" xfId="1" applyNumberFormat="1" applyFont="1" applyFill="1" applyBorder="1" applyAlignment="1">
      <alignment horizontal="center" vertical="center" textRotation="90" wrapText="1"/>
    </xf>
    <xf numFmtId="165" fontId="32" fillId="5" borderId="8" xfId="1" applyNumberFormat="1" applyFont="1" applyFill="1" applyBorder="1" applyAlignment="1">
      <alignment horizontal="center" vertical="center" textRotation="90" wrapText="1"/>
    </xf>
    <xf numFmtId="0" fontId="32" fillId="5" borderId="2" xfId="1" applyFont="1" applyFill="1" applyBorder="1" applyAlignment="1">
      <alignment horizontal="center" vertical="center" wrapText="1"/>
    </xf>
    <xf numFmtId="0" fontId="32" fillId="5" borderId="4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8" xfId="1" applyFont="1" applyFill="1" applyBorder="1" applyAlignment="1">
      <alignment horizontal="center" vertical="center" textRotation="90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1" borderId="34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/>
    </xf>
    <xf numFmtId="0" fontId="18" fillId="11" borderId="34" xfId="0" applyFont="1" applyFill="1" applyBorder="1" applyAlignment="1">
      <alignment horizontal="center" vertical="center"/>
    </xf>
    <xf numFmtId="0" fontId="49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59" fillId="5" borderId="0" xfId="1" applyFont="1" applyFill="1" applyAlignment="1">
      <alignment horizontal="center" vertical="center" wrapText="1"/>
    </xf>
    <xf numFmtId="1" fontId="46" fillId="0" borderId="13" xfId="0" applyNumberFormat="1" applyFont="1" applyBorder="1" applyAlignment="1">
      <alignment horizontal="center" vertical="center"/>
    </xf>
    <xf numFmtId="1" fontId="46" fillId="0" borderId="1" xfId="0" applyNumberFormat="1" applyFont="1" applyBorder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 wrapText="1"/>
    </xf>
    <xf numFmtId="1" fontId="13" fillId="11" borderId="30" xfId="0" applyNumberFormat="1" applyFont="1" applyFill="1" applyBorder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/>
    </xf>
    <xf numFmtId="166" fontId="49" fillId="0" borderId="0" xfId="0" applyNumberFormat="1" applyFont="1" applyAlignment="1">
      <alignment horizontal="center" vertical="center"/>
    </xf>
    <xf numFmtId="1" fontId="59" fillId="0" borderId="0" xfId="0" applyNumberFormat="1" applyFont="1" applyAlignment="1">
      <alignment horizontal="center" vertical="center"/>
    </xf>
    <xf numFmtId="1" fontId="59" fillId="0" borderId="19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49" fontId="23" fillId="0" borderId="23" xfId="0" applyNumberFormat="1" applyFont="1" applyBorder="1" applyAlignment="1">
      <alignment horizontal="center" vertical="center" wrapText="1"/>
    </xf>
    <xf numFmtId="49" fontId="23" fillId="0" borderId="24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 wrapText="1"/>
    </xf>
    <xf numFmtId="49" fontId="23" fillId="0" borderId="2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50" fillId="0" borderId="7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 wrapText="1"/>
    </xf>
    <xf numFmtId="2" fontId="23" fillId="0" borderId="9" xfId="0" applyNumberFormat="1" applyFont="1" applyBorder="1" applyAlignment="1">
      <alignment horizontal="center" vertical="center" textRotation="90" wrapText="1"/>
    </xf>
    <xf numFmtId="0" fontId="23" fillId="0" borderId="14" xfId="0" applyFont="1" applyBorder="1" applyAlignment="1">
      <alignment horizontal="center" vertical="center" textRotation="90" wrapText="1"/>
    </xf>
    <xf numFmtId="2" fontId="24" fillId="0" borderId="9" xfId="0" applyNumberFormat="1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0" fontId="55" fillId="0" borderId="1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55" fillId="0" borderId="1" xfId="0" applyFont="1" applyBorder="1" applyAlignment="1">
      <alignment horizontal="center" vertical="center" wrapText="1"/>
    </xf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12">
    <dxf>
      <fill>
        <patternFill>
          <bgColor rgb="FFFF66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L</a:t>
            </a:r>
            <a:r>
              <a:rPr lang="en-US"/>
              <a:t>. Grafice</a:t>
            </a:r>
            <a:r>
              <a:rPr lang="ro-MD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'Lucrari grafice'!$H$3:$H$12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'Lucrari grafice'!$I$3:$I$12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D83-9E4F-A5B3802A61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  <a:r>
              <a:rPr lang="en-US"/>
              <a:t>_1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  <a:r>
              <a:rPr lang="en-US"/>
              <a:t>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Nr.1_2'!$L$3:$L$12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Nr.1_2'!$M$3:$M$12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0-45FE-82B2-751D9BA046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  <a:r>
              <a:rPr lang="en-US"/>
              <a:t>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Nr.1_3'!$L$3:$L$12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Nr.1_3'!$M$3:$M$12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8-4276-9110-19A73BEFEF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r>
              <a:rPr lang="en-US"/>
              <a:t>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r>
              <a:rPr lang="en-US"/>
              <a:t>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8-456D-84E7-28284548FE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r>
              <a:rPr lang="en-US"/>
              <a:t>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Nr.2_3'!$M$3:$M$12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Nr.2_3'!$N$3:$N$12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3-4C7B-871A-606F05759A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ReExaminare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ReExaminare!$K$3:$K$12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ReExaminare!$L$3:$L$12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F-4CD1-A3E9-C8B9EEAFEE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23854</xdr:colOff>
      <xdr:row>1</xdr:row>
      <xdr:rowOff>33935</xdr:rowOff>
    </xdr:from>
    <xdr:to>
      <xdr:col>19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23853</xdr:colOff>
      <xdr:row>0</xdr:row>
      <xdr:rowOff>425939</xdr:rowOff>
    </xdr:from>
    <xdr:to>
      <xdr:col>22</xdr:col>
      <xdr:colOff>385482</xdr:colOff>
      <xdr:row>15</xdr:row>
      <xdr:rowOff>188259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80811-2574-4DC7-9395-19FB447B2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23853</xdr:colOff>
      <xdr:row>0</xdr:row>
      <xdr:rowOff>425939</xdr:rowOff>
    </xdr:from>
    <xdr:to>
      <xdr:col>22</xdr:col>
      <xdr:colOff>385482</xdr:colOff>
      <xdr:row>15</xdr:row>
      <xdr:rowOff>188259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CE8F0-E5F0-47C6-B0FC-A34D44C21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205740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379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205740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80235-2EF3-4630-9F43-C78B73238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233" y="133350"/>
          <a:ext cx="4036584" cy="556260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15F927-7416-4AEB-9FCC-1B9A26689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205740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B02E9D-F63D-4C91-B17A-C422D960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233" y="133350"/>
          <a:ext cx="4036584" cy="556260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7DB4AB-9153-451D-900C-0E29C4AEE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03B75-BBCB-4872-A784-FFF1EDD36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udent@mt.utm.m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165"/>
  <sheetViews>
    <sheetView tabSelected="1" zoomScale="55" zoomScaleNormal="55" workbookViewId="0">
      <selection activeCell="H13" sqref="H13"/>
    </sheetView>
  </sheetViews>
  <sheetFormatPr defaultRowHeight="18" x14ac:dyDescent="0.35"/>
  <cols>
    <col min="1" max="1" width="3.44140625" customWidth="1"/>
    <col min="2" max="2" width="5" style="81" customWidth="1"/>
    <col min="3" max="3" width="26.6640625" customWidth="1"/>
    <col min="4" max="4" width="35.77734375" customWidth="1"/>
    <col min="5" max="19" width="4.44140625" customWidth="1"/>
    <col min="20" max="21" width="4.44140625" style="45" customWidth="1"/>
    <col min="22" max="27" width="4.44140625" customWidth="1"/>
    <col min="28" max="29" width="6.109375" customWidth="1"/>
    <col min="30" max="31" width="6.109375" style="102" customWidth="1"/>
    <col min="32" max="32" width="6.33203125" style="33" customWidth="1"/>
    <col min="33" max="33" width="6" style="34" customWidth="1"/>
    <col min="34" max="35" width="7.109375" customWidth="1"/>
    <col min="37" max="37" width="10.44140625" bestFit="1" customWidth="1"/>
    <col min="39" max="39" width="8.88671875" style="105"/>
    <col min="41" max="41" width="13.5546875" customWidth="1"/>
    <col min="44" max="52" width="7" customWidth="1"/>
    <col min="53" max="53" width="7.88671875" customWidth="1"/>
    <col min="54" max="55" width="8" customWidth="1"/>
    <col min="56" max="56" width="8.44140625" customWidth="1"/>
    <col min="58" max="58" width="4.88671875" customWidth="1"/>
    <col min="59" max="60" width="11.6640625" customWidth="1"/>
  </cols>
  <sheetData>
    <row r="1" spans="1:60" ht="15.75" customHeight="1" x14ac:dyDescent="0.35">
      <c r="A1" s="2"/>
      <c r="B1" s="80"/>
      <c r="C1" s="2"/>
      <c r="D1" s="2"/>
      <c r="E1" s="2"/>
      <c r="F1" s="2"/>
      <c r="G1" s="2"/>
    </row>
    <row r="2" spans="1:60" ht="73.2" customHeight="1" thickBot="1" x14ac:dyDescent="0.4">
      <c r="B2" s="84"/>
      <c r="C2" s="148" t="s">
        <v>186</v>
      </c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57"/>
      <c r="V2" s="149" t="s">
        <v>117</v>
      </c>
      <c r="W2" s="149"/>
      <c r="X2" s="149"/>
      <c r="Y2" s="149"/>
      <c r="Z2" s="149"/>
      <c r="AA2" s="149"/>
      <c r="AB2" s="149"/>
      <c r="AC2" s="149"/>
      <c r="AD2" s="149"/>
      <c r="AE2" s="125"/>
      <c r="AF2" s="57"/>
      <c r="AG2" s="124"/>
      <c r="AH2" s="154" t="s">
        <v>14</v>
      </c>
      <c r="AI2" s="154"/>
      <c r="AJ2" s="154"/>
      <c r="AK2" s="154"/>
      <c r="AL2" s="154"/>
      <c r="AM2" s="151" t="s">
        <v>15</v>
      </c>
      <c r="AN2" s="154" t="s">
        <v>16</v>
      </c>
      <c r="AO2" s="154"/>
      <c r="AP2" s="154"/>
      <c r="AR2" s="185" t="s">
        <v>70</v>
      </c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G2" s="138"/>
    </row>
    <row r="3" spans="1:60" ht="27" customHeight="1" thickTop="1" x14ac:dyDescent="0.3">
      <c r="A3" s="2"/>
      <c r="B3" s="85"/>
      <c r="C3" s="86"/>
      <c r="D3" s="86"/>
      <c r="E3" s="150" t="s">
        <v>35</v>
      </c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/>
      <c r="U3"/>
      <c r="V3" s="162" t="s">
        <v>3</v>
      </c>
      <c r="W3" s="163"/>
      <c r="X3" s="164"/>
      <c r="Y3" s="162" t="s">
        <v>4</v>
      </c>
      <c r="Z3" s="163"/>
      <c r="AA3" s="164"/>
      <c r="AB3" s="165" t="s">
        <v>5</v>
      </c>
      <c r="AC3" s="166"/>
      <c r="AD3" s="103"/>
      <c r="AE3" s="126"/>
      <c r="AF3" s="95"/>
      <c r="AG3" s="96"/>
      <c r="AH3" s="175" t="s">
        <v>17</v>
      </c>
      <c r="AI3" s="176"/>
      <c r="AJ3" s="176"/>
      <c r="AK3" s="177"/>
      <c r="AL3" s="171" t="s">
        <v>18</v>
      </c>
      <c r="AM3" s="152"/>
      <c r="AN3" s="155" t="s">
        <v>19</v>
      </c>
      <c r="AO3" s="156"/>
      <c r="AP3" s="161" t="s">
        <v>20</v>
      </c>
      <c r="AR3" s="146" t="s">
        <v>73</v>
      </c>
      <c r="AS3" s="146" t="s">
        <v>74</v>
      </c>
      <c r="AT3" s="146" t="s">
        <v>75</v>
      </c>
      <c r="AU3" s="146" t="s">
        <v>68</v>
      </c>
      <c r="AW3" s="179" t="s">
        <v>59</v>
      </c>
      <c r="AX3" s="179" t="s">
        <v>60</v>
      </c>
      <c r="AY3" s="179" t="s">
        <v>61</v>
      </c>
      <c r="AZ3" s="179" t="s">
        <v>62</v>
      </c>
      <c r="BA3" s="179" t="s">
        <v>63</v>
      </c>
      <c r="BB3" s="179" t="s">
        <v>64</v>
      </c>
      <c r="BC3" s="179" t="s">
        <v>65</v>
      </c>
      <c r="BD3" s="181" t="s">
        <v>33</v>
      </c>
      <c r="BE3" s="181" t="s">
        <v>66</v>
      </c>
      <c r="BG3" s="183" t="s">
        <v>179</v>
      </c>
      <c r="BH3" s="183" t="s">
        <v>180</v>
      </c>
    </row>
    <row r="4" spans="1:60" ht="51.6" customHeight="1" thickBot="1" x14ac:dyDescent="0.35">
      <c r="A4" s="2"/>
      <c r="B4" s="85"/>
      <c r="C4" s="35"/>
      <c r="D4" s="86"/>
      <c r="E4" s="87" t="s">
        <v>43</v>
      </c>
      <c r="F4" s="87" t="s">
        <v>44</v>
      </c>
      <c r="G4" s="87" t="s">
        <v>45</v>
      </c>
      <c r="H4" s="87" t="s">
        <v>46</v>
      </c>
      <c r="I4" s="87" t="s">
        <v>47</v>
      </c>
      <c r="J4" s="87" t="s">
        <v>48</v>
      </c>
      <c r="K4" s="87" t="s">
        <v>49</v>
      </c>
      <c r="L4" s="87" t="s">
        <v>50</v>
      </c>
      <c r="M4" s="87" t="s">
        <v>51</v>
      </c>
      <c r="N4" s="87" t="s">
        <v>52</v>
      </c>
      <c r="O4" s="87" t="s">
        <v>53</v>
      </c>
      <c r="P4" s="87" t="s">
        <v>54</v>
      </c>
      <c r="Q4" s="87" t="s">
        <v>55</v>
      </c>
      <c r="R4" s="87" t="s">
        <v>56</v>
      </c>
      <c r="S4" s="87" t="s">
        <v>57</v>
      </c>
      <c r="T4" s="169" t="s">
        <v>95</v>
      </c>
      <c r="U4"/>
      <c r="V4" s="36" t="s">
        <v>8</v>
      </c>
      <c r="W4" s="37" t="s">
        <v>10</v>
      </c>
      <c r="X4" s="38" t="s">
        <v>9</v>
      </c>
      <c r="Y4" s="39" t="s">
        <v>11</v>
      </c>
      <c r="Z4" s="37" t="s">
        <v>13</v>
      </c>
      <c r="AA4" s="38" t="s">
        <v>12</v>
      </c>
      <c r="AB4" s="37" t="s">
        <v>6</v>
      </c>
      <c r="AC4" s="37" t="s">
        <v>7</v>
      </c>
      <c r="AD4" s="173" t="s">
        <v>94</v>
      </c>
      <c r="AE4" s="173" t="s">
        <v>135</v>
      </c>
      <c r="AF4" s="167" t="s">
        <v>72</v>
      </c>
      <c r="AG4" s="168"/>
      <c r="AH4" s="175" t="s">
        <v>187</v>
      </c>
      <c r="AI4" s="177"/>
      <c r="AJ4" s="171" t="s">
        <v>23</v>
      </c>
      <c r="AK4" s="171" t="s">
        <v>24</v>
      </c>
      <c r="AL4" s="178"/>
      <c r="AM4" s="152"/>
      <c r="AN4" s="157"/>
      <c r="AO4" s="158"/>
      <c r="AP4" s="161"/>
      <c r="AR4" s="147"/>
      <c r="AS4" s="147"/>
      <c r="AT4" s="147"/>
      <c r="AU4" s="147"/>
      <c r="AW4" s="180"/>
      <c r="AX4" s="180"/>
      <c r="AY4" s="180"/>
      <c r="AZ4" s="180"/>
      <c r="BA4" s="180"/>
      <c r="BB4" s="180"/>
      <c r="BC4" s="180"/>
      <c r="BD4" s="182"/>
      <c r="BE4" s="182"/>
      <c r="BG4" s="184"/>
      <c r="BH4" s="184"/>
    </row>
    <row r="5" spans="1:60" ht="74.400000000000006" customHeight="1" thickTop="1" x14ac:dyDescent="0.4">
      <c r="A5" s="2"/>
      <c r="B5" s="88" t="s">
        <v>0</v>
      </c>
      <c r="C5" s="89" t="s">
        <v>1</v>
      </c>
      <c r="D5" s="89" t="s">
        <v>2</v>
      </c>
      <c r="E5" s="109" t="s">
        <v>137</v>
      </c>
      <c r="F5" s="109" t="s">
        <v>138</v>
      </c>
      <c r="G5" s="109" t="s">
        <v>139</v>
      </c>
      <c r="H5" s="109" t="s">
        <v>140</v>
      </c>
      <c r="I5" s="109" t="s">
        <v>141</v>
      </c>
      <c r="J5" s="109" t="s">
        <v>142</v>
      </c>
      <c r="K5" s="109" t="s">
        <v>143</v>
      </c>
      <c r="L5" s="109" t="s">
        <v>144</v>
      </c>
      <c r="M5" s="109" t="s">
        <v>145</v>
      </c>
      <c r="N5" s="109" t="s">
        <v>146</v>
      </c>
      <c r="O5" s="109" t="s">
        <v>147</v>
      </c>
      <c r="P5" s="109" t="s">
        <v>148</v>
      </c>
      <c r="Q5" s="109" t="s">
        <v>149</v>
      </c>
      <c r="R5" s="109" t="s">
        <v>150</v>
      </c>
      <c r="S5" s="109" t="s">
        <v>86</v>
      </c>
      <c r="T5" s="170"/>
      <c r="U5"/>
      <c r="V5" s="142" t="s">
        <v>144</v>
      </c>
      <c r="W5" s="143" t="s">
        <v>176</v>
      </c>
      <c r="X5" s="144"/>
      <c r="Y5" s="90" t="s">
        <v>149</v>
      </c>
      <c r="Z5" s="90"/>
      <c r="AA5" s="91"/>
      <c r="AB5" s="141"/>
      <c r="AC5" s="141"/>
      <c r="AD5" s="174"/>
      <c r="AE5" s="174"/>
      <c r="AF5" s="97" t="s">
        <v>71</v>
      </c>
      <c r="AG5" s="98" t="s">
        <v>68</v>
      </c>
      <c r="AH5" s="92" t="s">
        <v>21</v>
      </c>
      <c r="AI5" s="93" t="s">
        <v>22</v>
      </c>
      <c r="AJ5" s="172"/>
      <c r="AK5" s="172"/>
      <c r="AL5" s="172"/>
      <c r="AM5" s="153"/>
      <c r="AN5" s="159"/>
      <c r="AO5" s="160"/>
      <c r="AP5" s="161"/>
      <c r="AR5" s="99">
        <f>COUNTA(C6:C105)</f>
        <v>1</v>
      </c>
      <c r="AS5" s="99">
        <f>AR5-COUNTIFS(B6:B105,"&gt;0",AF6:AF105,"a")</f>
        <v>1</v>
      </c>
      <c r="AT5" s="99">
        <f>AR5-COUNTIF(AM6:AM105,"n/a")</f>
        <v>0</v>
      </c>
      <c r="AU5" s="99">
        <f>COUNTA(AG6:AG105)</f>
        <v>0</v>
      </c>
      <c r="AV5" s="100"/>
      <c r="AW5" s="101">
        <f t="shared" ref="AW5:BC5" si="0">COUNTIF($AP$6:$AP$105,AW3)</f>
        <v>0</v>
      </c>
      <c r="AX5" s="101">
        <f t="shared" si="0"/>
        <v>0</v>
      </c>
      <c r="AY5" s="101">
        <f t="shared" si="0"/>
        <v>0</v>
      </c>
      <c r="AZ5" s="101">
        <f t="shared" si="0"/>
        <v>0</v>
      </c>
      <c r="BA5" s="101">
        <f t="shared" si="0"/>
        <v>0</v>
      </c>
      <c r="BB5" s="101">
        <f t="shared" si="0"/>
        <v>0</v>
      </c>
      <c r="BC5" s="101">
        <f t="shared" si="0"/>
        <v>0</v>
      </c>
      <c r="BD5" s="101">
        <f>COUNTIF($AM$6:$AM$105,BD3)</f>
        <v>0</v>
      </c>
      <c r="BE5" s="101">
        <f>COUNTIF($AM$6:$AM$105,BE3)</f>
        <v>1</v>
      </c>
      <c r="BG5" s="139">
        <f>SUM(AW5:BA5)/AR5</f>
        <v>0</v>
      </c>
      <c r="BH5" s="139">
        <f>SUM(AW5:BA5)/AS5</f>
        <v>0</v>
      </c>
    </row>
    <row r="6" spans="1:60" x14ac:dyDescent="0.35">
      <c r="A6" s="2"/>
      <c r="B6" s="34">
        <f>IF(NOT(ISBLANK(C6)),COUNTA($C$6:C6),"")</f>
        <v>1</v>
      </c>
      <c r="C6" s="71" t="s">
        <v>1</v>
      </c>
      <c r="D6" s="145" t="s">
        <v>188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 t="str">
        <f>IF(NOT(ISBLANK(C6)),IF(COUNTIF(E6:S6,"a")&lt;&gt;0,COUNTIF(E6:S6,"a")*2,""),"")</f>
        <v/>
      </c>
      <c r="U6"/>
      <c r="V6" s="34" t="str">
        <f>'Atest. Nr.1_1'!I2</f>
        <v>n/p</v>
      </c>
      <c r="W6" s="34" t="str">
        <f>'Atest. Nr.1_2'!H2</f>
        <v>n/p</v>
      </c>
      <c r="X6" s="34" t="str">
        <f>'Atest. Nr.1_3'!H2</f>
        <v>n/p</v>
      </c>
      <c r="Y6" s="34" t="str">
        <f>'Atest. Nr.2_1'!I2</f>
        <v>n/p</v>
      </c>
      <c r="Z6" s="34" t="str">
        <f>'Atest. Nr.2_2'!I2</f>
        <v>n/p</v>
      </c>
      <c r="AA6" s="34" t="str">
        <f>'Atest. Nr.2_3'!I2</f>
        <v>n/p</v>
      </c>
      <c r="AB6" s="34" t="str">
        <f>Examen!G2</f>
        <v>n/p</v>
      </c>
      <c r="AC6" s="34" t="str">
        <f>ReExaminare!G2</f>
        <v>n/p</v>
      </c>
      <c r="AD6" s="104" t="str">
        <f>IF(NOT(ISBLANK(B6)),
IF(SUM(E6:S6)+SUM(Laborator!E7:R7)&lt;&gt;0,SUM(E6:S6)+SUM(Laborator!E7:R7),""),
"")</f>
        <v/>
      </c>
      <c r="AE6" s="104"/>
      <c r="AH6" s="34" t="str">
        <f>IF(NOT(ISBLANK(C6)),
IF(COUNT(MAX(AVERAGE(V6:X6),0)),MAX(V6:X6),"n/p"),
"")</f>
        <v>n/p</v>
      </c>
      <c r="AI6" s="34" t="str">
        <f>IF(NOT(ISBLANK(C6)),
IF(COUNT(MAX(AVERAGE(Y6:AA6),0)),MAX(Y6:AA6),"n/p"),
"")</f>
        <v>n/p</v>
      </c>
      <c r="AJ6" s="34" t="str">
        <f>IF(NOT(ISBLANK(C6)),
IF(Laborator!AN7="Admis",ROUND(Laborator!AM7,0),"n/p"),"")</f>
        <v>n/p</v>
      </c>
      <c r="AK6" s="34" t="str">
        <f>IF(NOT(ISBLANK(C6)),
IF('Lucrari grafice'!F2&lt;&gt;"n/p",'Lucrari grafice'!F2,"n/p"),"")</f>
        <v>n/p</v>
      </c>
      <c r="AL6" s="34" t="str">
        <f>IF(NOT(ISBLANK(C6)),
IF(OR(AH6="n/p",AI6="n/p",AJ6="n/p",AK6="n/p",AH6&lt;5,AI6&lt;5,AJ6&lt;5,AK6&lt;5)," ",TRUNC(SUM(AH6:AK6)/4,2)),
"")</f>
        <v xml:space="preserve"> </v>
      </c>
      <c r="AM6" s="34" t="str">
        <f>IF(NOT(ISBLANK(C6)),
IF(AL6=" ","n/a",
IF(AG6,AG6,
IF(COUNT(MAX(AVERAGE(AB6:AC6),0)),MAX(AB6:AC6),"n/p"))),
"")</f>
        <v>n/a</v>
      </c>
      <c r="AN6" s="107" t="str">
        <f t="shared" ref="AN6:AN37" si="1">IF(NOT(ISBLANK(C6)),
IF(OR(AM6="n/a",AM6="n/p")," ",
IF(AM6&lt;5,AM6,TRUNC(AL6*0.6+AM6*0.4,2))),
"")</f>
        <v xml:space="preserve"> </v>
      </c>
      <c r="AO6" s="33" t="str">
        <f t="shared" ref="AO6:AO37" si="2">IF(NOT(ISBLANK(C6)),
IF(AN6=" "," ",
IF(AND(AN6&gt;=1,AN6&lt;2),"(unu, "&amp;ROUNDUP(MOD(AN6*100,100),0)&amp;")",
IF(AND(AN6&gt;=2,AN6&lt;3),"(doi, "&amp;ROUNDUP(MOD(AN6*100,100),0)&amp;")",
IF(AND(AN6&gt;=3,AN6&lt;4),"(trei, "&amp;ROUNDUP(MOD(AN6*100,100),0)&amp;")",
IF(AND(AN6&gt;=4,AN6&lt;5),"(patru, "&amp;ROUNDUP(MOD(AN6*100,100),0)&amp;")",
IF(AND(AN6&gt;=5,AN6&lt;6),"(cinci, "&amp;ROUNDUP(MOD(AN6*100,100),0)&amp;")",
IF(AND(AN6&gt;=6,AN6&lt;7),"(şase, "&amp;ROUNDUP(MOD(AN6*100,100),0)&amp;")",
IF(AND(AN6&gt;=7,AN6&lt;8),"(şapte, "&amp;ROUNDUP(MOD(AN6*100,100),0)&amp;")",
IF(AND(AN6&gt;=8,AN6&lt;9),"(opt, "&amp;ROUNDUP(MOD(AN6*100,100),0)&amp;")",
IF(AND(AN6&gt;=9,AN6&lt;10),"(nouă, "&amp;ROUNDUP(MOD(AN6*100,100),0)&amp;")",
IF(AN6=10,"(zece, 00)",
))))))))))),"")</f>
        <v xml:space="preserve"> </v>
      </c>
      <c r="AP6" s="34" t="str">
        <f t="shared" ref="AP6:AP37" si="3">IF(NOT(ISBLANK(C6)),
IF(AN6=" ","  ",
IF(AND(AN6&gt;=1,AN6&lt;=3),"F",
IF(AND(AN6&gt;3,AN6&lt;5),"FX",
IF(AND(AN6&gt;=5,AN6&lt;=6),"E",
IF(AND(AN6&gt;6,AN6&lt;=7),"D",
IF(AND(AN6&gt;7,AN6&lt;=8),"C",
IF(AND(AN6&gt;8,AN6&lt;=9),"B",
IF(AND(AN6&gt;9,AN6&lt;=10),"A",
)))))))),"")</f>
        <v xml:space="preserve">  </v>
      </c>
      <c r="AR6" s="47"/>
      <c r="AS6" s="47"/>
      <c r="AT6" s="47"/>
      <c r="AU6" s="94"/>
      <c r="AV6" s="94"/>
      <c r="AW6" s="94"/>
      <c r="AX6" s="94"/>
      <c r="AY6" s="94"/>
      <c r="AZ6" s="94"/>
    </row>
    <row r="7" spans="1:60" ht="18" customHeight="1" x14ac:dyDescent="0.35">
      <c r="A7" s="2"/>
      <c r="B7" s="34" t="str">
        <f>IF(NOT(ISBLANK(C7)),COUNTA($C$6:C7),"")</f>
        <v/>
      </c>
      <c r="C7" s="71"/>
      <c r="D7" s="7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 t="shared" ref="T7:T70" si="4">IF(NOT(ISBLANK(C7)),IF(COUNTIF(E7:S7,"a")&lt;&gt;0,COUNTIF(E7:S7,"a")*2,""),"")</f>
        <v/>
      </c>
      <c r="U7"/>
      <c r="V7" s="34" t="str">
        <f>'Atest. Nr.1_1'!I3</f>
        <v/>
      </c>
      <c r="W7" s="34" t="str">
        <f>'Atest. Nr.1_2'!H3</f>
        <v/>
      </c>
      <c r="X7" s="34" t="str">
        <f>'Atest. Nr.1_3'!H3</f>
        <v/>
      </c>
      <c r="Y7" s="34" t="str">
        <f>'Atest. Nr.2_1'!I3</f>
        <v/>
      </c>
      <c r="Z7" s="34" t="str">
        <f>'Atest. Nr.2_2'!I3</f>
        <v/>
      </c>
      <c r="AA7" s="34" t="str">
        <f>'Atest. Nr.2_3'!I3</f>
        <v/>
      </c>
      <c r="AB7" s="34" t="str">
        <f>Examen!G3</f>
        <v/>
      </c>
      <c r="AC7" s="34" t="str">
        <f>ReExaminare!G3</f>
        <v/>
      </c>
      <c r="AD7" s="104" t="str">
        <f>IF(NOT(ISBLANK(B7)),
IF(SUM(E7:S7)+SUM(Laborator!E8:R8)&lt;&gt;0,SUM(E7:S7)+SUM(Laborator!E8:R8),""),
"")</f>
        <v/>
      </c>
      <c r="AE7" s="104"/>
      <c r="AH7" s="34" t="str">
        <f t="shared" ref="AH7:AH70" si="5">IF(NOT(ISBLANK(C7)),
IF(COUNT(MAX(AVERAGE(V7:X7),0)),MAX(V7:X7),"n/p"),
"")</f>
        <v/>
      </c>
      <c r="AI7" s="34" t="str">
        <f t="shared" ref="AI7:AI70" si="6">IF(NOT(ISBLANK(C7)),
IF(COUNT(MAX(AVERAGE(Y7:AA7),0)),MAX(Y7:AA7),"n/p"),
"")</f>
        <v/>
      </c>
      <c r="AJ7" s="34" t="str">
        <f>IF(NOT(ISBLANK(C7)),
IF(Laborator!AN8="Admis",ROUND(Laborator!AM8,0),"n/p"),"")</f>
        <v/>
      </c>
      <c r="AK7" s="34" t="str">
        <f>IF(NOT(ISBLANK(C7)),
IF('Lucrari grafice'!F3&lt;&gt;"n/p",'Lucrari grafice'!F3,"n/p"),"")</f>
        <v/>
      </c>
      <c r="AL7" s="34" t="str">
        <f t="shared" ref="AL7:AL70" si="7">IF(NOT(ISBLANK(C7)),
IF(OR(AH7="n/p",AI7="n/p",AJ7="n/p",AK7="n/p",AH7&lt;5,AI7&lt;5,AJ7&lt;5,AK7&lt;5)," ",TRUNC(SUM(AH7:AK7)/4,2)),
"")</f>
        <v/>
      </c>
      <c r="AM7" s="34" t="str">
        <f t="shared" ref="AM7:AM70" si="8">IF(NOT(ISBLANK(C7)),
IF(AL7=" ","n/a",
IF(AG7,AG7,
IF(COUNT(MAX(AVERAGE(AB7:AC7),0)),MAX(AB7:AC7),"n/p"))),
"")</f>
        <v/>
      </c>
      <c r="AN7" s="107" t="str">
        <f t="shared" si="1"/>
        <v/>
      </c>
      <c r="AO7" s="33" t="str">
        <f t="shared" si="2"/>
        <v/>
      </c>
      <c r="AP7" s="34" t="str">
        <f t="shared" si="3"/>
        <v/>
      </c>
      <c r="AR7" s="94"/>
      <c r="AS7" s="94"/>
      <c r="AT7" s="13"/>
      <c r="AU7" s="94"/>
      <c r="AV7" s="94"/>
      <c r="AW7" s="94"/>
      <c r="AX7" s="94"/>
      <c r="AY7" s="94"/>
      <c r="AZ7" s="94"/>
    </row>
    <row r="8" spans="1:60" ht="18" customHeight="1" x14ac:dyDescent="0.35">
      <c r="A8" s="2"/>
      <c r="B8" s="34" t="str">
        <f>IF(NOT(ISBLANK(C8)),COUNTA($C$6:C8),"")</f>
        <v/>
      </c>
      <c r="C8" s="71"/>
      <c r="D8" s="7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si="4"/>
        <v/>
      </c>
      <c r="U8"/>
      <c r="V8" s="34" t="str">
        <f>'Atest. Nr.1_1'!I4</f>
        <v/>
      </c>
      <c r="W8" s="34" t="str">
        <f>'Atest. Nr.1_2'!H4</f>
        <v/>
      </c>
      <c r="X8" s="34" t="str">
        <f>'Atest. Nr.1_3'!H4</f>
        <v/>
      </c>
      <c r="Y8" s="34" t="str">
        <f>'Atest. Nr.2_1'!I4</f>
        <v/>
      </c>
      <c r="Z8" s="34" t="str">
        <f>'Atest. Nr.2_2'!I4</f>
        <v/>
      </c>
      <c r="AA8" s="34" t="str">
        <f>'Atest. Nr.2_3'!I4</f>
        <v/>
      </c>
      <c r="AB8" s="34" t="str">
        <f>Examen!G4</f>
        <v/>
      </c>
      <c r="AC8" s="34" t="str">
        <f>ReExaminare!G4</f>
        <v/>
      </c>
      <c r="AD8" s="104" t="str">
        <f>IF(NOT(ISBLANK(B8)),
IF(SUM(E8:S8)+SUM(Laborator!E9:R9)&lt;&gt;0,SUM(E8:S8)+SUM(Laborator!E9:R9),""),
"")</f>
        <v/>
      </c>
      <c r="AE8" s="104"/>
      <c r="AH8" s="34" t="str">
        <f t="shared" si="5"/>
        <v/>
      </c>
      <c r="AI8" s="34" t="str">
        <f t="shared" si="6"/>
        <v/>
      </c>
      <c r="AJ8" s="34" t="str">
        <f>IF(NOT(ISBLANK(C8)),
IF(Laborator!AN9="Admis",ROUND(Laborator!AM9,0),"n/p"),"")</f>
        <v/>
      </c>
      <c r="AK8" s="34" t="str">
        <f>IF(NOT(ISBLANK(C8)),
IF('Lucrari grafice'!F4&lt;&gt;"n/p",'Lucrari grafice'!F4,"n/p"),"")</f>
        <v/>
      </c>
      <c r="AL8" s="34" t="str">
        <f t="shared" si="7"/>
        <v/>
      </c>
      <c r="AM8" s="34" t="str">
        <f t="shared" si="8"/>
        <v/>
      </c>
      <c r="AN8" s="107" t="str">
        <f t="shared" si="1"/>
        <v/>
      </c>
      <c r="AO8" s="33" t="str">
        <f t="shared" si="2"/>
        <v/>
      </c>
      <c r="AP8" s="34" t="str">
        <f t="shared" si="3"/>
        <v/>
      </c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</row>
    <row r="9" spans="1:60" ht="18.600000000000001" customHeight="1" x14ac:dyDescent="0.3">
      <c r="A9" s="2"/>
      <c r="B9" s="34" t="str">
        <f>IF(NOT(ISBLANK(C9)),COUNTA($C$6:C9),"")</f>
        <v/>
      </c>
      <c r="C9" s="71"/>
      <c r="D9" s="7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4"/>
        <v/>
      </c>
      <c r="U9"/>
      <c r="V9" s="34" t="str">
        <f>'Atest. Nr.1_1'!I5</f>
        <v/>
      </c>
      <c r="W9" s="34" t="str">
        <f>'Atest. Nr.1_2'!H5</f>
        <v/>
      </c>
      <c r="X9" s="34" t="str">
        <f>'Atest. Nr.1_3'!H5</f>
        <v/>
      </c>
      <c r="Y9" s="34" t="str">
        <f>'Atest. Nr.2_1'!I5</f>
        <v/>
      </c>
      <c r="Z9" s="34" t="str">
        <f>'Atest. Nr.2_2'!I5</f>
        <v/>
      </c>
      <c r="AA9" s="34" t="str">
        <f>'Atest. Nr.2_3'!I5</f>
        <v/>
      </c>
      <c r="AB9" s="34" t="str">
        <f>Examen!G5</f>
        <v/>
      </c>
      <c r="AC9" s="34" t="str">
        <f>ReExaminare!G5</f>
        <v/>
      </c>
      <c r="AD9" s="104" t="str">
        <f>IF(NOT(ISBLANK(B9)),
IF(SUM(E9:S9)+SUM(Laborator!E10:R10)&lt;&gt;0,SUM(E9:S9)+SUM(Laborator!E10:R10),""),
"")</f>
        <v/>
      </c>
      <c r="AE9" s="104"/>
      <c r="AH9" s="34" t="str">
        <f t="shared" si="5"/>
        <v/>
      </c>
      <c r="AI9" s="34" t="str">
        <f t="shared" si="6"/>
        <v/>
      </c>
      <c r="AJ9" s="34" t="str">
        <f>IF(NOT(ISBLANK(C9)),
IF(Laborator!AN10="Admis",ROUND(Laborator!AM10,0),"n/p"),"")</f>
        <v/>
      </c>
      <c r="AK9" s="34" t="str">
        <f>IF(NOT(ISBLANK(C9)),
IF('Lucrari grafice'!F5&lt;&gt;"n/p",'Lucrari grafice'!F5,"n/p"),"")</f>
        <v/>
      </c>
      <c r="AL9" s="34" t="str">
        <f t="shared" si="7"/>
        <v/>
      </c>
      <c r="AM9" s="34" t="str">
        <f t="shared" si="8"/>
        <v/>
      </c>
      <c r="AN9" s="107" t="str">
        <f t="shared" si="1"/>
        <v/>
      </c>
      <c r="AO9" s="33" t="str">
        <f t="shared" si="2"/>
        <v/>
      </c>
      <c r="AP9" s="34" t="str">
        <f t="shared" si="3"/>
        <v/>
      </c>
      <c r="AR9" s="140"/>
      <c r="AS9" s="140"/>
      <c r="AT9" s="192" t="s">
        <v>181</v>
      </c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G9" s="183" t="s">
        <v>179</v>
      </c>
    </row>
    <row r="10" spans="1:60" ht="18.600000000000001" customHeight="1" x14ac:dyDescent="0.3">
      <c r="A10" s="2"/>
      <c r="B10" s="34" t="str">
        <f>IF(NOT(ISBLANK(C10)),COUNTA($C$6:C10),"")</f>
        <v/>
      </c>
      <c r="C10" s="71"/>
      <c r="D10" s="76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4"/>
        <v/>
      </c>
      <c r="U10"/>
      <c r="V10" s="34" t="str">
        <f>'Atest. Nr.1_1'!I6</f>
        <v/>
      </c>
      <c r="W10" s="34" t="str">
        <f>'Atest. Nr.1_2'!H6</f>
        <v/>
      </c>
      <c r="X10" s="34" t="str">
        <f>'Atest. Nr.1_3'!H6</f>
        <v/>
      </c>
      <c r="Y10" s="34" t="str">
        <f>'Atest. Nr.2_1'!I6</f>
        <v/>
      </c>
      <c r="Z10" s="34" t="str">
        <f>'Atest. Nr.2_2'!I6</f>
        <v/>
      </c>
      <c r="AA10" s="34" t="str">
        <f>'Atest. Nr.2_3'!I6</f>
        <v/>
      </c>
      <c r="AB10" s="34" t="str">
        <f>Examen!G6</f>
        <v/>
      </c>
      <c r="AC10" s="34" t="str">
        <f>ReExaminare!G6</f>
        <v/>
      </c>
      <c r="AD10" s="104" t="str">
        <f>IF(NOT(ISBLANK(B10)),
IF(SUM(E10:S10)+SUM(Laborator!E11:R11)&lt;&gt;0,SUM(E10:S10)+SUM(Laborator!E11:R11),""),
"")</f>
        <v/>
      </c>
      <c r="AE10" s="104"/>
      <c r="AH10" s="34" t="str">
        <f t="shared" si="5"/>
        <v/>
      </c>
      <c r="AI10" s="34" t="str">
        <f t="shared" si="6"/>
        <v/>
      </c>
      <c r="AJ10" s="34" t="str">
        <f>IF(NOT(ISBLANK(C10)),
IF(Laborator!AN11="Admis",ROUND(Laborator!AM11,0),"n/p"),"")</f>
        <v/>
      </c>
      <c r="AK10" s="34" t="str">
        <f>IF(NOT(ISBLANK(C10)),
IF('Lucrari grafice'!F6&lt;&gt;"n/p",'Lucrari grafice'!F6,"n/p"),"")</f>
        <v/>
      </c>
      <c r="AL10" s="34" t="str">
        <f t="shared" si="7"/>
        <v/>
      </c>
      <c r="AM10" s="34" t="str">
        <f t="shared" si="8"/>
        <v/>
      </c>
      <c r="AN10" s="107" t="str">
        <f t="shared" si="1"/>
        <v/>
      </c>
      <c r="AO10" s="33" t="str">
        <f t="shared" si="2"/>
        <v/>
      </c>
      <c r="AP10" s="34" t="str">
        <f t="shared" si="3"/>
        <v/>
      </c>
      <c r="AR10" s="140"/>
      <c r="AS10" s="140"/>
      <c r="AT10" s="193"/>
      <c r="AU10" s="193"/>
      <c r="AV10" s="193"/>
      <c r="AW10" s="193"/>
      <c r="AX10" s="193"/>
      <c r="AY10" s="193"/>
      <c r="AZ10" s="193"/>
      <c r="BA10" s="193"/>
      <c r="BB10" s="193"/>
      <c r="BC10" s="193"/>
      <c r="BD10" s="193"/>
      <c r="BE10" s="193"/>
      <c r="BG10" s="183"/>
    </row>
    <row r="11" spans="1:60" ht="18" customHeight="1" x14ac:dyDescent="0.35">
      <c r="A11" s="2"/>
      <c r="B11" s="34" t="str">
        <f>IF(NOT(ISBLANK(C11)),COUNTA($C$6:C11),"")</f>
        <v/>
      </c>
      <c r="C11" s="71"/>
      <c r="D11" s="7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4"/>
        <v/>
      </c>
      <c r="U11"/>
      <c r="V11" s="34" t="str">
        <f>'Atest. Nr.1_1'!I7</f>
        <v/>
      </c>
      <c r="W11" s="34" t="str">
        <f>'Atest. Nr.1_2'!H7</f>
        <v/>
      </c>
      <c r="X11" s="34" t="str">
        <f>'Atest. Nr.1_3'!H7</f>
        <v/>
      </c>
      <c r="Y11" s="34" t="str">
        <f>'Atest. Nr.2_1'!I7</f>
        <v/>
      </c>
      <c r="Z11" s="34" t="str">
        <f>'Atest. Nr.2_2'!I7</f>
        <v/>
      </c>
      <c r="AA11" s="34" t="str">
        <f>'Atest. Nr.2_3'!I7</f>
        <v/>
      </c>
      <c r="AB11" s="34" t="str">
        <f>Examen!G7</f>
        <v/>
      </c>
      <c r="AC11" s="34" t="str">
        <f>ReExaminare!G7</f>
        <v/>
      </c>
      <c r="AD11" s="104" t="str">
        <f>IF(NOT(ISBLANK(B11)),
IF(SUM(E11:S11)+SUM(Laborator!E12:R12)&lt;&gt;0,SUM(E11:S11)+SUM(Laborator!E12:R12),""),
"")</f>
        <v/>
      </c>
      <c r="AE11" s="104"/>
      <c r="AH11" s="34" t="str">
        <f t="shared" si="5"/>
        <v/>
      </c>
      <c r="AI11" s="34" t="str">
        <f t="shared" si="6"/>
        <v/>
      </c>
      <c r="AJ11" s="34" t="str">
        <f>IF(NOT(ISBLANK(C11)),
IF(Laborator!AN12="Admis",ROUND(Laborator!AM12,0),"n/p"),"")</f>
        <v/>
      </c>
      <c r="AK11" s="34" t="str">
        <f>IF(NOT(ISBLANK(C11)),
IF('Lucrari grafice'!F7&lt;&gt;"n/p",'Lucrari grafice'!F7,"n/p"),"")</f>
        <v/>
      </c>
      <c r="AL11" s="34" t="str">
        <f t="shared" si="7"/>
        <v/>
      </c>
      <c r="AM11" s="34" t="str">
        <f t="shared" si="8"/>
        <v/>
      </c>
      <c r="AN11" s="107" t="str">
        <f t="shared" si="1"/>
        <v/>
      </c>
      <c r="AO11" s="33" t="str">
        <f t="shared" si="2"/>
        <v/>
      </c>
      <c r="AP11" s="34" t="str">
        <f t="shared" si="3"/>
        <v/>
      </c>
      <c r="AR11" s="13"/>
      <c r="AS11" s="13"/>
      <c r="AT11" s="188" t="s">
        <v>182</v>
      </c>
      <c r="AU11" s="190" t="s">
        <v>33</v>
      </c>
      <c r="AV11" s="190">
        <v>1</v>
      </c>
      <c r="AW11" s="190">
        <v>2</v>
      </c>
      <c r="AX11" s="190">
        <v>3</v>
      </c>
      <c r="AY11" s="190">
        <v>4</v>
      </c>
      <c r="AZ11" s="190">
        <v>5</v>
      </c>
      <c r="BA11" s="190">
        <v>6</v>
      </c>
      <c r="BB11" s="190">
        <v>7</v>
      </c>
      <c r="BC11" s="190">
        <v>8</v>
      </c>
      <c r="BD11" s="190">
        <v>9</v>
      </c>
      <c r="BE11" s="190">
        <v>10</v>
      </c>
      <c r="BG11" s="183"/>
    </row>
    <row r="12" spans="1:60" ht="18.600000000000001" customHeight="1" thickBot="1" x14ac:dyDescent="0.4">
      <c r="A12" s="2"/>
      <c r="B12" s="34" t="str">
        <f>IF(NOT(ISBLANK(C12)),COUNTA($C$6:C12),"")</f>
        <v/>
      </c>
      <c r="C12" s="71"/>
      <c r="D12" s="7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4"/>
        <v/>
      </c>
      <c r="U12"/>
      <c r="V12" s="34" t="str">
        <f>'Atest. Nr.1_1'!I8</f>
        <v/>
      </c>
      <c r="W12" s="34" t="str">
        <f>'Atest. Nr.1_2'!H8</f>
        <v/>
      </c>
      <c r="X12" s="34" t="str">
        <f>'Atest. Nr.1_3'!H8</f>
        <v/>
      </c>
      <c r="Y12" s="34" t="str">
        <f>'Atest. Nr.2_1'!I8</f>
        <v/>
      </c>
      <c r="Z12" s="34" t="str">
        <f>'Atest. Nr.2_2'!I8</f>
        <v/>
      </c>
      <c r="AA12" s="34" t="str">
        <f>'Atest. Nr.2_3'!I8</f>
        <v/>
      </c>
      <c r="AB12" s="34" t="str">
        <f>Examen!G8</f>
        <v/>
      </c>
      <c r="AC12" s="34" t="str">
        <f>ReExaminare!G8</f>
        <v/>
      </c>
      <c r="AD12" s="104" t="str">
        <f>IF(NOT(ISBLANK(B12)),
IF(SUM(E12:S12)+SUM(Laborator!E13:R13)&lt;&gt;0,SUM(E12:S12)+SUM(Laborator!E13:R13),""),
"")</f>
        <v/>
      </c>
      <c r="AE12" s="104"/>
      <c r="AH12" s="34" t="str">
        <f t="shared" si="5"/>
        <v/>
      </c>
      <c r="AI12" s="34" t="str">
        <f t="shared" si="6"/>
        <v/>
      </c>
      <c r="AJ12" s="34" t="str">
        <f>IF(NOT(ISBLANK(C12)),
IF(Laborator!AN13="Admis",ROUND(Laborator!AM13,0),"n/p"),"")</f>
        <v/>
      </c>
      <c r="AK12" s="34" t="str">
        <f>IF(NOT(ISBLANK(C12)),
IF('Lucrari grafice'!F8&lt;&gt;"n/p",'Lucrari grafice'!F8,"n/p"),"")</f>
        <v/>
      </c>
      <c r="AL12" s="34" t="str">
        <f t="shared" si="7"/>
        <v/>
      </c>
      <c r="AM12" s="34" t="str">
        <f t="shared" si="8"/>
        <v/>
      </c>
      <c r="AN12" s="107" t="str">
        <f t="shared" si="1"/>
        <v/>
      </c>
      <c r="AO12" s="33" t="str">
        <f t="shared" si="2"/>
        <v/>
      </c>
      <c r="AP12" s="34" t="str">
        <f t="shared" si="3"/>
        <v/>
      </c>
      <c r="AR12" s="13"/>
      <c r="AS12" s="13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G12" s="183"/>
    </row>
    <row r="13" spans="1:60" ht="21.6" customHeight="1" thickTop="1" x14ac:dyDescent="0.35">
      <c r="A13" s="2"/>
      <c r="B13" s="34" t="str">
        <f>IF(NOT(ISBLANK(C13)),COUNTA($C$6:C13),"")</f>
        <v/>
      </c>
      <c r="C13" s="71"/>
      <c r="D13" s="7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4"/>
        <v/>
      </c>
      <c r="U13"/>
      <c r="V13" s="34" t="str">
        <f>'Atest. Nr.1_1'!I9</f>
        <v/>
      </c>
      <c r="W13" s="34" t="str">
        <f>'Atest. Nr.1_2'!H9</f>
        <v/>
      </c>
      <c r="X13" s="34" t="str">
        <f>'Atest. Nr.1_3'!H9</f>
        <v/>
      </c>
      <c r="Y13" s="34" t="str">
        <f>'Atest. Nr.2_1'!I9</f>
        <v/>
      </c>
      <c r="Z13" s="34" t="str">
        <f>'Atest. Nr.2_2'!I9</f>
        <v/>
      </c>
      <c r="AA13" s="34" t="str">
        <f>'Atest. Nr.2_3'!I9</f>
        <v/>
      </c>
      <c r="AB13" s="34" t="str">
        <f>Examen!G9</f>
        <v/>
      </c>
      <c r="AC13" s="34" t="str">
        <f>ReExaminare!G9</f>
        <v/>
      </c>
      <c r="AD13" s="104" t="str">
        <f>IF(NOT(ISBLANK(B13)),
IF(SUM(E13:S13)+SUM(Laborator!E14:R14)&lt;&gt;0,SUM(E13:S13)+SUM(Laborator!E14:R14),""),
"")</f>
        <v/>
      </c>
      <c r="AE13" s="104"/>
      <c r="AH13" s="34" t="str">
        <f t="shared" si="5"/>
        <v/>
      </c>
      <c r="AI13" s="34" t="str">
        <f t="shared" si="6"/>
        <v/>
      </c>
      <c r="AJ13" s="34" t="str">
        <f>IF(NOT(ISBLANK(C13)),
IF(Laborator!AN14="Admis",ROUND(Laborator!AM14,0),"n/p"),"")</f>
        <v/>
      </c>
      <c r="AK13" s="34" t="str">
        <f>IF(NOT(ISBLANK(C13)),
IF('Lucrari grafice'!F9&lt;&gt;"n/p",'Lucrari grafice'!F9,"n/p"),"")</f>
        <v/>
      </c>
      <c r="AL13" s="34" t="str">
        <f t="shared" si="7"/>
        <v/>
      </c>
      <c r="AM13" s="34" t="str">
        <f t="shared" si="8"/>
        <v/>
      </c>
      <c r="AN13" s="107" t="str">
        <f t="shared" si="1"/>
        <v/>
      </c>
      <c r="AO13" s="33" t="str">
        <f t="shared" si="2"/>
        <v/>
      </c>
      <c r="AP13" s="34" t="str">
        <f t="shared" si="3"/>
        <v/>
      </c>
      <c r="AR13" s="13"/>
      <c r="AS13" s="13"/>
      <c r="AT13" s="186">
        <f>COUNTA(C6:C105)</f>
        <v>1</v>
      </c>
      <c r="AU13" s="186">
        <f>COUNTIF($AH$6:$AH$105,AU11)</f>
        <v>1</v>
      </c>
      <c r="AV13" s="186">
        <f t="shared" ref="AV13:BE13" si="9">COUNTIF($AH$6:$AH$105,AV11)</f>
        <v>0</v>
      </c>
      <c r="AW13" s="186">
        <f t="shared" si="9"/>
        <v>0</v>
      </c>
      <c r="AX13" s="186">
        <f t="shared" si="9"/>
        <v>0</v>
      </c>
      <c r="AY13" s="186">
        <f t="shared" si="9"/>
        <v>0</v>
      </c>
      <c r="AZ13" s="186">
        <f t="shared" si="9"/>
        <v>0</v>
      </c>
      <c r="BA13" s="186">
        <f t="shared" si="9"/>
        <v>0</v>
      </c>
      <c r="BB13" s="186">
        <f t="shared" si="9"/>
        <v>0</v>
      </c>
      <c r="BC13" s="186">
        <f t="shared" si="9"/>
        <v>0</v>
      </c>
      <c r="BD13" s="186">
        <f t="shared" si="9"/>
        <v>0</v>
      </c>
      <c r="BE13" s="186">
        <f t="shared" si="9"/>
        <v>0</v>
      </c>
      <c r="BG13" s="191">
        <f>SUM(AZ13:BE14)/AT13</f>
        <v>0</v>
      </c>
    </row>
    <row r="14" spans="1:60" ht="21" customHeight="1" x14ac:dyDescent="0.35">
      <c r="A14" s="2"/>
      <c r="B14" s="34" t="str">
        <f>IF(NOT(ISBLANK(C14)),COUNTA($C$6:C14),"")</f>
        <v/>
      </c>
      <c r="C14" s="71"/>
      <c r="D14" s="76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4"/>
        <v/>
      </c>
      <c r="U14"/>
      <c r="V14" s="34" t="str">
        <f>'Atest. Nr.1_1'!I10</f>
        <v/>
      </c>
      <c r="W14" s="34" t="str">
        <f>'Atest. Nr.1_2'!H10</f>
        <v/>
      </c>
      <c r="X14" s="34" t="str">
        <f>'Atest. Nr.1_3'!H10</f>
        <v/>
      </c>
      <c r="Y14" s="34" t="str">
        <f>'Atest. Nr.2_1'!I10</f>
        <v/>
      </c>
      <c r="Z14" s="34" t="str">
        <f>'Atest. Nr.2_2'!I10</f>
        <v/>
      </c>
      <c r="AA14" s="34" t="str">
        <f>'Atest. Nr.2_3'!I10</f>
        <v/>
      </c>
      <c r="AB14" s="34" t="str">
        <f>Examen!G10</f>
        <v/>
      </c>
      <c r="AC14" s="34" t="str">
        <f>ReExaminare!G10</f>
        <v/>
      </c>
      <c r="AD14" s="104" t="str">
        <f>IF(NOT(ISBLANK(B14)),
IF(SUM(E14:S14)+SUM(Laborator!E15:R15)&lt;&gt;0,SUM(E14:S14)+SUM(Laborator!E15:R15),""),
"")</f>
        <v/>
      </c>
      <c r="AE14" s="104"/>
      <c r="AH14" s="34" t="str">
        <f t="shared" si="5"/>
        <v/>
      </c>
      <c r="AI14" s="34" t="str">
        <f t="shared" si="6"/>
        <v/>
      </c>
      <c r="AJ14" s="34" t="str">
        <f>IF(NOT(ISBLANK(C14)),
IF(Laborator!AN15="Admis",ROUND(Laborator!AM15,0),"n/p"),"")</f>
        <v/>
      </c>
      <c r="AK14" s="34" t="str">
        <f>IF(NOT(ISBLANK(C14)),
IF('Lucrari grafice'!F10&lt;&gt;"n/p",'Lucrari grafice'!F10,"n/p"),"")</f>
        <v/>
      </c>
      <c r="AL14" s="34" t="str">
        <f t="shared" si="7"/>
        <v/>
      </c>
      <c r="AM14" s="34" t="str">
        <f t="shared" si="8"/>
        <v/>
      </c>
      <c r="AN14" s="107" t="str">
        <f t="shared" si="1"/>
        <v/>
      </c>
      <c r="AO14" s="33" t="str">
        <f t="shared" si="2"/>
        <v/>
      </c>
      <c r="AP14" s="34" t="str">
        <f t="shared" si="3"/>
        <v/>
      </c>
      <c r="AR14" s="13"/>
      <c r="AS14" s="13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G14" s="191"/>
    </row>
    <row r="15" spans="1:60" x14ac:dyDescent="0.35">
      <c r="A15" s="2"/>
      <c r="B15" s="34" t="str">
        <f>IF(NOT(ISBLANK(C15)),COUNTA($C$6:C15),"")</f>
        <v/>
      </c>
      <c r="C15" s="71"/>
      <c r="D15" s="76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4"/>
        <v/>
      </c>
      <c r="U15"/>
      <c r="V15" s="34" t="str">
        <f>'Atest. Nr.1_1'!I11</f>
        <v/>
      </c>
      <c r="W15" s="34" t="str">
        <f>'Atest. Nr.1_2'!H11</f>
        <v/>
      </c>
      <c r="X15" s="34" t="str">
        <f>'Atest. Nr.1_3'!H11</f>
        <v/>
      </c>
      <c r="Y15" s="34" t="str">
        <f>'Atest. Nr.2_1'!I11</f>
        <v/>
      </c>
      <c r="Z15" s="34" t="str">
        <f>'Atest. Nr.2_2'!I11</f>
        <v/>
      </c>
      <c r="AA15" s="34" t="str">
        <f>'Atest. Nr.2_3'!I11</f>
        <v/>
      </c>
      <c r="AB15" s="34" t="str">
        <f>Examen!G11</f>
        <v/>
      </c>
      <c r="AC15" s="34" t="str">
        <f>ReExaminare!G11</f>
        <v/>
      </c>
      <c r="AD15" s="104" t="str">
        <f>IF(NOT(ISBLANK(B15)),
IF(SUM(E15:S15)+SUM(Laborator!E16:R16)&lt;&gt;0,SUM(E15:S15)+SUM(Laborator!E16:R16),""),
"")</f>
        <v/>
      </c>
      <c r="AE15" s="104"/>
      <c r="AH15" s="34" t="str">
        <f t="shared" si="5"/>
        <v/>
      </c>
      <c r="AI15" s="34" t="str">
        <f t="shared" si="6"/>
        <v/>
      </c>
      <c r="AJ15" s="34" t="str">
        <f>IF(NOT(ISBLANK(C15)),
IF(Laborator!AN16="Admis",ROUND(Laborator!AM16,0),"n/p"),"")</f>
        <v/>
      </c>
      <c r="AK15" s="34" t="str">
        <f>IF(NOT(ISBLANK(C15)),
IF('Lucrari grafice'!F11&lt;&gt;"n/p",'Lucrari grafice'!F11,"n/p"),"")</f>
        <v/>
      </c>
      <c r="AL15" s="34" t="str">
        <f t="shared" si="7"/>
        <v/>
      </c>
      <c r="AM15" s="34" t="str">
        <f t="shared" si="8"/>
        <v/>
      </c>
      <c r="AN15" s="107" t="str">
        <f t="shared" si="1"/>
        <v/>
      </c>
      <c r="AO15" s="33" t="str">
        <f t="shared" si="2"/>
        <v/>
      </c>
      <c r="AP15" s="34" t="str">
        <f t="shared" si="3"/>
        <v/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60" x14ac:dyDescent="0.35">
      <c r="A16" s="2"/>
      <c r="B16" s="34" t="str">
        <f>IF(NOT(ISBLANK(C16)),COUNTA($C$6:C16),"")</f>
        <v/>
      </c>
      <c r="C16" s="71"/>
      <c r="D16" s="76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4"/>
        <v/>
      </c>
      <c r="U16"/>
      <c r="V16" s="34" t="str">
        <f>'Atest. Nr.1_1'!I12</f>
        <v/>
      </c>
      <c r="W16" s="34" t="str">
        <f>'Atest. Nr.1_2'!H12</f>
        <v/>
      </c>
      <c r="X16" s="34" t="str">
        <f>'Atest. Nr.1_3'!H12</f>
        <v/>
      </c>
      <c r="Y16" s="34" t="str">
        <f>'Atest. Nr.2_1'!I12</f>
        <v/>
      </c>
      <c r="Z16" s="34" t="str">
        <f>'Atest. Nr.2_2'!I12</f>
        <v/>
      </c>
      <c r="AA16" s="34" t="str">
        <f>'Atest. Nr.2_3'!I12</f>
        <v/>
      </c>
      <c r="AB16" s="34" t="str">
        <f>Examen!G12</f>
        <v/>
      </c>
      <c r="AC16" s="34" t="str">
        <f>ReExaminare!G12</f>
        <v/>
      </c>
      <c r="AD16" s="104" t="str">
        <f>IF(NOT(ISBLANK(B16)),
IF(SUM(E16:S16)+SUM(Laborator!E17:R17)&lt;&gt;0,SUM(E16:S16)+SUM(Laborator!E17:R17),""),
"")</f>
        <v/>
      </c>
      <c r="AE16" s="104"/>
      <c r="AH16" s="34" t="str">
        <f t="shared" si="5"/>
        <v/>
      </c>
      <c r="AI16" s="34" t="str">
        <f t="shared" si="6"/>
        <v/>
      </c>
      <c r="AJ16" s="34" t="str">
        <f>IF(NOT(ISBLANK(C16)),
IF(Laborator!AN17="Admis",ROUND(Laborator!AM17,0),"n/p"),"")</f>
        <v/>
      </c>
      <c r="AK16" s="34" t="str">
        <f>IF(NOT(ISBLANK(C16)),
IF('Lucrari grafice'!F12&lt;&gt;"n/p",'Lucrari grafice'!F12,"n/p"),"")</f>
        <v/>
      </c>
      <c r="AL16" s="34" t="str">
        <f t="shared" si="7"/>
        <v/>
      </c>
      <c r="AM16" s="34" t="str">
        <f t="shared" si="8"/>
        <v/>
      </c>
      <c r="AN16" s="107" t="str">
        <f t="shared" si="1"/>
        <v/>
      </c>
      <c r="AO16" s="33" t="str">
        <f t="shared" si="2"/>
        <v/>
      </c>
      <c r="AP16" s="34" t="str">
        <f t="shared" si="3"/>
        <v/>
      </c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9" x14ac:dyDescent="0.35">
      <c r="A17" s="2"/>
      <c r="B17" s="34" t="str">
        <f>IF(NOT(ISBLANK(C17)),COUNTA($C$6:C17),"")</f>
        <v/>
      </c>
      <c r="C17" s="71"/>
      <c r="D17" s="76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4"/>
        <v/>
      </c>
      <c r="U17"/>
      <c r="V17" s="34" t="str">
        <f>'Atest. Nr.1_1'!I13</f>
        <v/>
      </c>
      <c r="W17" s="34" t="str">
        <f>'Atest. Nr.1_2'!H13</f>
        <v/>
      </c>
      <c r="X17" s="34" t="str">
        <f>'Atest. Nr.1_3'!H13</f>
        <v/>
      </c>
      <c r="Y17" s="34" t="str">
        <f>'Atest. Nr.2_1'!I13</f>
        <v/>
      </c>
      <c r="Z17" s="34" t="str">
        <f>'Atest. Nr.2_2'!I13</f>
        <v/>
      </c>
      <c r="AA17" s="34" t="str">
        <f>'Atest. Nr.2_3'!I13</f>
        <v/>
      </c>
      <c r="AB17" s="34" t="str">
        <f>Examen!G13</f>
        <v/>
      </c>
      <c r="AC17" s="34" t="str">
        <f>ReExaminare!G13</f>
        <v/>
      </c>
      <c r="AD17" s="104" t="str">
        <f>IF(NOT(ISBLANK(B17)),
IF(SUM(E17:S17)+SUM(Laborator!E18:R18)&lt;&gt;0,SUM(E17:S17)+SUM(Laborator!E18:R18),""),
"")</f>
        <v/>
      </c>
      <c r="AE17" s="104"/>
      <c r="AH17" s="34" t="str">
        <f t="shared" si="5"/>
        <v/>
      </c>
      <c r="AI17" s="34" t="str">
        <f t="shared" si="6"/>
        <v/>
      </c>
      <c r="AJ17" s="34" t="str">
        <f>IF(NOT(ISBLANK(C17)),
IF(Laborator!AN18="Admis",ROUND(Laborator!AM18,0),"n/p"),"")</f>
        <v/>
      </c>
      <c r="AK17" s="34" t="str">
        <f>IF(NOT(ISBLANK(C17)),
IF('Lucrari grafice'!F13&lt;&gt;"n/p",'Lucrari grafice'!F13,"n/p"),"")</f>
        <v/>
      </c>
      <c r="AL17" s="34" t="str">
        <f t="shared" si="7"/>
        <v/>
      </c>
      <c r="AM17" s="34" t="str">
        <f t="shared" si="8"/>
        <v/>
      </c>
      <c r="AN17" s="107" t="str">
        <f t="shared" si="1"/>
        <v/>
      </c>
      <c r="AO17" s="33" t="str">
        <f t="shared" si="2"/>
        <v/>
      </c>
      <c r="AP17" s="34" t="str">
        <f t="shared" si="3"/>
        <v/>
      </c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9" x14ac:dyDescent="0.35">
      <c r="A18" s="2"/>
      <c r="B18" s="34" t="str">
        <f>IF(NOT(ISBLANK(C18)),COUNTA($C$6:C18),"")</f>
        <v/>
      </c>
      <c r="C18" s="71"/>
      <c r="D18" s="76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4"/>
        <v/>
      </c>
      <c r="U18"/>
      <c r="V18" s="34" t="str">
        <f>'Atest. Nr.1_1'!I14</f>
        <v/>
      </c>
      <c r="W18" s="34" t="str">
        <f>'Atest. Nr.1_2'!H14</f>
        <v/>
      </c>
      <c r="X18" s="34" t="str">
        <f>'Atest. Nr.1_3'!H14</f>
        <v/>
      </c>
      <c r="Y18" s="34" t="str">
        <f>'Atest. Nr.2_1'!I14</f>
        <v/>
      </c>
      <c r="Z18" s="34" t="str">
        <f>'Atest. Nr.2_2'!I14</f>
        <v/>
      </c>
      <c r="AA18" s="34" t="str">
        <f>'Atest. Nr.2_3'!I14</f>
        <v/>
      </c>
      <c r="AB18" s="34" t="str">
        <f>Examen!G14</f>
        <v/>
      </c>
      <c r="AC18" s="34" t="str">
        <f>ReExaminare!G14</f>
        <v/>
      </c>
      <c r="AD18" s="104" t="str">
        <f>IF(NOT(ISBLANK(B18)),
IF(SUM(E18:S18)+SUM(Laborator!E19:R19)&lt;&gt;0,SUM(E18:S18)+SUM(Laborator!E19:R19),""),
"")</f>
        <v/>
      </c>
      <c r="AE18" s="104"/>
      <c r="AH18" s="34" t="str">
        <f t="shared" si="5"/>
        <v/>
      </c>
      <c r="AI18" s="34" t="str">
        <f t="shared" si="6"/>
        <v/>
      </c>
      <c r="AJ18" s="34" t="str">
        <f>IF(NOT(ISBLANK(C18)),
IF(Laborator!AN19="Admis",ROUND(Laborator!AM19,0),"n/p"),"")</f>
        <v/>
      </c>
      <c r="AK18" s="34" t="str">
        <f>IF(NOT(ISBLANK(C18)),
IF('Lucrari grafice'!F14&lt;&gt;"n/p",'Lucrari grafice'!F14,"n/p"),"")</f>
        <v/>
      </c>
      <c r="AL18" s="34" t="str">
        <f t="shared" si="7"/>
        <v/>
      </c>
      <c r="AM18" s="34" t="str">
        <f t="shared" si="8"/>
        <v/>
      </c>
      <c r="AN18" s="107" t="str">
        <f t="shared" si="1"/>
        <v/>
      </c>
      <c r="AO18" s="33" t="str">
        <f t="shared" si="2"/>
        <v/>
      </c>
      <c r="AP18" s="34" t="str">
        <f t="shared" si="3"/>
        <v/>
      </c>
      <c r="AR18" s="13"/>
      <c r="AS18" s="13"/>
      <c r="AT18" s="192" t="s">
        <v>183</v>
      </c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G18" s="183" t="s">
        <v>179</v>
      </c>
    </row>
    <row r="19" spans="1:59" x14ac:dyDescent="0.3">
      <c r="A19" s="2"/>
      <c r="B19" s="34" t="str">
        <f>IF(NOT(ISBLANK(C19)),COUNTA($C$6:C19),"")</f>
        <v/>
      </c>
      <c r="C19" s="71"/>
      <c r="D19" s="76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4"/>
        <v/>
      </c>
      <c r="U19"/>
      <c r="V19" s="34" t="str">
        <f>'Atest. Nr.1_1'!I15</f>
        <v/>
      </c>
      <c r="W19" s="34" t="str">
        <f>'Atest. Nr.1_2'!H15</f>
        <v/>
      </c>
      <c r="X19" s="34" t="str">
        <f>'Atest. Nr.1_3'!H15</f>
        <v/>
      </c>
      <c r="Y19" s="34" t="str">
        <f>'Atest. Nr.2_1'!I15</f>
        <v/>
      </c>
      <c r="Z19" s="34" t="str">
        <f>'Atest. Nr.2_2'!I15</f>
        <v/>
      </c>
      <c r="AA19" s="34" t="str">
        <f>'Atest. Nr.2_3'!I15</f>
        <v/>
      </c>
      <c r="AB19" s="34" t="str">
        <f>Examen!G15</f>
        <v/>
      </c>
      <c r="AC19" s="34" t="str">
        <f>ReExaminare!G15</f>
        <v/>
      </c>
      <c r="AD19" s="104" t="str">
        <f>IF(NOT(ISBLANK(B19)),
IF(SUM(E19:S19)+SUM(Laborator!E20:R20)&lt;&gt;0,SUM(E19:S19)+SUM(Laborator!E20:R20),""),
"")</f>
        <v/>
      </c>
      <c r="AE19" s="104"/>
      <c r="AH19" s="34" t="str">
        <f t="shared" si="5"/>
        <v/>
      </c>
      <c r="AI19" s="34" t="str">
        <f t="shared" si="6"/>
        <v/>
      </c>
      <c r="AJ19" s="34" t="str">
        <f>IF(NOT(ISBLANK(C19)),
IF(Laborator!AN20="Admis",ROUND(Laborator!AM20,0),"n/p"),"")</f>
        <v/>
      </c>
      <c r="AK19" s="34" t="str">
        <f>IF(NOT(ISBLANK(C19)),
IF('Lucrari grafice'!F15&lt;&gt;"n/p",'Lucrari grafice'!F15,"n/p"),"")</f>
        <v/>
      </c>
      <c r="AL19" s="34" t="str">
        <f t="shared" si="7"/>
        <v/>
      </c>
      <c r="AM19" s="34" t="str">
        <f t="shared" si="8"/>
        <v/>
      </c>
      <c r="AN19" s="107" t="str">
        <f t="shared" si="1"/>
        <v/>
      </c>
      <c r="AO19" s="33" t="str">
        <f t="shared" si="2"/>
        <v/>
      </c>
      <c r="AP19" s="34" t="str">
        <f t="shared" si="3"/>
        <v/>
      </c>
      <c r="AT19" s="19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G19" s="183"/>
    </row>
    <row r="20" spans="1:59" x14ac:dyDescent="0.3">
      <c r="A20" s="2"/>
      <c r="B20" s="34" t="str">
        <f>IF(NOT(ISBLANK(C20)),COUNTA($C$6:C20),"")</f>
        <v/>
      </c>
      <c r="C20" s="71"/>
      <c r="D20" s="76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4"/>
        <v/>
      </c>
      <c r="U20"/>
      <c r="V20" s="34" t="str">
        <f>'Atest. Nr.1_1'!I16</f>
        <v/>
      </c>
      <c r="W20" s="34" t="str">
        <f>'Atest. Nr.1_2'!H16</f>
        <v/>
      </c>
      <c r="X20" s="34" t="str">
        <f>'Atest. Nr.1_3'!H16</f>
        <v/>
      </c>
      <c r="Y20" s="34" t="str">
        <f>'Atest. Nr.2_1'!I16</f>
        <v/>
      </c>
      <c r="Z20" s="34" t="str">
        <f>'Atest. Nr.2_2'!I16</f>
        <v/>
      </c>
      <c r="AA20" s="34" t="str">
        <f>'Atest. Nr.2_3'!I16</f>
        <v/>
      </c>
      <c r="AB20" s="34" t="str">
        <f>Examen!G16</f>
        <v/>
      </c>
      <c r="AC20" s="34" t="str">
        <f>ReExaminare!G16</f>
        <v/>
      </c>
      <c r="AD20" s="104" t="str">
        <f>IF(NOT(ISBLANK(B20)),
IF(SUM(E20:S20)+SUM(Laborator!E21:R21)&lt;&gt;0,SUM(E20:S20)+SUM(Laborator!E21:R21),""),
"")</f>
        <v/>
      </c>
      <c r="AE20" s="104"/>
      <c r="AH20" s="34" t="str">
        <f t="shared" si="5"/>
        <v/>
      </c>
      <c r="AI20" s="34" t="str">
        <f t="shared" si="6"/>
        <v/>
      </c>
      <c r="AJ20" s="34" t="str">
        <f>IF(NOT(ISBLANK(C20)),
IF(Laborator!AN21="Admis",ROUND(Laborator!AM21,0),"n/p"),"")</f>
        <v/>
      </c>
      <c r="AK20" s="34" t="str">
        <f>IF(NOT(ISBLANK(C20)),
IF('Lucrari grafice'!F16&lt;&gt;"n/p",'Lucrari grafice'!F16,"n/p"),"")</f>
        <v/>
      </c>
      <c r="AL20" s="34" t="str">
        <f t="shared" si="7"/>
        <v/>
      </c>
      <c r="AM20" s="34" t="str">
        <f t="shared" si="8"/>
        <v/>
      </c>
      <c r="AN20" s="107" t="str">
        <f t="shared" si="1"/>
        <v/>
      </c>
      <c r="AO20" s="33" t="str">
        <f t="shared" si="2"/>
        <v/>
      </c>
      <c r="AP20" s="34" t="str">
        <f t="shared" si="3"/>
        <v/>
      </c>
      <c r="AT20" s="188" t="s">
        <v>182</v>
      </c>
      <c r="AU20" s="190" t="s">
        <v>33</v>
      </c>
      <c r="AV20" s="190">
        <v>1</v>
      </c>
      <c r="AW20" s="190">
        <v>2</v>
      </c>
      <c r="AX20" s="190">
        <v>3</v>
      </c>
      <c r="AY20" s="190">
        <v>4</v>
      </c>
      <c r="AZ20" s="190">
        <v>5</v>
      </c>
      <c r="BA20" s="190">
        <v>6</v>
      </c>
      <c r="BB20" s="190">
        <v>7</v>
      </c>
      <c r="BC20" s="190">
        <v>8</v>
      </c>
      <c r="BD20" s="190">
        <v>9</v>
      </c>
      <c r="BE20" s="190">
        <v>10</v>
      </c>
      <c r="BG20" s="183"/>
    </row>
    <row r="21" spans="1:59" ht="18.600000000000001" thickBot="1" x14ac:dyDescent="0.35">
      <c r="A21" s="2"/>
      <c r="B21" s="34" t="str">
        <f>IF(NOT(ISBLANK(C21)),COUNTA($C$6:C21),"")</f>
        <v/>
      </c>
      <c r="C21" s="71"/>
      <c r="D21" s="76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4"/>
        <v/>
      </c>
      <c r="U21"/>
      <c r="V21" s="34" t="str">
        <f>'Atest. Nr.1_1'!I17</f>
        <v/>
      </c>
      <c r="W21" s="34" t="str">
        <f>'Atest. Nr.1_2'!H17</f>
        <v/>
      </c>
      <c r="X21" s="34" t="str">
        <f>'Atest. Nr.1_3'!H17</f>
        <v/>
      </c>
      <c r="Y21" s="34" t="str">
        <f>'Atest. Nr.2_1'!I17</f>
        <v/>
      </c>
      <c r="Z21" s="34" t="str">
        <f>'Atest. Nr.2_2'!I17</f>
        <v/>
      </c>
      <c r="AA21" s="34" t="str">
        <f>'Atest. Nr.2_3'!I17</f>
        <v/>
      </c>
      <c r="AB21" s="34" t="str">
        <f>Examen!G17</f>
        <v/>
      </c>
      <c r="AC21" s="34" t="str">
        <f>ReExaminare!G17</f>
        <v/>
      </c>
      <c r="AD21" s="104" t="str">
        <f>IF(NOT(ISBLANK(B21)),
IF(SUM(E21:S21)+SUM(Laborator!E22:R22)&lt;&gt;0,SUM(E21:S21)+SUM(Laborator!E22:R22),""),
"")</f>
        <v/>
      </c>
      <c r="AE21" s="104"/>
      <c r="AH21" s="34" t="str">
        <f t="shared" si="5"/>
        <v/>
      </c>
      <c r="AI21" s="34" t="str">
        <f t="shared" si="6"/>
        <v/>
      </c>
      <c r="AJ21" s="34" t="str">
        <f>IF(NOT(ISBLANK(C21)),
IF(Laborator!AN22="Admis",ROUND(Laborator!AM22,0),"n/p"),"")</f>
        <v/>
      </c>
      <c r="AK21" s="34" t="str">
        <f>IF(NOT(ISBLANK(C21)),
IF('Lucrari grafice'!F17&lt;&gt;"n/p",'Lucrari grafice'!F17,"n/p"),"")</f>
        <v/>
      </c>
      <c r="AL21" s="34" t="str">
        <f t="shared" si="7"/>
        <v/>
      </c>
      <c r="AM21" s="34" t="str">
        <f t="shared" si="8"/>
        <v/>
      </c>
      <c r="AN21" s="107" t="str">
        <f t="shared" si="1"/>
        <v/>
      </c>
      <c r="AO21" s="33" t="str">
        <f t="shared" si="2"/>
        <v/>
      </c>
      <c r="AP21" s="34" t="str">
        <f t="shared" si="3"/>
        <v/>
      </c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G21" s="183"/>
    </row>
    <row r="22" spans="1:59" ht="18.600000000000001" customHeight="1" thickTop="1" x14ac:dyDescent="0.35">
      <c r="A22" s="2"/>
      <c r="B22" s="34" t="str">
        <f>IF(NOT(ISBLANK(C22)),COUNTA($C$6:C22),"")</f>
        <v/>
      </c>
      <c r="C22" s="71"/>
      <c r="D22" s="7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4"/>
        <v/>
      </c>
      <c r="U22"/>
      <c r="V22" s="34" t="str">
        <f>'Atest. Nr.1_1'!I18</f>
        <v/>
      </c>
      <c r="W22" s="34" t="str">
        <f>'Atest. Nr.1_2'!H18</f>
        <v/>
      </c>
      <c r="X22" s="34" t="str">
        <f>'Atest. Nr.1_3'!H18</f>
        <v/>
      </c>
      <c r="Y22" s="34" t="str">
        <f>'Atest. Nr.2_1'!I18</f>
        <v/>
      </c>
      <c r="Z22" s="34" t="str">
        <f>'Atest. Nr.2_2'!I18</f>
        <v/>
      </c>
      <c r="AA22" s="34" t="str">
        <f>'Atest. Nr.2_3'!I18</f>
        <v/>
      </c>
      <c r="AB22" s="34" t="str">
        <f>Examen!G18</f>
        <v/>
      </c>
      <c r="AC22" s="34" t="str">
        <f>ReExaminare!G18</f>
        <v/>
      </c>
      <c r="AD22" s="104" t="str">
        <f>IF(NOT(ISBLANK(B22)),
IF(SUM(E22:S22)+SUM(Laborator!E23:R23)&lt;&gt;0,SUM(E22:S22)+SUM(Laborator!E23:R23),""),
"")</f>
        <v/>
      </c>
      <c r="AE22" s="104"/>
      <c r="AH22" s="34" t="str">
        <f t="shared" si="5"/>
        <v/>
      </c>
      <c r="AI22" s="34" t="str">
        <f t="shared" si="6"/>
        <v/>
      </c>
      <c r="AJ22" s="34" t="str">
        <f>IF(NOT(ISBLANK(C22)),
IF(Laborator!AN23="Admis",ROUND(Laborator!AM23,0),"n/p"),"")</f>
        <v/>
      </c>
      <c r="AK22" s="34" t="str">
        <f>IF(NOT(ISBLANK(C22)),
IF('Lucrari grafice'!F18&lt;&gt;"n/p",'Lucrari grafice'!F18,"n/p"),"")</f>
        <v/>
      </c>
      <c r="AL22" s="34" t="str">
        <f t="shared" si="7"/>
        <v/>
      </c>
      <c r="AM22" s="34" t="str">
        <f t="shared" si="8"/>
        <v/>
      </c>
      <c r="AN22" s="107" t="str">
        <f t="shared" si="1"/>
        <v/>
      </c>
      <c r="AO22" s="33" t="str">
        <f t="shared" si="2"/>
        <v/>
      </c>
      <c r="AP22" s="34" t="str">
        <f t="shared" si="3"/>
        <v/>
      </c>
      <c r="AS22" s="8"/>
      <c r="AT22" s="186">
        <f>COUNTA(C6:C105)</f>
        <v>1</v>
      </c>
      <c r="AU22" s="186">
        <f>COUNTIF($AI$6:$AI$105,AU20)</f>
        <v>1</v>
      </c>
      <c r="AV22" s="186">
        <f t="shared" ref="AV22:BE22" si="10">COUNTIF($AI$6:$AI$105,AV20)</f>
        <v>0</v>
      </c>
      <c r="AW22" s="186">
        <f t="shared" si="10"/>
        <v>0</v>
      </c>
      <c r="AX22" s="186">
        <f t="shared" si="10"/>
        <v>0</v>
      </c>
      <c r="AY22" s="186">
        <f t="shared" si="10"/>
        <v>0</v>
      </c>
      <c r="AZ22" s="186">
        <f t="shared" si="10"/>
        <v>0</v>
      </c>
      <c r="BA22" s="186">
        <f t="shared" si="10"/>
        <v>0</v>
      </c>
      <c r="BB22" s="186">
        <f t="shared" si="10"/>
        <v>0</v>
      </c>
      <c r="BC22" s="186">
        <f t="shared" si="10"/>
        <v>0</v>
      </c>
      <c r="BD22" s="186">
        <f t="shared" si="10"/>
        <v>0</v>
      </c>
      <c r="BE22" s="186">
        <f t="shared" si="10"/>
        <v>0</v>
      </c>
      <c r="BG22" s="191">
        <f>SUM(AZ22:BE23)/AT22</f>
        <v>0</v>
      </c>
    </row>
    <row r="23" spans="1:59" ht="18" customHeight="1" x14ac:dyDescent="0.35">
      <c r="A23" s="2"/>
      <c r="B23" s="34" t="str">
        <f>IF(NOT(ISBLANK(C23)),COUNTA($C$6:C23),"")</f>
        <v/>
      </c>
      <c r="C23" s="71"/>
      <c r="D23" s="76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4"/>
        <v/>
      </c>
      <c r="U23"/>
      <c r="V23" s="34" t="str">
        <f>'Atest. Nr.1_1'!I19</f>
        <v/>
      </c>
      <c r="W23" s="34" t="str">
        <f>'Atest. Nr.1_2'!H19</f>
        <v/>
      </c>
      <c r="X23" s="34" t="str">
        <f>'Atest. Nr.1_3'!H19</f>
        <v/>
      </c>
      <c r="Y23" s="34" t="str">
        <f>'Atest. Nr.2_1'!I19</f>
        <v/>
      </c>
      <c r="Z23" s="34" t="str">
        <f>'Atest. Nr.2_2'!I19</f>
        <v/>
      </c>
      <c r="AA23" s="34" t="str">
        <f>'Atest. Nr.2_3'!I19</f>
        <v/>
      </c>
      <c r="AB23" s="34" t="str">
        <f>Examen!G19</f>
        <v/>
      </c>
      <c r="AC23" s="34" t="str">
        <f>ReExaminare!G19</f>
        <v/>
      </c>
      <c r="AD23" s="104" t="str">
        <f>IF(NOT(ISBLANK(B23)),
IF(SUM(E23:S23)+SUM(Laborator!E24:R24)&lt;&gt;0,SUM(E23:S23)+SUM(Laborator!E24:R24),""),
"")</f>
        <v/>
      </c>
      <c r="AE23" s="104"/>
      <c r="AH23" s="34" t="str">
        <f t="shared" si="5"/>
        <v/>
      </c>
      <c r="AI23" s="34" t="str">
        <f t="shared" si="6"/>
        <v/>
      </c>
      <c r="AJ23" s="34" t="str">
        <f>IF(NOT(ISBLANK(C23)),
IF(Laborator!AN24="Admis",ROUND(Laborator!AM24,0),"n/p"),"")</f>
        <v/>
      </c>
      <c r="AK23" s="34" t="str">
        <f>IF(NOT(ISBLANK(C23)),
IF('Lucrari grafice'!F19&lt;&gt;"n/p",'Lucrari grafice'!F19,"n/p"),"")</f>
        <v/>
      </c>
      <c r="AL23" s="34" t="str">
        <f t="shared" si="7"/>
        <v/>
      </c>
      <c r="AM23" s="34" t="str">
        <f t="shared" si="8"/>
        <v/>
      </c>
      <c r="AN23" s="107" t="str">
        <f t="shared" si="1"/>
        <v/>
      </c>
      <c r="AO23" s="33" t="str">
        <f t="shared" si="2"/>
        <v/>
      </c>
      <c r="AP23" s="34" t="str">
        <f t="shared" si="3"/>
        <v/>
      </c>
      <c r="AS23" s="8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G23" s="191"/>
    </row>
    <row r="24" spans="1:59" x14ac:dyDescent="0.35">
      <c r="A24" s="2"/>
      <c r="B24" s="34" t="str">
        <f>IF(NOT(ISBLANK(C24)),COUNTA($C$6:C24),"")</f>
        <v/>
      </c>
      <c r="C24" s="71"/>
      <c r="D24" s="76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4"/>
        <v/>
      </c>
      <c r="U24"/>
      <c r="V24" s="34" t="str">
        <f>'Atest. Nr.1_1'!I20</f>
        <v/>
      </c>
      <c r="W24" s="34" t="str">
        <f>'Atest. Nr.1_2'!H20</f>
        <v/>
      </c>
      <c r="X24" s="34" t="str">
        <f>'Atest. Nr.1_3'!H20</f>
        <v/>
      </c>
      <c r="Y24" s="34" t="str">
        <f>'Atest. Nr.2_1'!I20</f>
        <v/>
      </c>
      <c r="Z24" s="34" t="str">
        <f>'Atest. Nr.2_2'!I20</f>
        <v/>
      </c>
      <c r="AA24" s="34" t="str">
        <f>'Atest. Nr.2_3'!I20</f>
        <v/>
      </c>
      <c r="AB24" s="34" t="str">
        <f>Examen!G20</f>
        <v/>
      </c>
      <c r="AC24" s="34" t="str">
        <f>ReExaminare!G20</f>
        <v/>
      </c>
      <c r="AD24" s="104" t="str">
        <f>IF(NOT(ISBLANK(B24)),
IF(SUM(E24:S24)+SUM(Laborator!E25:R25)&lt;&gt;0,SUM(E24:S24)+SUM(Laborator!E25:R25),""),
"")</f>
        <v/>
      </c>
      <c r="AE24" s="104"/>
      <c r="AH24" s="34" t="str">
        <f t="shared" si="5"/>
        <v/>
      </c>
      <c r="AI24" s="34" t="str">
        <f t="shared" si="6"/>
        <v/>
      </c>
      <c r="AJ24" s="34" t="str">
        <f>IF(NOT(ISBLANK(C24)),
IF(Laborator!AN25="Admis",ROUND(Laborator!AM25,0),"n/p"),"")</f>
        <v/>
      </c>
      <c r="AK24" s="34" t="str">
        <f>IF(NOT(ISBLANK(C24)),
IF('Lucrari grafice'!F20&lt;&gt;"n/p",'Lucrari grafice'!F20,"n/p"),"")</f>
        <v/>
      </c>
      <c r="AL24" s="34" t="str">
        <f t="shared" si="7"/>
        <v/>
      </c>
      <c r="AM24" s="34" t="str">
        <f t="shared" si="8"/>
        <v/>
      </c>
      <c r="AN24" s="107" t="str">
        <f t="shared" si="1"/>
        <v/>
      </c>
      <c r="AO24" s="33" t="str">
        <f t="shared" si="2"/>
        <v/>
      </c>
      <c r="AP24" s="34" t="str">
        <f t="shared" si="3"/>
        <v/>
      </c>
      <c r="AS24" s="8"/>
      <c r="AT24" s="13"/>
    </row>
    <row r="25" spans="1:59" x14ac:dyDescent="0.35">
      <c r="A25" s="2"/>
      <c r="B25" s="34" t="str">
        <f>IF(NOT(ISBLANK(C25)),COUNTA($C$6:C25),"")</f>
        <v/>
      </c>
      <c r="C25" s="71"/>
      <c r="D25" s="76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4"/>
        <v/>
      </c>
      <c r="U25"/>
      <c r="V25" s="34" t="str">
        <f>'Atest. Nr.1_1'!I21</f>
        <v/>
      </c>
      <c r="W25" s="34" t="str">
        <f>'Atest. Nr.1_2'!H21</f>
        <v/>
      </c>
      <c r="X25" s="34" t="str">
        <f>'Atest. Nr.1_3'!H21</f>
        <v/>
      </c>
      <c r="Y25" s="34" t="str">
        <f>'Atest. Nr.2_1'!I21</f>
        <v/>
      </c>
      <c r="Z25" s="34" t="str">
        <f>'Atest. Nr.2_2'!I21</f>
        <v/>
      </c>
      <c r="AA25" s="34" t="str">
        <f>'Atest. Nr.2_3'!I21</f>
        <v/>
      </c>
      <c r="AB25" s="34" t="str">
        <f>Examen!G21</f>
        <v/>
      </c>
      <c r="AC25" s="34" t="str">
        <f>ReExaminare!G21</f>
        <v/>
      </c>
      <c r="AD25" s="104" t="str">
        <f>IF(NOT(ISBLANK(B25)),
IF(SUM(E25:S25)+SUM(Laborator!E26:R26)&lt;&gt;0,SUM(E25:S25)+SUM(Laborator!E26:R26),""),
"")</f>
        <v/>
      </c>
      <c r="AE25" s="104"/>
      <c r="AH25" s="34" t="str">
        <f t="shared" si="5"/>
        <v/>
      </c>
      <c r="AI25" s="34" t="str">
        <f t="shared" si="6"/>
        <v/>
      </c>
      <c r="AJ25" s="34" t="str">
        <f>IF(NOT(ISBLANK(C25)),
IF(Laborator!AN26="Admis",ROUND(Laborator!AM26,0),"n/p"),"")</f>
        <v/>
      </c>
      <c r="AK25" s="34" t="str">
        <f>IF(NOT(ISBLANK(C25)),
IF('Lucrari grafice'!F21&lt;&gt;"n/p",'Lucrari grafice'!F21,"n/p"),"")</f>
        <v/>
      </c>
      <c r="AL25" s="34" t="str">
        <f t="shared" si="7"/>
        <v/>
      </c>
      <c r="AM25" s="34" t="str">
        <f t="shared" si="8"/>
        <v/>
      </c>
      <c r="AN25" s="107" t="str">
        <f t="shared" si="1"/>
        <v/>
      </c>
      <c r="AO25" s="33" t="str">
        <f t="shared" si="2"/>
        <v/>
      </c>
      <c r="AP25" s="34" t="str">
        <f t="shared" si="3"/>
        <v/>
      </c>
      <c r="AS25" s="8"/>
      <c r="AT25" s="13"/>
    </row>
    <row r="26" spans="1:59" x14ac:dyDescent="0.35">
      <c r="A26" s="2"/>
      <c r="B26" s="34" t="str">
        <f>IF(NOT(ISBLANK(C26)),COUNTA($C$6:C26),"")</f>
        <v/>
      </c>
      <c r="C26" s="71"/>
      <c r="D26" s="76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4"/>
        <v/>
      </c>
      <c r="U26"/>
      <c r="V26" s="34" t="str">
        <f>'Atest. Nr.1_1'!I22</f>
        <v/>
      </c>
      <c r="W26" s="34" t="str">
        <f>'Atest. Nr.1_2'!H22</f>
        <v/>
      </c>
      <c r="X26" s="34" t="str">
        <f>'Atest. Nr.1_3'!H22</f>
        <v/>
      </c>
      <c r="Y26" s="34" t="str">
        <f>'Atest. Nr.2_1'!I22</f>
        <v/>
      </c>
      <c r="Z26" s="34" t="str">
        <f>'Atest. Nr.2_2'!I22</f>
        <v/>
      </c>
      <c r="AA26" s="34" t="str">
        <f>'Atest. Nr.2_3'!I22</f>
        <v/>
      </c>
      <c r="AB26" s="34" t="str">
        <f>Examen!G22</f>
        <v/>
      </c>
      <c r="AC26" s="34" t="str">
        <f>ReExaminare!G22</f>
        <v/>
      </c>
      <c r="AD26" s="104" t="str">
        <f>IF(NOT(ISBLANK(B26)),
IF(SUM(E26:S26)+SUM(Laborator!E27:R27)&lt;&gt;0,SUM(E26:S26)+SUM(Laborator!E27:R27),""),
"")</f>
        <v/>
      </c>
      <c r="AE26" s="104"/>
      <c r="AH26" s="34" t="str">
        <f t="shared" si="5"/>
        <v/>
      </c>
      <c r="AI26" s="34" t="str">
        <f t="shared" si="6"/>
        <v/>
      </c>
      <c r="AJ26" s="34" t="str">
        <f>IF(NOT(ISBLANK(C26)),
IF(Laborator!AN27="Admis",ROUND(Laborator!AM27,0),"n/p"),"")</f>
        <v/>
      </c>
      <c r="AK26" s="34" t="str">
        <f>IF(NOT(ISBLANK(C26)),
IF('Lucrari grafice'!F22&lt;&gt;"n/p",'Lucrari grafice'!F22,"n/p"),"")</f>
        <v/>
      </c>
      <c r="AL26" s="34" t="str">
        <f t="shared" si="7"/>
        <v/>
      </c>
      <c r="AM26" s="34" t="str">
        <f t="shared" si="8"/>
        <v/>
      </c>
      <c r="AN26" s="107" t="str">
        <f t="shared" si="1"/>
        <v/>
      </c>
      <c r="AO26" s="33" t="str">
        <f t="shared" si="2"/>
        <v/>
      </c>
      <c r="AP26" s="34" t="str">
        <f t="shared" si="3"/>
        <v/>
      </c>
      <c r="AS26" s="8"/>
      <c r="AT26" s="13"/>
    </row>
    <row r="27" spans="1:59" x14ac:dyDescent="0.35">
      <c r="A27" s="2"/>
      <c r="B27" s="34" t="str">
        <f>IF(NOT(ISBLANK(C27)),COUNTA($C$6:C27),"")</f>
        <v/>
      </c>
      <c r="C27" s="71"/>
      <c r="D27" s="76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4"/>
        <v/>
      </c>
      <c r="U27"/>
      <c r="V27" s="34" t="str">
        <f>'Atest. Nr.1_1'!I23</f>
        <v/>
      </c>
      <c r="W27" s="34" t="str">
        <f>'Atest. Nr.1_2'!H23</f>
        <v/>
      </c>
      <c r="X27" s="34" t="str">
        <f>'Atest. Nr.1_3'!H23</f>
        <v/>
      </c>
      <c r="Y27" s="34" t="str">
        <f>'Atest. Nr.2_1'!I23</f>
        <v/>
      </c>
      <c r="Z27" s="34" t="str">
        <f>'Atest. Nr.2_2'!I23</f>
        <v/>
      </c>
      <c r="AA27" s="34" t="str">
        <f>'Atest. Nr.2_3'!I23</f>
        <v/>
      </c>
      <c r="AB27" s="34" t="str">
        <f>Examen!G23</f>
        <v/>
      </c>
      <c r="AC27" s="34" t="str">
        <f>ReExaminare!G23</f>
        <v/>
      </c>
      <c r="AD27" s="104" t="str">
        <f>IF(NOT(ISBLANK(B27)),
IF(SUM(E27:S27)+SUM(Laborator!E28:R28)&lt;&gt;0,SUM(E27:S27)+SUM(Laborator!E28:R28),""),
"")</f>
        <v/>
      </c>
      <c r="AE27" s="104"/>
      <c r="AH27" s="34" t="str">
        <f t="shared" si="5"/>
        <v/>
      </c>
      <c r="AI27" s="34" t="str">
        <f t="shared" si="6"/>
        <v/>
      </c>
      <c r="AJ27" s="34" t="str">
        <f>IF(NOT(ISBLANK(C27)),
IF(Laborator!AN28="Admis",ROUND(Laborator!AM28,0),"n/p"),"")</f>
        <v/>
      </c>
      <c r="AK27" s="34" t="str">
        <f>IF(NOT(ISBLANK(C27)),
IF('Lucrari grafice'!F23&lt;&gt;"n/p",'Lucrari grafice'!F23,"n/p"),"")</f>
        <v/>
      </c>
      <c r="AL27" s="34" t="str">
        <f t="shared" si="7"/>
        <v/>
      </c>
      <c r="AM27" s="34" t="str">
        <f t="shared" si="8"/>
        <v/>
      </c>
      <c r="AN27" s="107" t="str">
        <f t="shared" si="1"/>
        <v/>
      </c>
      <c r="AO27" s="33" t="str">
        <f t="shared" si="2"/>
        <v/>
      </c>
      <c r="AP27" s="34" t="str">
        <f t="shared" si="3"/>
        <v/>
      </c>
      <c r="AS27" s="8"/>
      <c r="AT27" s="13"/>
    </row>
    <row r="28" spans="1:59" x14ac:dyDescent="0.35">
      <c r="A28" s="2"/>
      <c r="B28" s="34" t="str">
        <f>IF(NOT(ISBLANK(C28)),COUNTA($C$6:C28),"")</f>
        <v/>
      </c>
      <c r="C28" s="71"/>
      <c r="D28" s="76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4"/>
        <v/>
      </c>
      <c r="U28"/>
      <c r="V28" s="34" t="str">
        <f>'Atest. Nr.1_1'!I24</f>
        <v/>
      </c>
      <c r="W28" s="34" t="str">
        <f>'Atest. Nr.1_2'!H24</f>
        <v/>
      </c>
      <c r="X28" s="34" t="str">
        <f>'Atest. Nr.1_3'!H24</f>
        <v/>
      </c>
      <c r="Y28" s="34" t="str">
        <f>'Atest. Nr.2_1'!I24</f>
        <v/>
      </c>
      <c r="Z28" s="34" t="str">
        <f>'Atest. Nr.2_2'!I24</f>
        <v/>
      </c>
      <c r="AA28" s="34" t="str">
        <f>'Atest. Nr.2_3'!I24</f>
        <v/>
      </c>
      <c r="AB28" s="34" t="str">
        <f>Examen!G24</f>
        <v/>
      </c>
      <c r="AC28" s="34" t="str">
        <f>ReExaminare!G24</f>
        <v/>
      </c>
      <c r="AD28" s="104" t="str">
        <f>IF(NOT(ISBLANK(B28)),
IF(SUM(E28:S28)+SUM(Laborator!E29:R29)&lt;&gt;0,SUM(E28:S28)+SUM(Laborator!E29:R29),""),
"")</f>
        <v/>
      </c>
      <c r="AE28" s="104"/>
      <c r="AH28" s="34" t="str">
        <f t="shared" si="5"/>
        <v/>
      </c>
      <c r="AI28" s="34" t="str">
        <f t="shared" si="6"/>
        <v/>
      </c>
      <c r="AJ28" s="34" t="str">
        <f>IF(NOT(ISBLANK(C28)),
IF(Laborator!AN29="Admis",ROUND(Laborator!AM29,0),"n/p"),"")</f>
        <v/>
      </c>
      <c r="AK28" s="34" t="str">
        <f>IF(NOT(ISBLANK(C28)),
IF('Lucrari grafice'!F24&lt;&gt;"n/p",'Lucrari grafice'!F24,"n/p"),"")</f>
        <v/>
      </c>
      <c r="AL28" s="34" t="str">
        <f t="shared" si="7"/>
        <v/>
      </c>
      <c r="AM28" s="34" t="str">
        <f t="shared" si="8"/>
        <v/>
      </c>
      <c r="AN28" s="107" t="str">
        <f t="shared" si="1"/>
        <v/>
      </c>
      <c r="AO28" s="33" t="str">
        <f t="shared" si="2"/>
        <v/>
      </c>
      <c r="AP28" s="34" t="str">
        <f t="shared" si="3"/>
        <v/>
      </c>
      <c r="AS28" s="8"/>
      <c r="AT28" s="13"/>
    </row>
    <row r="29" spans="1:59" x14ac:dyDescent="0.35">
      <c r="A29" s="2"/>
      <c r="B29" s="34" t="str">
        <f>IF(NOT(ISBLANK(C29)),COUNTA($C$6:C29),"")</f>
        <v/>
      </c>
      <c r="C29" s="71"/>
      <c r="D29" s="76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4"/>
        <v/>
      </c>
      <c r="U29"/>
      <c r="V29" s="34" t="str">
        <f>'Atest. Nr.1_1'!I25</f>
        <v/>
      </c>
      <c r="W29" s="34" t="str">
        <f>'Atest. Nr.1_2'!H25</f>
        <v/>
      </c>
      <c r="X29" s="34" t="str">
        <f>'Atest. Nr.1_3'!H25</f>
        <v/>
      </c>
      <c r="Y29" s="34" t="str">
        <f>'Atest. Nr.2_1'!I25</f>
        <v/>
      </c>
      <c r="Z29" s="34" t="str">
        <f>'Atest. Nr.2_2'!I25</f>
        <v/>
      </c>
      <c r="AA29" s="34" t="str">
        <f>'Atest. Nr.2_3'!I25</f>
        <v/>
      </c>
      <c r="AB29" s="34" t="str">
        <f>Examen!G25</f>
        <v/>
      </c>
      <c r="AC29" s="34" t="str">
        <f>ReExaminare!G25</f>
        <v/>
      </c>
      <c r="AD29" s="104" t="str">
        <f>IF(NOT(ISBLANK(B29)),
IF(SUM(E29:S29)+SUM(Laborator!E30:R30)&lt;&gt;0,SUM(E29:S29)+SUM(Laborator!E30:R30),""),
"")</f>
        <v/>
      </c>
      <c r="AE29" s="104"/>
      <c r="AH29" s="34" t="str">
        <f t="shared" si="5"/>
        <v/>
      </c>
      <c r="AI29" s="34" t="str">
        <f t="shared" si="6"/>
        <v/>
      </c>
      <c r="AJ29" s="34" t="str">
        <f>IF(NOT(ISBLANK(C29)),
IF(Laborator!AN30="Admis",ROUND(Laborator!AM30,0),"n/p"),"")</f>
        <v/>
      </c>
      <c r="AK29" s="34" t="str">
        <f>IF(NOT(ISBLANK(C29)),
IF('Lucrari grafice'!F25&lt;&gt;"n/p",'Lucrari grafice'!F25,"n/p"),"")</f>
        <v/>
      </c>
      <c r="AL29" s="34" t="str">
        <f t="shared" si="7"/>
        <v/>
      </c>
      <c r="AM29" s="34" t="str">
        <f t="shared" si="8"/>
        <v/>
      </c>
      <c r="AN29" s="107" t="str">
        <f t="shared" si="1"/>
        <v/>
      </c>
      <c r="AO29" s="33" t="str">
        <f t="shared" si="2"/>
        <v/>
      </c>
      <c r="AP29" s="34" t="str">
        <f t="shared" si="3"/>
        <v/>
      </c>
      <c r="AS29" s="8"/>
      <c r="AT29" s="13"/>
    </row>
    <row r="30" spans="1:59" x14ac:dyDescent="0.35">
      <c r="A30" s="2"/>
      <c r="B30" s="34" t="str">
        <f>IF(NOT(ISBLANK(C30)),COUNTA($C$6:C30),"")</f>
        <v/>
      </c>
      <c r="C30" s="71"/>
      <c r="D30" s="76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4"/>
        <v/>
      </c>
      <c r="U30"/>
      <c r="V30" s="34" t="str">
        <f>'Atest. Nr.1_1'!I26</f>
        <v/>
      </c>
      <c r="W30" s="34" t="str">
        <f>'Atest. Nr.1_2'!H26</f>
        <v/>
      </c>
      <c r="X30" s="34" t="str">
        <f>'Atest. Nr.1_3'!H26</f>
        <v/>
      </c>
      <c r="Y30" s="34" t="str">
        <f>'Atest. Nr.2_1'!I26</f>
        <v/>
      </c>
      <c r="Z30" s="34" t="str">
        <f>'Atest. Nr.2_2'!I26</f>
        <v/>
      </c>
      <c r="AA30" s="34" t="str">
        <f>'Atest. Nr.2_3'!I26</f>
        <v/>
      </c>
      <c r="AB30" s="34" t="str">
        <f>Examen!G26</f>
        <v/>
      </c>
      <c r="AC30" s="34" t="str">
        <f>ReExaminare!G26</f>
        <v/>
      </c>
      <c r="AD30" s="104" t="str">
        <f>IF(NOT(ISBLANK(B30)),
IF(SUM(E30:S30)+SUM(Laborator!E31:R31)&lt;&gt;0,SUM(E30:S30)+SUM(Laborator!E31:R31),""),
"")</f>
        <v/>
      </c>
      <c r="AE30" s="104"/>
      <c r="AH30" s="34" t="str">
        <f t="shared" si="5"/>
        <v/>
      </c>
      <c r="AI30" s="34" t="str">
        <f t="shared" si="6"/>
        <v/>
      </c>
      <c r="AJ30" s="34" t="str">
        <f>IF(NOT(ISBLANK(C30)),
IF(Laborator!AN31="Admis",ROUND(Laborator!AM31,0),"n/p"),"")</f>
        <v/>
      </c>
      <c r="AK30" s="34" t="str">
        <f>IF(NOT(ISBLANK(C30)),
IF('Lucrari grafice'!F26&lt;&gt;"n/p",'Lucrari grafice'!F26,"n/p"),"")</f>
        <v/>
      </c>
      <c r="AL30" s="34" t="str">
        <f t="shared" si="7"/>
        <v/>
      </c>
      <c r="AM30" s="34" t="str">
        <f t="shared" si="8"/>
        <v/>
      </c>
      <c r="AN30" s="107" t="str">
        <f t="shared" si="1"/>
        <v/>
      </c>
      <c r="AO30" s="33" t="str">
        <f t="shared" si="2"/>
        <v/>
      </c>
      <c r="AP30" s="34" t="str">
        <f t="shared" si="3"/>
        <v/>
      </c>
      <c r="AS30" s="8"/>
      <c r="AT30" s="13"/>
    </row>
    <row r="31" spans="1:59" x14ac:dyDescent="0.3">
      <c r="B31" s="34" t="str">
        <f>IF(NOT(ISBLANK(C31)),COUNTA($C$6:C31),"")</f>
        <v/>
      </c>
      <c r="C31" s="71"/>
      <c r="D31" s="76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4"/>
        <v/>
      </c>
      <c r="U31"/>
      <c r="V31" s="34" t="str">
        <f>'Atest. Nr.1_1'!I27</f>
        <v/>
      </c>
      <c r="W31" s="34" t="str">
        <f>'Atest. Nr.1_2'!H27</f>
        <v/>
      </c>
      <c r="X31" s="34" t="str">
        <f>'Atest. Nr.1_3'!H27</f>
        <v/>
      </c>
      <c r="Y31" s="34" t="str">
        <f>'Atest. Nr.2_1'!I27</f>
        <v/>
      </c>
      <c r="Z31" s="34" t="str">
        <f>'Atest. Nr.2_2'!I27</f>
        <v/>
      </c>
      <c r="AA31" s="34" t="str">
        <f>'Atest. Nr.2_3'!I27</f>
        <v/>
      </c>
      <c r="AB31" s="34" t="str">
        <f>Examen!G27</f>
        <v/>
      </c>
      <c r="AC31" s="34" t="str">
        <f>ReExaminare!G27</f>
        <v/>
      </c>
      <c r="AD31" s="104" t="str">
        <f>IF(NOT(ISBLANK(B31)),
IF(SUM(E31:S31)+SUM(Laborator!E32:R32)&lt;&gt;0,SUM(E31:S31)+SUM(Laborator!E32:R32),""),
"")</f>
        <v/>
      </c>
      <c r="AE31" s="104"/>
      <c r="AH31" s="34" t="str">
        <f t="shared" si="5"/>
        <v/>
      </c>
      <c r="AI31" s="34" t="str">
        <f t="shared" si="6"/>
        <v/>
      </c>
      <c r="AJ31" s="34" t="str">
        <f>IF(NOT(ISBLANK(C31)),
IF(Laborator!AN32="Admis",ROUND(Laborator!AM32,0),"n/p"),"")</f>
        <v/>
      </c>
      <c r="AK31" s="34" t="str">
        <f>IF(NOT(ISBLANK(C31)),
IF('Lucrari grafice'!F27&lt;&gt;"n/p",'Lucrari grafice'!F27,"n/p"),"")</f>
        <v/>
      </c>
      <c r="AL31" s="34" t="str">
        <f t="shared" si="7"/>
        <v/>
      </c>
      <c r="AM31" s="34" t="str">
        <f t="shared" si="8"/>
        <v/>
      </c>
      <c r="AN31" s="107" t="str">
        <f t="shared" si="1"/>
        <v/>
      </c>
      <c r="AO31" s="33" t="str">
        <f t="shared" si="2"/>
        <v/>
      </c>
      <c r="AP31" s="34" t="str">
        <f t="shared" si="3"/>
        <v/>
      </c>
    </row>
    <row r="32" spans="1:59" x14ac:dyDescent="0.3">
      <c r="B32" s="34" t="str">
        <f>IF(NOT(ISBLANK(C32)),COUNTA($C$6:C32),"")</f>
        <v/>
      </c>
      <c r="C32" s="71"/>
      <c r="D32" s="76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4"/>
        <v/>
      </c>
      <c r="U32"/>
      <c r="V32" s="34" t="str">
        <f>'Atest. Nr.1_1'!I28</f>
        <v/>
      </c>
      <c r="W32" s="34" t="str">
        <f>'Atest. Nr.1_2'!H28</f>
        <v/>
      </c>
      <c r="X32" s="34" t="str">
        <f>'Atest. Nr.1_3'!H28</f>
        <v/>
      </c>
      <c r="Y32" s="34" t="str">
        <f>'Atest. Nr.2_1'!I28</f>
        <v/>
      </c>
      <c r="Z32" s="34" t="str">
        <f>'Atest. Nr.2_2'!I28</f>
        <v/>
      </c>
      <c r="AA32" s="34" t="str">
        <f>'Atest. Nr.2_3'!I28</f>
        <v/>
      </c>
      <c r="AB32" s="34" t="str">
        <f>Examen!G28</f>
        <v/>
      </c>
      <c r="AC32" s="34" t="str">
        <f>ReExaminare!G28</f>
        <v/>
      </c>
      <c r="AD32" s="104" t="str">
        <f>IF(NOT(ISBLANK(B32)),
IF(SUM(E32:S32)+SUM(Laborator!E33:R33)&lt;&gt;0,SUM(E32:S32)+SUM(Laborator!E33:R33),""),
"")</f>
        <v/>
      </c>
      <c r="AE32" s="104"/>
      <c r="AH32" s="34" t="str">
        <f t="shared" si="5"/>
        <v/>
      </c>
      <c r="AI32" s="34" t="str">
        <f t="shared" si="6"/>
        <v/>
      </c>
      <c r="AJ32" s="34" t="str">
        <f>IF(NOT(ISBLANK(C32)),
IF(Laborator!AN33="Admis",ROUND(Laborator!AM33,0),"n/p"),"")</f>
        <v/>
      </c>
      <c r="AK32" s="34" t="str">
        <f>IF(NOT(ISBLANK(C32)),
IF('Lucrari grafice'!F28&lt;&gt;"n/p",'Lucrari grafice'!F28,"n/p"),"")</f>
        <v/>
      </c>
      <c r="AL32" s="34" t="str">
        <f t="shared" si="7"/>
        <v/>
      </c>
      <c r="AM32" s="34" t="str">
        <f t="shared" si="8"/>
        <v/>
      </c>
      <c r="AN32" s="107" t="str">
        <f t="shared" si="1"/>
        <v/>
      </c>
      <c r="AO32" s="33" t="str">
        <f t="shared" si="2"/>
        <v/>
      </c>
      <c r="AP32" s="34" t="str">
        <f t="shared" si="3"/>
        <v/>
      </c>
    </row>
    <row r="33" spans="2:42" x14ac:dyDescent="0.3">
      <c r="B33" s="34" t="str">
        <f>IF(NOT(ISBLANK(C33)),COUNTA($C$6:C33),"")</f>
        <v/>
      </c>
      <c r="C33" s="71"/>
      <c r="D33" s="76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4"/>
        <v/>
      </c>
      <c r="U33"/>
      <c r="V33" s="34" t="str">
        <f>'Atest. Nr.1_1'!I29</f>
        <v/>
      </c>
      <c r="W33" s="34" t="str">
        <f>'Atest. Nr.1_2'!H29</f>
        <v/>
      </c>
      <c r="X33" s="34" t="str">
        <f>'Atest. Nr.1_3'!H29</f>
        <v/>
      </c>
      <c r="Y33" s="34" t="str">
        <f>'Atest. Nr.2_1'!I29</f>
        <v/>
      </c>
      <c r="Z33" s="34" t="str">
        <f>'Atest. Nr.2_2'!I29</f>
        <v/>
      </c>
      <c r="AA33" s="34" t="str">
        <f>'Atest. Nr.2_3'!I29</f>
        <v/>
      </c>
      <c r="AB33" s="34" t="str">
        <f>Examen!G29</f>
        <v/>
      </c>
      <c r="AC33" s="34" t="str">
        <f>ReExaminare!G29</f>
        <v/>
      </c>
      <c r="AD33" s="104" t="str">
        <f>IF(NOT(ISBLANK(B33)),
IF(SUM(E33:S33)+SUM(Laborator!E34:R34)&lt;&gt;0,SUM(E33:S33)+SUM(Laborator!E34:R34),""),
"")</f>
        <v/>
      </c>
      <c r="AE33" s="104"/>
      <c r="AH33" s="34" t="str">
        <f t="shared" si="5"/>
        <v/>
      </c>
      <c r="AI33" s="34" t="str">
        <f t="shared" si="6"/>
        <v/>
      </c>
      <c r="AJ33" s="34" t="str">
        <f>IF(NOT(ISBLANK(C33)),
IF(Laborator!AN34="Admis",ROUND(Laborator!AM34,0),"n/p"),"")</f>
        <v/>
      </c>
      <c r="AK33" s="34" t="str">
        <f>IF(NOT(ISBLANK(C33)),
IF('Lucrari grafice'!F29&lt;&gt;"n/p",'Lucrari grafice'!F29,"n/p"),"")</f>
        <v/>
      </c>
      <c r="AL33" s="34" t="str">
        <f t="shared" si="7"/>
        <v/>
      </c>
      <c r="AM33" s="34" t="str">
        <f t="shared" si="8"/>
        <v/>
      </c>
      <c r="AN33" s="107" t="str">
        <f t="shared" si="1"/>
        <v/>
      </c>
      <c r="AO33" s="33" t="str">
        <f t="shared" si="2"/>
        <v/>
      </c>
      <c r="AP33" s="34" t="str">
        <f t="shared" si="3"/>
        <v/>
      </c>
    </row>
    <row r="34" spans="2:42" x14ac:dyDescent="0.3">
      <c r="B34" s="34" t="str">
        <f>IF(NOT(ISBLANK(C34)),COUNTA($C$6:C34),"")</f>
        <v/>
      </c>
      <c r="C34" s="71"/>
      <c r="D34" s="76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4"/>
        <v/>
      </c>
      <c r="U34"/>
      <c r="V34" s="34" t="str">
        <f>'Atest. Nr.1_1'!I30</f>
        <v/>
      </c>
      <c r="W34" s="34" t="str">
        <f>'Atest. Nr.1_2'!H30</f>
        <v/>
      </c>
      <c r="X34" s="34" t="str">
        <f>'Atest. Nr.1_3'!H30</f>
        <v/>
      </c>
      <c r="Y34" s="34" t="str">
        <f>'Atest. Nr.2_1'!I30</f>
        <v/>
      </c>
      <c r="Z34" s="34" t="str">
        <f>'Atest. Nr.2_2'!I30</f>
        <v/>
      </c>
      <c r="AA34" s="34" t="str">
        <f>'Atest. Nr.2_3'!I30</f>
        <v/>
      </c>
      <c r="AB34" s="34" t="str">
        <f>Examen!G30</f>
        <v/>
      </c>
      <c r="AC34" s="34" t="str">
        <f>ReExaminare!G30</f>
        <v/>
      </c>
      <c r="AD34" s="104" t="str">
        <f>IF(NOT(ISBLANK(B34)),
IF(SUM(E34:S34)+SUM(Laborator!E35:R35)&lt;&gt;0,SUM(E34:S34)+SUM(Laborator!E35:R35),""),
"")</f>
        <v/>
      </c>
      <c r="AE34" s="104"/>
      <c r="AH34" s="34" t="str">
        <f t="shared" si="5"/>
        <v/>
      </c>
      <c r="AI34" s="34" t="str">
        <f t="shared" si="6"/>
        <v/>
      </c>
      <c r="AJ34" s="34" t="str">
        <f>IF(NOT(ISBLANK(C34)),
IF(Laborator!AN35="Admis",ROUND(Laborator!AM35,0),"n/p"),"")</f>
        <v/>
      </c>
      <c r="AK34" s="34" t="str">
        <f>IF(NOT(ISBLANK(C34)),
IF('Lucrari grafice'!F30&lt;&gt;"n/p",'Lucrari grafice'!F30,"n/p"),"")</f>
        <v/>
      </c>
      <c r="AL34" s="34" t="str">
        <f t="shared" si="7"/>
        <v/>
      </c>
      <c r="AM34" s="34" t="str">
        <f t="shared" si="8"/>
        <v/>
      </c>
      <c r="AN34" s="107" t="str">
        <f t="shared" si="1"/>
        <v/>
      </c>
      <c r="AO34" s="33" t="str">
        <f t="shared" si="2"/>
        <v/>
      </c>
      <c r="AP34" s="34" t="str">
        <f t="shared" si="3"/>
        <v/>
      </c>
    </row>
    <row r="35" spans="2:42" x14ac:dyDescent="0.3">
      <c r="B35" s="34" t="str">
        <f>IF(NOT(ISBLANK(C35)),COUNTA($C$6:C35),"")</f>
        <v/>
      </c>
      <c r="C35" s="71"/>
      <c r="D35" s="76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4"/>
        <v/>
      </c>
      <c r="U35"/>
      <c r="V35" s="34" t="str">
        <f>'Atest. Nr.1_1'!I31</f>
        <v/>
      </c>
      <c r="W35" s="34" t="str">
        <f>'Atest. Nr.1_2'!H31</f>
        <v/>
      </c>
      <c r="X35" s="34" t="str">
        <f>'Atest. Nr.1_3'!H31</f>
        <v/>
      </c>
      <c r="Y35" s="34" t="str">
        <f>'Atest. Nr.2_1'!I31</f>
        <v/>
      </c>
      <c r="Z35" s="34" t="str">
        <f>'Atest. Nr.2_2'!I31</f>
        <v/>
      </c>
      <c r="AA35" s="34" t="str">
        <f>'Atest. Nr.2_3'!I31</f>
        <v/>
      </c>
      <c r="AB35" s="34" t="str">
        <f>Examen!G31</f>
        <v/>
      </c>
      <c r="AC35" s="34" t="str">
        <f>ReExaminare!G31</f>
        <v/>
      </c>
      <c r="AD35" s="104" t="str">
        <f>IF(NOT(ISBLANK(B35)),
IF(SUM(E35:S35)+SUM(Laborator!E36:R36)&lt;&gt;0,SUM(E35:S35)+SUM(Laborator!E36:R36),""),
"")</f>
        <v/>
      </c>
      <c r="AE35" s="104"/>
      <c r="AH35" s="34" t="str">
        <f t="shared" si="5"/>
        <v/>
      </c>
      <c r="AI35" s="34" t="str">
        <f t="shared" si="6"/>
        <v/>
      </c>
      <c r="AJ35" s="34" t="str">
        <f>IF(NOT(ISBLANK(C35)),
IF(Laborator!AN36="Admis",ROUND(Laborator!AM36,0),"n/p"),"")</f>
        <v/>
      </c>
      <c r="AK35" s="34" t="str">
        <f>IF(NOT(ISBLANK(C35)),
IF('Lucrari grafice'!F31&lt;&gt;"n/p",'Lucrari grafice'!F31,"n/p"),"")</f>
        <v/>
      </c>
      <c r="AL35" s="34" t="str">
        <f t="shared" si="7"/>
        <v/>
      </c>
      <c r="AM35" s="34" t="str">
        <f t="shared" si="8"/>
        <v/>
      </c>
      <c r="AN35" s="107" t="str">
        <f t="shared" si="1"/>
        <v/>
      </c>
      <c r="AO35" s="33" t="str">
        <f t="shared" si="2"/>
        <v/>
      </c>
      <c r="AP35" s="34" t="str">
        <f t="shared" si="3"/>
        <v/>
      </c>
    </row>
    <row r="36" spans="2:42" x14ac:dyDescent="0.3">
      <c r="B36" s="34" t="str">
        <f>IF(NOT(ISBLANK(C36)),COUNTA($C$6:C36),"")</f>
        <v/>
      </c>
      <c r="C36" s="71"/>
      <c r="D36" s="76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4"/>
        <v/>
      </c>
      <c r="U36"/>
      <c r="V36" s="34" t="str">
        <f>'Atest. Nr.1_1'!I32</f>
        <v/>
      </c>
      <c r="W36" s="34" t="str">
        <f>'Atest. Nr.1_2'!H32</f>
        <v/>
      </c>
      <c r="X36" s="34" t="str">
        <f>'Atest. Nr.1_3'!H32</f>
        <v/>
      </c>
      <c r="Y36" s="34" t="str">
        <f>'Atest. Nr.2_1'!I32</f>
        <v/>
      </c>
      <c r="Z36" s="34" t="str">
        <f>'Atest. Nr.2_2'!I32</f>
        <v/>
      </c>
      <c r="AA36" s="34" t="str">
        <f>'Atest. Nr.2_3'!I32</f>
        <v/>
      </c>
      <c r="AB36" s="34" t="str">
        <f>Examen!G32</f>
        <v/>
      </c>
      <c r="AC36" s="34" t="str">
        <f>ReExaminare!G32</f>
        <v/>
      </c>
      <c r="AD36" s="104" t="str">
        <f>IF(NOT(ISBLANK(B36)),
IF(SUM(E36:S36)+SUM(Laborator!E37:R37)&lt;&gt;0,SUM(E36:S36)+SUM(Laborator!E37:R37),""),
"")</f>
        <v/>
      </c>
      <c r="AE36" s="104"/>
      <c r="AH36" s="34" t="str">
        <f t="shared" si="5"/>
        <v/>
      </c>
      <c r="AI36" s="34" t="str">
        <f t="shared" si="6"/>
        <v/>
      </c>
      <c r="AJ36" s="34" t="str">
        <f>IF(NOT(ISBLANK(C36)),
IF(Laborator!AN37="Admis",ROUND(Laborator!AM37,0),"n/p"),"")</f>
        <v/>
      </c>
      <c r="AK36" s="34" t="str">
        <f>IF(NOT(ISBLANK(C36)),
IF('Lucrari grafice'!F32&lt;&gt;"n/p",'Lucrari grafice'!F32,"n/p"),"")</f>
        <v/>
      </c>
      <c r="AL36" s="34" t="str">
        <f t="shared" si="7"/>
        <v/>
      </c>
      <c r="AM36" s="34" t="str">
        <f t="shared" si="8"/>
        <v/>
      </c>
      <c r="AN36" s="107" t="str">
        <f t="shared" si="1"/>
        <v/>
      </c>
      <c r="AO36" s="33" t="str">
        <f t="shared" si="2"/>
        <v/>
      </c>
      <c r="AP36" s="34" t="str">
        <f t="shared" si="3"/>
        <v/>
      </c>
    </row>
    <row r="37" spans="2:42" x14ac:dyDescent="0.3">
      <c r="B37" s="34" t="str">
        <f>IF(NOT(ISBLANK(C37)),COUNTA($C$6:C37),"")</f>
        <v/>
      </c>
      <c r="C37" s="71"/>
      <c r="D37" s="7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4"/>
        <v/>
      </c>
      <c r="U37"/>
      <c r="V37" s="34" t="str">
        <f>'Atest. Nr.1_1'!I33</f>
        <v/>
      </c>
      <c r="W37" s="34" t="str">
        <f>'Atest. Nr.1_2'!H33</f>
        <v/>
      </c>
      <c r="X37" s="34" t="str">
        <f>'Atest. Nr.1_3'!H33</f>
        <v/>
      </c>
      <c r="Y37" s="34" t="str">
        <f>'Atest. Nr.2_1'!I33</f>
        <v/>
      </c>
      <c r="Z37" s="34" t="str">
        <f>'Atest. Nr.2_2'!I33</f>
        <v/>
      </c>
      <c r="AA37" s="34" t="str">
        <f>'Atest. Nr.2_3'!I33</f>
        <v/>
      </c>
      <c r="AB37" s="34" t="str">
        <f>Examen!G33</f>
        <v/>
      </c>
      <c r="AC37" s="34" t="str">
        <f>ReExaminare!G33</f>
        <v/>
      </c>
      <c r="AD37" s="104" t="str">
        <f>IF(NOT(ISBLANK(B37)),
IF(SUM(E37:S37)+SUM(Laborator!E38:R38)&lt;&gt;0,SUM(E37:S37)+SUM(Laborator!E38:R38),""),
"")</f>
        <v/>
      </c>
      <c r="AE37" s="104"/>
      <c r="AH37" s="34" t="str">
        <f t="shared" si="5"/>
        <v/>
      </c>
      <c r="AI37" s="34" t="str">
        <f t="shared" si="6"/>
        <v/>
      </c>
      <c r="AJ37" s="34" t="str">
        <f>IF(NOT(ISBLANK(C37)),
IF(Laborator!AN38="Admis",ROUND(Laborator!AM38,0),"n/p"),"")</f>
        <v/>
      </c>
      <c r="AK37" s="34" t="str">
        <f>IF(NOT(ISBLANK(C37)),
IF('Lucrari grafice'!F33&lt;&gt;"n/p",'Lucrari grafice'!F33,"n/p"),"")</f>
        <v/>
      </c>
      <c r="AL37" s="34" t="str">
        <f t="shared" si="7"/>
        <v/>
      </c>
      <c r="AM37" s="34" t="str">
        <f t="shared" si="8"/>
        <v/>
      </c>
      <c r="AN37" s="107" t="str">
        <f t="shared" si="1"/>
        <v/>
      </c>
      <c r="AO37" s="33" t="str">
        <f t="shared" si="2"/>
        <v/>
      </c>
      <c r="AP37" s="34" t="str">
        <f t="shared" si="3"/>
        <v/>
      </c>
    </row>
    <row r="38" spans="2:42" x14ac:dyDescent="0.3">
      <c r="B38" s="34" t="str">
        <f>IF(NOT(ISBLANK(C38)),COUNTA($C$6:C38),"")</f>
        <v/>
      </c>
      <c r="C38" s="71"/>
      <c r="D38" s="76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4"/>
        <v/>
      </c>
      <c r="U38"/>
      <c r="V38" s="34" t="str">
        <f>'Atest. Nr.1_1'!I34</f>
        <v/>
      </c>
      <c r="W38" s="34" t="str">
        <f>'Atest. Nr.1_2'!H34</f>
        <v/>
      </c>
      <c r="X38" s="34" t="str">
        <f>'Atest. Nr.1_3'!H34</f>
        <v/>
      </c>
      <c r="Y38" s="34" t="str">
        <f>'Atest. Nr.2_1'!I34</f>
        <v/>
      </c>
      <c r="Z38" s="34" t="str">
        <f>'Atest. Nr.2_2'!I34</f>
        <v/>
      </c>
      <c r="AA38" s="34" t="str">
        <f>'Atest. Nr.2_3'!I34</f>
        <v/>
      </c>
      <c r="AB38" s="34" t="str">
        <f>Examen!G34</f>
        <v/>
      </c>
      <c r="AC38" s="34" t="str">
        <f>ReExaminare!G34</f>
        <v/>
      </c>
      <c r="AD38" s="104" t="str">
        <f>IF(NOT(ISBLANK(B38)),
IF(SUM(E38:S38)+SUM(Laborator!E39:R39)&lt;&gt;0,SUM(E38:S38)+SUM(Laborator!E39:R39),""),
"")</f>
        <v/>
      </c>
      <c r="AE38" s="104"/>
      <c r="AH38" s="34" t="str">
        <f t="shared" si="5"/>
        <v/>
      </c>
      <c r="AI38" s="34" t="str">
        <f t="shared" si="6"/>
        <v/>
      </c>
      <c r="AJ38" s="34" t="str">
        <f>IF(NOT(ISBLANK(C38)),
IF(Laborator!AN39="Admis",ROUND(Laborator!AM39,0),"n/p"),"")</f>
        <v/>
      </c>
      <c r="AK38" s="34" t="str">
        <f>IF(NOT(ISBLANK(C38)),
IF('Lucrari grafice'!F34&lt;&gt;"n/p",'Lucrari grafice'!F34,"n/p"),"")</f>
        <v/>
      </c>
      <c r="AL38" s="34" t="str">
        <f t="shared" si="7"/>
        <v/>
      </c>
      <c r="AM38" s="34" t="str">
        <f t="shared" si="8"/>
        <v/>
      </c>
      <c r="AN38" s="107" t="str">
        <f t="shared" ref="AN38:AN69" si="11">IF(NOT(ISBLANK(C38)),
IF(OR(AM38="n/a",AM38="n/p")," ",
IF(AM38&lt;5,AM38,TRUNC(AL38*0.6+AM38*0.4,2))),
"")</f>
        <v/>
      </c>
      <c r="AO38" s="33" t="str">
        <f t="shared" ref="AO38:AO69" si="12">IF(NOT(ISBLANK(C38)),
IF(AN38=" "," ",
IF(AND(AN38&gt;=1,AN38&lt;2),"(unu, "&amp;ROUNDUP(MOD(AN38*100,100),0)&amp;")",
IF(AND(AN38&gt;=2,AN38&lt;3),"(doi, "&amp;ROUNDUP(MOD(AN38*100,100),0)&amp;")",
IF(AND(AN38&gt;=3,AN38&lt;4),"(trei, "&amp;ROUNDUP(MOD(AN38*100,100),0)&amp;")",
IF(AND(AN38&gt;=4,AN38&lt;5),"(patru, "&amp;ROUNDUP(MOD(AN38*100,100),0)&amp;")",
IF(AND(AN38&gt;=5,AN38&lt;6),"(cinci, "&amp;ROUNDUP(MOD(AN38*100,100),0)&amp;")",
IF(AND(AN38&gt;=6,AN38&lt;7),"(şase, "&amp;ROUNDUP(MOD(AN38*100,100),0)&amp;")",
IF(AND(AN38&gt;=7,AN38&lt;8),"(şapte, "&amp;ROUNDUP(MOD(AN38*100,100),0)&amp;")",
IF(AND(AN38&gt;=8,AN38&lt;9),"(opt, "&amp;ROUNDUP(MOD(AN38*100,100),0)&amp;")",
IF(AND(AN38&gt;=9,AN38&lt;10),"(nouă, "&amp;ROUNDUP(MOD(AN38*100,100),0)&amp;")",
IF(AN38=10,"(zece, 00)",
))))))))))),"")</f>
        <v/>
      </c>
      <c r="AP38" s="34" t="str">
        <f t="shared" ref="AP38:AP69" si="13">IF(NOT(ISBLANK(C38)),
IF(AN38=" ","  ",
IF(AND(AN38&gt;=1,AN38&lt;=3),"F",
IF(AND(AN38&gt;3,AN38&lt;5),"FX",
IF(AND(AN38&gt;=5,AN38&lt;=6),"E",
IF(AND(AN38&gt;6,AN38&lt;=7),"D",
IF(AND(AN38&gt;7,AN38&lt;=8),"C",
IF(AND(AN38&gt;8,AN38&lt;=9),"B",
IF(AND(AN38&gt;9,AN38&lt;=10),"A",
)))))))),"")</f>
        <v/>
      </c>
    </row>
    <row r="39" spans="2:42" x14ac:dyDescent="0.3">
      <c r="B39" s="34" t="str">
        <f>IF(NOT(ISBLANK(C39)),COUNTA($C$6:C39),"")</f>
        <v/>
      </c>
      <c r="C39" s="71"/>
      <c r="D39" s="76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4"/>
        <v/>
      </c>
      <c r="U39"/>
      <c r="V39" s="34" t="str">
        <f>'Atest. Nr.1_1'!I35</f>
        <v/>
      </c>
      <c r="W39" s="34" t="str">
        <f>'Atest. Nr.1_2'!H35</f>
        <v/>
      </c>
      <c r="X39" s="34" t="str">
        <f>'Atest. Nr.1_3'!H35</f>
        <v/>
      </c>
      <c r="Y39" s="34" t="str">
        <f>'Atest. Nr.2_1'!I35</f>
        <v/>
      </c>
      <c r="Z39" s="34" t="str">
        <f>'Atest. Nr.2_2'!I35</f>
        <v/>
      </c>
      <c r="AA39" s="34" t="str">
        <f>'Atest. Nr.2_3'!I35</f>
        <v/>
      </c>
      <c r="AB39" s="34" t="str">
        <f>Examen!G35</f>
        <v/>
      </c>
      <c r="AC39" s="34" t="str">
        <f>ReExaminare!G35</f>
        <v/>
      </c>
      <c r="AD39" s="104" t="str">
        <f>IF(NOT(ISBLANK(B39)),
IF(SUM(E39:S39)+SUM(Laborator!E40:R40)&lt;&gt;0,SUM(E39:S39)+SUM(Laborator!E40:R40),""),
"")</f>
        <v/>
      </c>
      <c r="AE39" s="104"/>
      <c r="AH39" s="34" t="str">
        <f t="shared" si="5"/>
        <v/>
      </c>
      <c r="AI39" s="34" t="str">
        <f t="shared" si="6"/>
        <v/>
      </c>
      <c r="AJ39" s="34" t="str">
        <f>IF(NOT(ISBLANK(C39)),
IF(Laborator!AN40="Admis",ROUND(Laborator!AM40,0),"n/p"),"")</f>
        <v/>
      </c>
      <c r="AK39" s="34" t="str">
        <f>IF(NOT(ISBLANK(C39)),
IF('Lucrari grafice'!F35&lt;&gt;"n/p",'Lucrari grafice'!F35,"n/p"),"")</f>
        <v/>
      </c>
      <c r="AL39" s="34" t="str">
        <f t="shared" si="7"/>
        <v/>
      </c>
      <c r="AM39" s="34" t="str">
        <f t="shared" si="8"/>
        <v/>
      </c>
      <c r="AN39" s="107" t="str">
        <f t="shared" si="11"/>
        <v/>
      </c>
      <c r="AO39" s="33" t="str">
        <f t="shared" si="12"/>
        <v/>
      </c>
      <c r="AP39" s="34" t="str">
        <f t="shared" si="13"/>
        <v/>
      </c>
    </row>
    <row r="40" spans="2:42" x14ac:dyDescent="0.3">
      <c r="B40" s="34" t="str">
        <f>IF(NOT(ISBLANK(C40)),COUNTA($C$6:C40),"")</f>
        <v/>
      </c>
      <c r="C40" s="71"/>
      <c r="D40" s="76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4"/>
        <v/>
      </c>
      <c r="U40"/>
      <c r="V40" s="34" t="str">
        <f>'Atest. Nr.1_1'!I36</f>
        <v/>
      </c>
      <c r="W40" s="34" t="str">
        <f>'Atest. Nr.1_2'!H36</f>
        <v/>
      </c>
      <c r="X40" s="34" t="str">
        <f>'Atest. Nr.1_3'!H36</f>
        <v/>
      </c>
      <c r="Y40" s="34" t="str">
        <f>'Atest. Nr.2_1'!I36</f>
        <v/>
      </c>
      <c r="Z40" s="34" t="str">
        <f>'Atest. Nr.2_2'!I36</f>
        <v/>
      </c>
      <c r="AA40" s="34" t="str">
        <f>'Atest. Nr.2_3'!I36</f>
        <v/>
      </c>
      <c r="AB40" s="34" t="str">
        <f>Examen!G36</f>
        <v/>
      </c>
      <c r="AC40" s="34" t="str">
        <f>ReExaminare!G36</f>
        <v/>
      </c>
      <c r="AD40" s="104" t="str">
        <f>IF(NOT(ISBLANK(B40)),
IF(SUM(E40:S40)+SUM(Laborator!E41:R41)&lt;&gt;0,SUM(E40:S40)+SUM(Laborator!E41:R41),""),
"")</f>
        <v/>
      </c>
      <c r="AE40" s="104"/>
      <c r="AH40" s="34" t="str">
        <f t="shared" si="5"/>
        <v/>
      </c>
      <c r="AI40" s="34" t="str">
        <f t="shared" si="6"/>
        <v/>
      </c>
      <c r="AJ40" s="34" t="str">
        <f>IF(NOT(ISBLANK(C40)),
IF(Laborator!AN41="Admis",ROUND(Laborator!AM41,0),"n/p"),"")</f>
        <v/>
      </c>
      <c r="AK40" s="34" t="str">
        <f>IF(NOT(ISBLANK(C40)),
IF('Lucrari grafice'!F36&lt;&gt;"n/p",'Lucrari grafice'!F36,"n/p"),"")</f>
        <v/>
      </c>
      <c r="AL40" s="34" t="str">
        <f t="shared" si="7"/>
        <v/>
      </c>
      <c r="AM40" s="34" t="str">
        <f t="shared" si="8"/>
        <v/>
      </c>
      <c r="AN40" s="107" t="str">
        <f t="shared" si="11"/>
        <v/>
      </c>
      <c r="AO40" s="33" t="str">
        <f t="shared" si="12"/>
        <v/>
      </c>
      <c r="AP40" s="34" t="str">
        <f t="shared" si="13"/>
        <v/>
      </c>
    </row>
    <row r="41" spans="2:42" x14ac:dyDescent="0.3">
      <c r="B41" s="34" t="str">
        <f>IF(NOT(ISBLANK(C41)),COUNTA($C$6:C41),"")</f>
        <v/>
      </c>
      <c r="C41" s="71"/>
      <c r="D41" s="7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4"/>
        <v/>
      </c>
      <c r="U41"/>
      <c r="V41" s="34" t="str">
        <f>'Atest. Nr.1_1'!I37</f>
        <v/>
      </c>
      <c r="W41" s="34" t="str">
        <f>'Atest. Nr.1_2'!H37</f>
        <v/>
      </c>
      <c r="X41" s="34" t="str">
        <f>'Atest. Nr.1_3'!H37</f>
        <v/>
      </c>
      <c r="Y41" s="34" t="str">
        <f>'Atest. Nr.2_1'!I37</f>
        <v/>
      </c>
      <c r="Z41" s="34" t="str">
        <f>'Atest. Nr.2_2'!I37</f>
        <v/>
      </c>
      <c r="AA41" s="34" t="str">
        <f>'Atest. Nr.2_3'!I37</f>
        <v/>
      </c>
      <c r="AB41" s="34" t="str">
        <f>Examen!G37</f>
        <v/>
      </c>
      <c r="AC41" s="34" t="str">
        <f>ReExaminare!G37</f>
        <v/>
      </c>
      <c r="AD41" s="104" t="str">
        <f>IF(NOT(ISBLANK(B41)),
IF(SUM(E41:S41)+SUM(Laborator!E42:R42)&lt;&gt;0,SUM(E41:S41)+SUM(Laborator!E42:R42),""),
"")</f>
        <v/>
      </c>
      <c r="AE41" s="104"/>
      <c r="AH41" s="34" t="str">
        <f t="shared" si="5"/>
        <v/>
      </c>
      <c r="AI41" s="34" t="str">
        <f t="shared" si="6"/>
        <v/>
      </c>
      <c r="AJ41" s="34" t="str">
        <f>IF(NOT(ISBLANK(C41)),
IF(Laborator!AN42="Admis",ROUND(Laborator!AM42,0),"n/p"),"")</f>
        <v/>
      </c>
      <c r="AK41" s="34" t="str">
        <f>IF(NOT(ISBLANK(C41)),
IF('Lucrari grafice'!F37&lt;&gt;"n/p",'Lucrari grafice'!F37,"n/p"),"")</f>
        <v/>
      </c>
      <c r="AL41" s="34" t="str">
        <f t="shared" si="7"/>
        <v/>
      </c>
      <c r="AM41" s="34" t="str">
        <f t="shared" si="8"/>
        <v/>
      </c>
      <c r="AN41" s="107" t="str">
        <f t="shared" si="11"/>
        <v/>
      </c>
      <c r="AO41" s="33" t="str">
        <f t="shared" si="12"/>
        <v/>
      </c>
      <c r="AP41" s="34" t="str">
        <f t="shared" si="13"/>
        <v/>
      </c>
    </row>
    <row r="42" spans="2:42" x14ac:dyDescent="0.3">
      <c r="B42" s="34" t="str">
        <f>IF(NOT(ISBLANK(C42)),COUNTA($C$6:C42),"")</f>
        <v/>
      </c>
      <c r="C42" s="71"/>
      <c r="D42" s="76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4"/>
        <v/>
      </c>
      <c r="U42"/>
      <c r="V42" s="34" t="str">
        <f>'Atest. Nr.1_1'!I38</f>
        <v/>
      </c>
      <c r="W42" s="34" t="str">
        <f>'Atest. Nr.1_2'!H38</f>
        <v/>
      </c>
      <c r="X42" s="34" t="str">
        <f>'Atest. Nr.1_3'!H38</f>
        <v/>
      </c>
      <c r="Y42" s="34" t="str">
        <f>'Atest. Nr.2_1'!I38</f>
        <v/>
      </c>
      <c r="Z42" s="34" t="str">
        <f>'Atest. Nr.2_2'!I38</f>
        <v/>
      </c>
      <c r="AA42" s="34" t="str">
        <f>'Atest. Nr.2_3'!I38</f>
        <v/>
      </c>
      <c r="AB42" s="34" t="str">
        <f>Examen!G38</f>
        <v/>
      </c>
      <c r="AC42" s="34" t="str">
        <f>ReExaminare!G38</f>
        <v/>
      </c>
      <c r="AD42" s="104" t="str">
        <f>IF(NOT(ISBLANK(B42)),
IF(SUM(E42:S42)+SUM(Laborator!E43:R43)&lt;&gt;0,SUM(E42:S42)+SUM(Laborator!E43:R43),""),
"")</f>
        <v/>
      </c>
      <c r="AE42" s="104"/>
      <c r="AH42" s="34" t="str">
        <f t="shared" si="5"/>
        <v/>
      </c>
      <c r="AI42" s="34" t="str">
        <f t="shared" si="6"/>
        <v/>
      </c>
      <c r="AJ42" s="34" t="str">
        <f>IF(NOT(ISBLANK(C42)),
IF(Laborator!AN43="Admis",ROUND(Laborator!AM43,0),"n/p"),"")</f>
        <v/>
      </c>
      <c r="AK42" s="34" t="str">
        <f>IF(NOT(ISBLANK(C42)),
IF('Lucrari grafice'!F38&lt;&gt;"n/p",'Lucrari grafice'!F38,"n/p"),"")</f>
        <v/>
      </c>
      <c r="AL42" s="34" t="str">
        <f t="shared" si="7"/>
        <v/>
      </c>
      <c r="AM42" s="34" t="str">
        <f t="shared" si="8"/>
        <v/>
      </c>
      <c r="AN42" s="107" t="str">
        <f t="shared" si="11"/>
        <v/>
      </c>
      <c r="AO42" s="33" t="str">
        <f t="shared" si="12"/>
        <v/>
      </c>
      <c r="AP42" s="34" t="str">
        <f t="shared" si="13"/>
        <v/>
      </c>
    </row>
    <row r="43" spans="2:42" x14ac:dyDescent="0.3">
      <c r="B43" s="34" t="str">
        <f>IF(NOT(ISBLANK(C43)),COUNTA($C$6:C43),"")</f>
        <v/>
      </c>
      <c r="C43" s="71"/>
      <c r="D43" s="7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4"/>
        <v/>
      </c>
      <c r="U43"/>
      <c r="V43" s="34" t="str">
        <f>'Atest. Nr.1_1'!I39</f>
        <v/>
      </c>
      <c r="W43" s="34" t="str">
        <f>'Atest. Nr.1_2'!H39</f>
        <v/>
      </c>
      <c r="X43" s="34" t="str">
        <f>'Atest. Nr.1_3'!H39</f>
        <v/>
      </c>
      <c r="Y43" s="34" t="str">
        <f>'Atest. Nr.2_1'!I39</f>
        <v/>
      </c>
      <c r="Z43" s="34" t="str">
        <f>'Atest. Nr.2_2'!I39</f>
        <v/>
      </c>
      <c r="AA43" s="34" t="str">
        <f>'Atest. Nr.2_3'!I39</f>
        <v/>
      </c>
      <c r="AB43" s="34" t="str">
        <f>Examen!G39</f>
        <v/>
      </c>
      <c r="AC43" s="34" t="str">
        <f>ReExaminare!G39</f>
        <v/>
      </c>
      <c r="AD43" s="104" t="str">
        <f>IF(NOT(ISBLANK(B43)),
IF(SUM(E43:S43)+SUM(Laborator!E44:R44)&lt;&gt;0,SUM(E43:S43)+SUM(Laborator!E44:R44),""),
"")</f>
        <v/>
      </c>
      <c r="AE43" s="104"/>
      <c r="AH43" s="34" t="str">
        <f t="shared" si="5"/>
        <v/>
      </c>
      <c r="AI43" s="34" t="str">
        <f t="shared" si="6"/>
        <v/>
      </c>
      <c r="AJ43" s="34" t="str">
        <f>IF(NOT(ISBLANK(C43)),
IF(Laborator!AN44="Admis",ROUND(Laborator!AM44,0),"n/p"),"")</f>
        <v/>
      </c>
      <c r="AK43" s="34" t="str">
        <f>IF(NOT(ISBLANK(C43)),
IF('Lucrari grafice'!F39&lt;&gt;"n/p",'Lucrari grafice'!F39,"n/p"),"")</f>
        <v/>
      </c>
      <c r="AL43" s="34" t="str">
        <f t="shared" si="7"/>
        <v/>
      </c>
      <c r="AM43" s="34" t="str">
        <f t="shared" si="8"/>
        <v/>
      </c>
      <c r="AN43" s="107" t="str">
        <f t="shared" si="11"/>
        <v/>
      </c>
      <c r="AO43" s="33" t="str">
        <f t="shared" si="12"/>
        <v/>
      </c>
      <c r="AP43" s="34" t="str">
        <f t="shared" si="13"/>
        <v/>
      </c>
    </row>
    <row r="44" spans="2:42" x14ac:dyDescent="0.3">
      <c r="B44" s="34" t="str">
        <f>IF(NOT(ISBLANK(C44)),COUNTA($C$6:C44),"")</f>
        <v/>
      </c>
      <c r="C44" s="71"/>
      <c r="D44" s="76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4"/>
        <v/>
      </c>
      <c r="U44"/>
      <c r="V44" s="34" t="str">
        <f>'Atest. Nr.1_1'!I40</f>
        <v/>
      </c>
      <c r="W44" s="34" t="str">
        <f>'Atest. Nr.1_2'!H40</f>
        <v/>
      </c>
      <c r="X44" s="34" t="str">
        <f>'Atest. Nr.1_3'!H40</f>
        <v/>
      </c>
      <c r="Y44" s="34" t="str">
        <f>'Atest. Nr.2_1'!I40</f>
        <v/>
      </c>
      <c r="Z44" s="34" t="str">
        <f>'Atest. Nr.2_2'!I40</f>
        <v/>
      </c>
      <c r="AA44" s="34" t="str">
        <f>'Atest. Nr.2_3'!I40</f>
        <v/>
      </c>
      <c r="AB44" s="34" t="str">
        <f>Examen!G40</f>
        <v/>
      </c>
      <c r="AC44" s="34" t="str">
        <f>ReExaminare!G40</f>
        <v/>
      </c>
      <c r="AD44" s="104" t="str">
        <f>IF(NOT(ISBLANK(B44)),
IF(SUM(E44:S44)+SUM(Laborator!E45:R45)&lt;&gt;0,SUM(E44:S44)+SUM(Laborator!E45:R45),""),
"")</f>
        <v/>
      </c>
      <c r="AE44" s="104"/>
      <c r="AH44" s="34" t="str">
        <f t="shared" si="5"/>
        <v/>
      </c>
      <c r="AI44" s="34" t="str">
        <f t="shared" si="6"/>
        <v/>
      </c>
      <c r="AJ44" s="34" t="str">
        <f>IF(NOT(ISBLANK(C44)),
IF(Laborator!AN45="Admis",ROUND(Laborator!AM45,0),"n/p"),"")</f>
        <v/>
      </c>
      <c r="AK44" s="34" t="str">
        <f>IF(NOT(ISBLANK(C44)),
IF('Lucrari grafice'!F40&lt;&gt;"n/p",'Lucrari grafice'!F40,"n/p"),"")</f>
        <v/>
      </c>
      <c r="AL44" s="34" t="str">
        <f t="shared" si="7"/>
        <v/>
      </c>
      <c r="AM44" s="34" t="str">
        <f t="shared" si="8"/>
        <v/>
      </c>
      <c r="AN44" s="107" t="str">
        <f t="shared" si="11"/>
        <v/>
      </c>
      <c r="AO44" s="33" t="str">
        <f t="shared" si="12"/>
        <v/>
      </c>
      <c r="AP44" s="34" t="str">
        <f t="shared" si="13"/>
        <v/>
      </c>
    </row>
    <row r="45" spans="2:42" x14ac:dyDescent="0.3">
      <c r="B45" s="34" t="str">
        <f>IF(NOT(ISBLANK(C45)),COUNTA($C$6:C45),"")</f>
        <v/>
      </c>
      <c r="C45" s="71"/>
      <c r="D45" s="76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4"/>
        <v/>
      </c>
      <c r="U45"/>
      <c r="V45" s="34" t="str">
        <f>'Atest. Nr.1_1'!I41</f>
        <v/>
      </c>
      <c r="W45" s="34" t="str">
        <f>'Atest. Nr.1_2'!H41</f>
        <v/>
      </c>
      <c r="X45" s="34" t="str">
        <f>'Atest. Nr.1_3'!H41</f>
        <v/>
      </c>
      <c r="Y45" s="34" t="str">
        <f>'Atest. Nr.2_1'!I41</f>
        <v/>
      </c>
      <c r="Z45" s="34" t="str">
        <f>'Atest. Nr.2_2'!I41</f>
        <v/>
      </c>
      <c r="AA45" s="34" t="str">
        <f>'Atest. Nr.2_3'!I41</f>
        <v/>
      </c>
      <c r="AB45" s="34" t="str">
        <f>Examen!G41</f>
        <v/>
      </c>
      <c r="AC45" s="34" t="str">
        <f>ReExaminare!G41</f>
        <v/>
      </c>
      <c r="AD45" s="104" t="str">
        <f>IF(NOT(ISBLANK(B45)),
IF(SUM(E45:S45)+SUM(Laborator!E46:R46)&lt;&gt;0,SUM(E45:S45)+SUM(Laborator!E46:R46),""),
"")</f>
        <v/>
      </c>
      <c r="AE45" s="104"/>
      <c r="AH45" s="34" t="str">
        <f t="shared" si="5"/>
        <v/>
      </c>
      <c r="AI45" s="34" t="str">
        <f t="shared" si="6"/>
        <v/>
      </c>
      <c r="AJ45" s="34" t="str">
        <f>IF(NOT(ISBLANK(C45)),
IF(Laborator!AN46="Admis",ROUND(Laborator!AM46,0),"n/p"),"")</f>
        <v/>
      </c>
      <c r="AK45" s="34" t="str">
        <f>IF(NOT(ISBLANK(C45)),
IF('Lucrari grafice'!F41&lt;&gt;"n/p",'Lucrari grafice'!F41,"n/p"),"")</f>
        <v/>
      </c>
      <c r="AL45" s="34" t="str">
        <f t="shared" si="7"/>
        <v/>
      </c>
      <c r="AM45" s="34" t="str">
        <f t="shared" si="8"/>
        <v/>
      </c>
      <c r="AN45" s="107" t="str">
        <f t="shared" si="11"/>
        <v/>
      </c>
      <c r="AO45" s="33" t="str">
        <f t="shared" si="12"/>
        <v/>
      </c>
      <c r="AP45" s="34" t="str">
        <f t="shared" si="13"/>
        <v/>
      </c>
    </row>
    <row r="46" spans="2:42" x14ac:dyDescent="0.3">
      <c r="B46" s="34" t="str">
        <f>IF(NOT(ISBLANK(C46)),COUNTA($C$6:C46),"")</f>
        <v/>
      </c>
      <c r="C46" s="71"/>
      <c r="D46" s="76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4"/>
        <v/>
      </c>
      <c r="U46"/>
      <c r="V46" s="34" t="str">
        <f>'Atest. Nr.1_1'!I42</f>
        <v/>
      </c>
      <c r="W46" s="34" t="str">
        <f>'Atest. Nr.1_2'!H42</f>
        <v/>
      </c>
      <c r="X46" s="34" t="str">
        <f>'Atest. Nr.1_3'!H42</f>
        <v/>
      </c>
      <c r="Y46" s="34" t="str">
        <f>'Atest. Nr.2_1'!I42</f>
        <v/>
      </c>
      <c r="Z46" s="34" t="str">
        <f>'Atest. Nr.2_2'!I42</f>
        <v/>
      </c>
      <c r="AA46" s="34" t="str">
        <f>'Atest. Nr.2_3'!I42</f>
        <v/>
      </c>
      <c r="AB46" s="34" t="str">
        <f>Examen!G42</f>
        <v/>
      </c>
      <c r="AC46" s="34" t="str">
        <f>ReExaminare!G42</f>
        <v/>
      </c>
      <c r="AD46" s="104" t="str">
        <f>IF(NOT(ISBLANK(B46)),
IF(SUM(E46:S46)+SUM(Laborator!E47:R47)&lt;&gt;0,SUM(E46:S46)+SUM(Laborator!E47:R47),""),
"")</f>
        <v/>
      </c>
      <c r="AE46" s="104"/>
      <c r="AH46" s="34" t="str">
        <f t="shared" si="5"/>
        <v/>
      </c>
      <c r="AI46" s="34" t="str">
        <f t="shared" si="6"/>
        <v/>
      </c>
      <c r="AJ46" s="34" t="str">
        <f>IF(NOT(ISBLANK(C46)),
IF(Laborator!AN47="Admis",ROUND(Laborator!AM47,0),"n/p"),"")</f>
        <v/>
      </c>
      <c r="AK46" s="34" t="str">
        <f>IF(NOT(ISBLANK(C46)),
IF('Lucrari grafice'!F42&lt;&gt;"n/p",'Lucrari grafice'!F42,"n/p"),"")</f>
        <v/>
      </c>
      <c r="AL46" s="34" t="str">
        <f t="shared" si="7"/>
        <v/>
      </c>
      <c r="AM46" s="34" t="str">
        <f t="shared" si="8"/>
        <v/>
      </c>
      <c r="AN46" s="107" t="str">
        <f t="shared" si="11"/>
        <v/>
      </c>
      <c r="AO46" s="33" t="str">
        <f t="shared" si="12"/>
        <v/>
      </c>
      <c r="AP46" s="34" t="str">
        <f t="shared" si="13"/>
        <v/>
      </c>
    </row>
    <row r="47" spans="2:42" x14ac:dyDescent="0.3">
      <c r="B47" s="34" t="str">
        <f>IF(NOT(ISBLANK(C47)),COUNTA($C$6:C47),"")</f>
        <v/>
      </c>
      <c r="C47" s="71"/>
      <c r="D47" s="76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4"/>
        <v/>
      </c>
      <c r="U47"/>
      <c r="V47" s="34" t="str">
        <f>'Atest. Nr.1_1'!I43</f>
        <v/>
      </c>
      <c r="W47" s="34" t="str">
        <f>'Atest. Nr.1_2'!H43</f>
        <v/>
      </c>
      <c r="X47" s="34" t="str">
        <f>'Atest. Nr.1_3'!H43</f>
        <v/>
      </c>
      <c r="Y47" s="34" t="str">
        <f>'Atest. Nr.2_1'!I43</f>
        <v/>
      </c>
      <c r="Z47" s="34" t="str">
        <f>'Atest. Nr.2_2'!I43</f>
        <v/>
      </c>
      <c r="AA47" s="34" t="str">
        <f>'Atest. Nr.2_3'!I43</f>
        <v/>
      </c>
      <c r="AB47" s="34" t="str">
        <f>Examen!G43</f>
        <v/>
      </c>
      <c r="AC47" s="34" t="str">
        <f>ReExaminare!G43</f>
        <v/>
      </c>
      <c r="AD47" s="104" t="str">
        <f>IF(NOT(ISBLANK(B47)),
IF(SUM(E47:S47)+SUM(Laborator!E48:R48)&lt;&gt;0,SUM(E47:S47)+SUM(Laborator!E48:R48),""),
"")</f>
        <v/>
      </c>
      <c r="AE47" s="104"/>
      <c r="AH47" s="34" t="str">
        <f t="shared" si="5"/>
        <v/>
      </c>
      <c r="AI47" s="34" t="str">
        <f t="shared" si="6"/>
        <v/>
      </c>
      <c r="AJ47" s="34" t="str">
        <f>IF(NOT(ISBLANK(C47)),
IF(Laborator!AN48="Admis",ROUND(Laborator!AM48,0),"n/p"),"")</f>
        <v/>
      </c>
      <c r="AK47" s="34" t="str">
        <f>IF(NOT(ISBLANK(C47)),
IF('Lucrari grafice'!F43&lt;&gt;"n/p",'Lucrari grafice'!F43,"n/p"),"")</f>
        <v/>
      </c>
      <c r="AL47" s="34" t="str">
        <f t="shared" si="7"/>
        <v/>
      </c>
      <c r="AM47" s="34" t="str">
        <f t="shared" si="8"/>
        <v/>
      </c>
      <c r="AN47" s="107" t="str">
        <f t="shared" si="11"/>
        <v/>
      </c>
      <c r="AO47" s="33" t="str">
        <f t="shared" si="12"/>
        <v/>
      </c>
      <c r="AP47" s="34" t="str">
        <f t="shared" si="13"/>
        <v/>
      </c>
    </row>
    <row r="48" spans="2:42" x14ac:dyDescent="0.3">
      <c r="B48" s="34" t="str">
        <f>IF(NOT(ISBLANK(C48)),COUNTA($C$6:C48),"")</f>
        <v/>
      </c>
      <c r="C48" s="71"/>
      <c r="D48" s="76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4"/>
        <v/>
      </c>
      <c r="U48"/>
      <c r="V48" s="34" t="str">
        <f>'Atest. Nr.1_1'!I44</f>
        <v/>
      </c>
      <c r="W48" s="34" t="str">
        <f>'Atest. Nr.1_2'!H44</f>
        <v/>
      </c>
      <c r="X48" s="34" t="str">
        <f>'Atest. Nr.1_3'!H44</f>
        <v/>
      </c>
      <c r="Y48" s="34" t="str">
        <f>'Atest. Nr.2_1'!I44</f>
        <v/>
      </c>
      <c r="Z48" s="34" t="str">
        <f>'Atest. Nr.2_2'!I44</f>
        <v/>
      </c>
      <c r="AA48" s="34" t="str">
        <f>'Atest. Nr.2_3'!I44</f>
        <v/>
      </c>
      <c r="AB48" s="34" t="str">
        <f>Examen!G44</f>
        <v/>
      </c>
      <c r="AC48" s="34" t="str">
        <f>ReExaminare!G44</f>
        <v/>
      </c>
      <c r="AD48" s="104" t="str">
        <f>IF(NOT(ISBLANK(B48)),
IF(SUM(E48:S48)+SUM(Laborator!E49:R49)&lt;&gt;0,SUM(E48:S48)+SUM(Laborator!E49:R49),""),
"")</f>
        <v/>
      </c>
      <c r="AE48" s="104"/>
      <c r="AH48" s="34" t="str">
        <f t="shared" si="5"/>
        <v/>
      </c>
      <c r="AI48" s="34" t="str">
        <f t="shared" si="6"/>
        <v/>
      </c>
      <c r="AJ48" s="34" t="str">
        <f>IF(NOT(ISBLANK(C48)),
IF(Laborator!AN49="Admis",ROUND(Laborator!AM49,0),"n/p"),"")</f>
        <v/>
      </c>
      <c r="AK48" s="34" t="str">
        <f>IF(NOT(ISBLANK(C48)),
IF('Lucrari grafice'!F44&lt;&gt;"n/p",'Lucrari grafice'!F44,"n/p"),"")</f>
        <v/>
      </c>
      <c r="AL48" s="34" t="str">
        <f t="shared" si="7"/>
        <v/>
      </c>
      <c r="AM48" s="34" t="str">
        <f t="shared" si="8"/>
        <v/>
      </c>
      <c r="AN48" s="107" t="str">
        <f t="shared" si="11"/>
        <v/>
      </c>
      <c r="AO48" s="33" t="str">
        <f t="shared" si="12"/>
        <v/>
      </c>
      <c r="AP48" s="34" t="str">
        <f t="shared" si="13"/>
        <v/>
      </c>
    </row>
    <row r="49" spans="2:42" x14ac:dyDescent="0.3">
      <c r="B49" s="34" t="str">
        <f>IF(NOT(ISBLANK(C49)),COUNTA($C$6:C49),"")</f>
        <v/>
      </c>
      <c r="C49" s="71"/>
      <c r="D49" s="76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4"/>
        <v/>
      </c>
      <c r="U49"/>
      <c r="V49" s="34" t="str">
        <f>'Atest. Nr.1_1'!I45</f>
        <v/>
      </c>
      <c r="W49" s="34" t="str">
        <f>'Atest. Nr.1_2'!H45</f>
        <v/>
      </c>
      <c r="X49" s="34" t="str">
        <f>'Atest. Nr.1_3'!H45</f>
        <v/>
      </c>
      <c r="Y49" s="34" t="str">
        <f>'Atest. Nr.2_1'!I45</f>
        <v/>
      </c>
      <c r="Z49" s="34" t="str">
        <f>'Atest. Nr.2_2'!I45</f>
        <v/>
      </c>
      <c r="AA49" s="34" t="str">
        <f>'Atest. Nr.2_3'!I45</f>
        <v/>
      </c>
      <c r="AB49" s="34" t="str">
        <f>Examen!G45</f>
        <v/>
      </c>
      <c r="AC49" s="34" t="str">
        <f>ReExaminare!G45</f>
        <v/>
      </c>
      <c r="AD49" s="104" t="str">
        <f>IF(NOT(ISBLANK(B49)),
IF(SUM(E49:S49)+SUM(Laborator!E50:R50)&lt;&gt;0,SUM(E49:S49)+SUM(Laborator!E50:R50),""),
"")</f>
        <v/>
      </c>
      <c r="AE49" s="104"/>
      <c r="AH49" s="34" t="str">
        <f t="shared" si="5"/>
        <v/>
      </c>
      <c r="AI49" s="34" t="str">
        <f t="shared" si="6"/>
        <v/>
      </c>
      <c r="AJ49" s="34" t="str">
        <f>IF(NOT(ISBLANK(C49)),
IF(Laborator!AN50="Admis",ROUND(Laborator!AM50,0),"n/p"),"")</f>
        <v/>
      </c>
      <c r="AK49" s="34" t="str">
        <f>IF(NOT(ISBLANK(C49)),
IF('Lucrari grafice'!F45&lt;&gt;"n/p",'Lucrari grafice'!F45,"n/p"),"")</f>
        <v/>
      </c>
      <c r="AL49" s="34" t="str">
        <f t="shared" si="7"/>
        <v/>
      </c>
      <c r="AM49" s="34" t="str">
        <f t="shared" si="8"/>
        <v/>
      </c>
      <c r="AN49" s="107" t="str">
        <f t="shared" si="11"/>
        <v/>
      </c>
      <c r="AO49" s="33" t="str">
        <f t="shared" si="12"/>
        <v/>
      </c>
      <c r="AP49" s="34" t="str">
        <f t="shared" si="13"/>
        <v/>
      </c>
    </row>
    <row r="50" spans="2:42" x14ac:dyDescent="0.3">
      <c r="B50" s="34" t="str">
        <f>IF(NOT(ISBLANK(C50)),COUNTA($C$6:C50),"")</f>
        <v/>
      </c>
      <c r="C50" s="71"/>
      <c r="D50" s="76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4"/>
        <v/>
      </c>
      <c r="U50"/>
      <c r="V50" s="34" t="str">
        <f>'Atest. Nr.1_1'!I46</f>
        <v/>
      </c>
      <c r="W50" s="34" t="str">
        <f>'Atest. Nr.1_2'!H46</f>
        <v/>
      </c>
      <c r="X50" s="34" t="str">
        <f>'Atest. Nr.1_3'!H46</f>
        <v/>
      </c>
      <c r="Y50" s="34" t="str">
        <f>'Atest. Nr.2_1'!I46</f>
        <v/>
      </c>
      <c r="Z50" s="34" t="str">
        <f>'Atest. Nr.2_2'!I46</f>
        <v/>
      </c>
      <c r="AA50" s="34" t="str">
        <f>'Atest. Nr.2_3'!I46</f>
        <v/>
      </c>
      <c r="AB50" s="34" t="str">
        <f>Examen!G46</f>
        <v/>
      </c>
      <c r="AC50" s="34" t="str">
        <f>ReExaminare!G46</f>
        <v/>
      </c>
      <c r="AD50" s="104" t="str">
        <f>IF(NOT(ISBLANK(B50)),
IF(SUM(E50:S50)+SUM(Laborator!E51:R51)&lt;&gt;0,SUM(E50:S50)+SUM(Laborator!E51:R51),""),
"")</f>
        <v/>
      </c>
      <c r="AE50" s="104"/>
      <c r="AH50" s="34" t="str">
        <f t="shared" si="5"/>
        <v/>
      </c>
      <c r="AI50" s="34" t="str">
        <f t="shared" si="6"/>
        <v/>
      </c>
      <c r="AJ50" s="34" t="str">
        <f>IF(NOT(ISBLANK(C50)),
IF(Laborator!AN51="Admis",ROUND(Laborator!AM51,0),"n/p"),"")</f>
        <v/>
      </c>
      <c r="AK50" s="34" t="str">
        <f>IF(NOT(ISBLANK(C50)),
IF('Lucrari grafice'!F46&lt;&gt;"n/p",'Lucrari grafice'!F46,"n/p"),"")</f>
        <v/>
      </c>
      <c r="AL50" s="34" t="str">
        <f t="shared" si="7"/>
        <v/>
      </c>
      <c r="AM50" s="34" t="str">
        <f t="shared" si="8"/>
        <v/>
      </c>
      <c r="AN50" s="107" t="str">
        <f t="shared" si="11"/>
        <v/>
      </c>
      <c r="AO50" s="33" t="str">
        <f t="shared" si="12"/>
        <v/>
      </c>
      <c r="AP50" s="34" t="str">
        <f t="shared" si="13"/>
        <v/>
      </c>
    </row>
    <row r="51" spans="2:42" x14ac:dyDescent="0.3">
      <c r="B51" s="34" t="str">
        <f>IF(NOT(ISBLANK(C51)),COUNTA($C$6:C51),"")</f>
        <v/>
      </c>
      <c r="C51" s="71"/>
      <c r="D51" s="76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4"/>
        <v/>
      </c>
      <c r="U51"/>
      <c r="V51" s="34" t="str">
        <f>'Atest. Nr.1_1'!I47</f>
        <v/>
      </c>
      <c r="W51" s="34" t="str">
        <f>'Atest. Nr.1_2'!H47</f>
        <v/>
      </c>
      <c r="X51" s="34" t="str">
        <f>'Atest. Nr.1_3'!H47</f>
        <v/>
      </c>
      <c r="Y51" s="34" t="str">
        <f>'Atest. Nr.2_1'!I47</f>
        <v/>
      </c>
      <c r="Z51" s="34" t="str">
        <f>'Atest. Nr.2_2'!I47</f>
        <v/>
      </c>
      <c r="AA51" s="34" t="str">
        <f>'Atest. Nr.2_3'!I47</f>
        <v/>
      </c>
      <c r="AB51" s="34" t="str">
        <f>Examen!G47</f>
        <v/>
      </c>
      <c r="AC51" s="34" t="str">
        <f>ReExaminare!G47</f>
        <v/>
      </c>
      <c r="AD51" s="104" t="str">
        <f>IF(NOT(ISBLANK(B51)),
IF(SUM(E51:S51)+SUM(Laborator!E52:R52)&lt;&gt;0,SUM(E51:S51)+SUM(Laborator!E52:R52),""),
"")</f>
        <v/>
      </c>
      <c r="AE51" s="104"/>
      <c r="AH51" s="34" t="str">
        <f t="shared" si="5"/>
        <v/>
      </c>
      <c r="AI51" s="34" t="str">
        <f t="shared" si="6"/>
        <v/>
      </c>
      <c r="AJ51" s="34" t="str">
        <f>IF(NOT(ISBLANK(C51)),
IF(Laborator!AN52="Admis",ROUND(Laborator!AM52,0),"n/p"),"")</f>
        <v/>
      </c>
      <c r="AK51" s="34" t="str">
        <f>IF(NOT(ISBLANK(C51)),
IF('Lucrari grafice'!F47&lt;&gt;"n/p",'Lucrari grafice'!F47,"n/p"),"")</f>
        <v/>
      </c>
      <c r="AL51" s="34" t="str">
        <f t="shared" si="7"/>
        <v/>
      </c>
      <c r="AM51" s="34" t="str">
        <f t="shared" si="8"/>
        <v/>
      </c>
      <c r="AN51" s="107" t="str">
        <f t="shared" si="11"/>
        <v/>
      </c>
      <c r="AO51" s="33" t="str">
        <f t="shared" si="12"/>
        <v/>
      </c>
      <c r="AP51" s="34" t="str">
        <f t="shared" si="13"/>
        <v/>
      </c>
    </row>
    <row r="52" spans="2:42" x14ac:dyDescent="0.3">
      <c r="B52" s="34" t="str">
        <f>IF(NOT(ISBLANK(C52)),COUNTA($C$6:C52),"")</f>
        <v/>
      </c>
      <c r="C52" s="71"/>
      <c r="D52" s="76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4"/>
        <v/>
      </c>
      <c r="U52"/>
      <c r="V52" s="34" t="str">
        <f>'Atest. Nr.1_1'!I48</f>
        <v/>
      </c>
      <c r="W52" s="34" t="str">
        <f>'Atest. Nr.1_2'!H48</f>
        <v/>
      </c>
      <c r="X52" s="34" t="str">
        <f>'Atest. Nr.1_3'!H48</f>
        <v/>
      </c>
      <c r="Y52" s="34" t="str">
        <f>'Atest. Nr.2_1'!I48</f>
        <v/>
      </c>
      <c r="Z52" s="34" t="str">
        <f>'Atest. Nr.2_2'!I48</f>
        <v/>
      </c>
      <c r="AA52" s="34" t="str">
        <f>'Atest. Nr.2_3'!I48</f>
        <v/>
      </c>
      <c r="AB52" s="34" t="str">
        <f>Examen!G48</f>
        <v/>
      </c>
      <c r="AC52" s="34" t="str">
        <f>ReExaminare!G48</f>
        <v/>
      </c>
      <c r="AD52" s="104" t="str">
        <f>IF(NOT(ISBLANK(B52)),
IF(SUM(E52:S52)+SUM(Laborator!E53:R53)&lt;&gt;0,SUM(E52:S52)+SUM(Laborator!E53:R53),""),
"")</f>
        <v/>
      </c>
      <c r="AE52" s="104"/>
      <c r="AH52" s="34" t="str">
        <f t="shared" si="5"/>
        <v/>
      </c>
      <c r="AI52" s="34" t="str">
        <f t="shared" si="6"/>
        <v/>
      </c>
      <c r="AJ52" s="34" t="str">
        <f>IF(NOT(ISBLANK(C52)),
IF(Laborator!AN53="Admis",ROUND(Laborator!AM53,0),"n/p"),"")</f>
        <v/>
      </c>
      <c r="AK52" s="34" t="str">
        <f>IF(NOT(ISBLANK(C52)),
IF('Lucrari grafice'!F48&lt;&gt;"n/p",'Lucrari grafice'!F48,"n/p"),"")</f>
        <v/>
      </c>
      <c r="AL52" s="34" t="str">
        <f t="shared" si="7"/>
        <v/>
      </c>
      <c r="AM52" s="34" t="str">
        <f t="shared" si="8"/>
        <v/>
      </c>
      <c r="AN52" s="107" t="str">
        <f t="shared" si="11"/>
        <v/>
      </c>
      <c r="AO52" s="33" t="str">
        <f t="shared" si="12"/>
        <v/>
      </c>
      <c r="AP52" s="34" t="str">
        <f t="shared" si="13"/>
        <v/>
      </c>
    </row>
    <row r="53" spans="2:42" x14ac:dyDescent="0.3">
      <c r="B53" s="34" t="str">
        <f>IF(NOT(ISBLANK(C53)),COUNTA($C$6:C53),"")</f>
        <v/>
      </c>
      <c r="C53" s="71"/>
      <c r="D53" s="76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4"/>
        <v/>
      </c>
      <c r="U53"/>
      <c r="V53" s="34" t="str">
        <f>'Atest. Nr.1_1'!I49</f>
        <v/>
      </c>
      <c r="W53" s="34" t="str">
        <f>'Atest. Nr.1_2'!H49</f>
        <v/>
      </c>
      <c r="X53" s="34" t="str">
        <f>'Atest. Nr.1_3'!H49</f>
        <v/>
      </c>
      <c r="Y53" s="34" t="str">
        <f>'Atest. Nr.2_1'!I49</f>
        <v/>
      </c>
      <c r="Z53" s="34" t="str">
        <f>'Atest. Nr.2_2'!I49</f>
        <v/>
      </c>
      <c r="AA53" s="34" t="str">
        <f>'Atest. Nr.2_3'!I49</f>
        <v/>
      </c>
      <c r="AB53" s="34" t="str">
        <f>Examen!G49</f>
        <v/>
      </c>
      <c r="AC53" s="34" t="str">
        <f>ReExaminare!G49</f>
        <v/>
      </c>
      <c r="AD53" s="104" t="str">
        <f>IF(NOT(ISBLANK(B53)),
IF(SUM(E53:S53)+SUM(Laborator!E54:R54)&lt;&gt;0,SUM(E53:S53)+SUM(Laborator!E54:R54),""),
"")</f>
        <v/>
      </c>
      <c r="AE53" s="104"/>
      <c r="AH53" s="34" t="str">
        <f t="shared" si="5"/>
        <v/>
      </c>
      <c r="AI53" s="34" t="str">
        <f t="shared" si="6"/>
        <v/>
      </c>
      <c r="AJ53" s="34" t="str">
        <f>IF(NOT(ISBLANK(C53)),
IF(Laborator!AN54="Admis",ROUND(Laborator!AM54,0),"n/p"),"")</f>
        <v/>
      </c>
      <c r="AK53" s="34" t="str">
        <f>IF(NOT(ISBLANK(C53)),
IF('Lucrari grafice'!F49&lt;&gt;"n/p",'Lucrari grafice'!F49,"n/p"),"")</f>
        <v/>
      </c>
      <c r="AL53" s="34" t="str">
        <f t="shared" si="7"/>
        <v/>
      </c>
      <c r="AM53" s="34" t="str">
        <f t="shared" si="8"/>
        <v/>
      </c>
      <c r="AN53" s="107" t="str">
        <f t="shared" si="11"/>
        <v/>
      </c>
      <c r="AO53" s="33" t="str">
        <f t="shared" si="12"/>
        <v/>
      </c>
      <c r="AP53" s="34" t="str">
        <f t="shared" si="13"/>
        <v/>
      </c>
    </row>
    <row r="54" spans="2:42" x14ac:dyDescent="0.3">
      <c r="B54" s="34" t="str">
        <f>IF(NOT(ISBLANK(C54)),COUNTA($C$6:C54),"")</f>
        <v/>
      </c>
      <c r="C54" s="71"/>
      <c r="D54" s="76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4"/>
        <v/>
      </c>
      <c r="U54"/>
      <c r="V54" s="34" t="str">
        <f>'Atest. Nr.1_1'!I50</f>
        <v/>
      </c>
      <c r="W54" s="34" t="str">
        <f>'Atest. Nr.1_2'!H50</f>
        <v/>
      </c>
      <c r="X54" s="34" t="str">
        <f>'Atest. Nr.1_3'!H50</f>
        <v/>
      </c>
      <c r="Y54" s="34" t="str">
        <f>'Atest. Nr.2_1'!I50</f>
        <v/>
      </c>
      <c r="Z54" s="34" t="str">
        <f>'Atest. Nr.2_2'!I50</f>
        <v/>
      </c>
      <c r="AA54" s="34" t="str">
        <f>'Atest. Nr.2_3'!I50</f>
        <v/>
      </c>
      <c r="AB54" s="34" t="str">
        <f>Examen!G50</f>
        <v/>
      </c>
      <c r="AC54" s="34" t="str">
        <f>ReExaminare!G50</f>
        <v/>
      </c>
      <c r="AD54" s="104" t="str">
        <f>IF(NOT(ISBLANK(B54)),
IF(SUM(E54:S54)+SUM(Laborator!E55:R55)&lt;&gt;0,SUM(E54:S54)+SUM(Laborator!E55:R55),""),
"")</f>
        <v/>
      </c>
      <c r="AE54" s="104"/>
      <c r="AH54" s="34" t="str">
        <f t="shared" si="5"/>
        <v/>
      </c>
      <c r="AI54" s="34" t="str">
        <f t="shared" si="6"/>
        <v/>
      </c>
      <c r="AJ54" s="34" t="str">
        <f>IF(NOT(ISBLANK(C54)),
IF(Laborator!AN55="Admis",ROUND(Laborator!AM55,0),"n/p"),"")</f>
        <v/>
      </c>
      <c r="AK54" s="34" t="str">
        <f>IF(NOT(ISBLANK(C54)),
IF('Lucrari grafice'!F50&lt;&gt;"n/p",'Lucrari grafice'!F50,"n/p"),"")</f>
        <v/>
      </c>
      <c r="AL54" s="34" t="str">
        <f t="shared" si="7"/>
        <v/>
      </c>
      <c r="AM54" s="34" t="str">
        <f t="shared" si="8"/>
        <v/>
      </c>
      <c r="AN54" s="107" t="str">
        <f t="shared" si="11"/>
        <v/>
      </c>
      <c r="AO54" s="33" t="str">
        <f t="shared" si="12"/>
        <v/>
      </c>
      <c r="AP54" s="34" t="str">
        <f t="shared" si="13"/>
        <v/>
      </c>
    </row>
    <row r="55" spans="2:42" x14ac:dyDescent="0.3">
      <c r="B55" s="34" t="str">
        <f>IF(NOT(ISBLANK(C55)),COUNTA($C$6:C55),"")</f>
        <v/>
      </c>
      <c r="C55" s="71"/>
      <c r="D55" s="76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4"/>
        <v/>
      </c>
      <c r="U55"/>
      <c r="V55" s="34" t="str">
        <f>'Atest. Nr.1_1'!I51</f>
        <v/>
      </c>
      <c r="W55" s="34" t="str">
        <f>'Atest. Nr.1_2'!H51</f>
        <v/>
      </c>
      <c r="X55" s="34" t="str">
        <f>'Atest. Nr.1_3'!H51</f>
        <v/>
      </c>
      <c r="Y55" s="34" t="str">
        <f>'Atest. Nr.2_1'!I51</f>
        <v/>
      </c>
      <c r="Z55" s="34" t="str">
        <f>'Atest. Nr.2_2'!I51</f>
        <v/>
      </c>
      <c r="AA55" s="34" t="str">
        <f>'Atest. Nr.2_3'!I51</f>
        <v/>
      </c>
      <c r="AB55" s="34" t="str">
        <f>Examen!G51</f>
        <v/>
      </c>
      <c r="AC55" s="34" t="str">
        <f>ReExaminare!G51</f>
        <v/>
      </c>
      <c r="AD55" s="104" t="str">
        <f>IF(NOT(ISBLANK(B55)),
IF(SUM(E55:S55)+SUM(Laborator!E56:R56)&lt;&gt;0,SUM(E55:S55)+SUM(Laborator!E56:R56),""),
"")</f>
        <v/>
      </c>
      <c r="AE55" s="104"/>
      <c r="AH55" s="34" t="str">
        <f t="shared" si="5"/>
        <v/>
      </c>
      <c r="AI55" s="34" t="str">
        <f t="shared" si="6"/>
        <v/>
      </c>
      <c r="AJ55" s="34" t="str">
        <f>IF(NOT(ISBLANK(C55)),
IF(Laborator!AN56="Admis",ROUND(Laborator!AM56,0),"n/p"),"")</f>
        <v/>
      </c>
      <c r="AK55" s="34" t="str">
        <f>IF(NOT(ISBLANK(C55)),
IF('Lucrari grafice'!F51&lt;&gt;"n/p",'Lucrari grafice'!F51,"n/p"),"")</f>
        <v/>
      </c>
      <c r="AL55" s="34" t="str">
        <f t="shared" si="7"/>
        <v/>
      </c>
      <c r="AM55" s="34" t="str">
        <f t="shared" si="8"/>
        <v/>
      </c>
      <c r="AN55" s="107" t="str">
        <f t="shared" si="11"/>
        <v/>
      </c>
      <c r="AO55" s="33" t="str">
        <f t="shared" si="12"/>
        <v/>
      </c>
      <c r="AP55" s="34" t="str">
        <f t="shared" si="13"/>
        <v/>
      </c>
    </row>
    <row r="56" spans="2:42" x14ac:dyDescent="0.3">
      <c r="B56" s="34" t="str">
        <f>IF(NOT(ISBLANK(C56)),COUNTA($C$6:C56),"")</f>
        <v/>
      </c>
      <c r="C56" s="71"/>
      <c r="D56" s="76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4"/>
        <v/>
      </c>
      <c r="U56"/>
      <c r="V56" s="34" t="str">
        <f>'Atest. Nr.1_1'!I52</f>
        <v/>
      </c>
      <c r="W56" s="34" t="str">
        <f>'Atest. Nr.1_2'!H52</f>
        <v/>
      </c>
      <c r="X56" s="34" t="str">
        <f>'Atest. Nr.1_3'!H52</f>
        <v/>
      </c>
      <c r="Y56" s="34" t="str">
        <f>'Atest. Nr.2_1'!I52</f>
        <v/>
      </c>
      <c r="Z56" s="34" t="str">
        <f>'Atest. Nr.2_2'!I52</f>
        <v/>
      </c>
      <c r="AA56" s="34" t="str">
        <f>'Atest. Nr.2_3'!I52</f>
        <v/>
      </c>
      <c r="AB56" s="34" t="str">
        <f>Examen!G52</f>
        <v/>
      </c>
      <c r="AC56" s="34" t="str">
        <f>ReExaminare!G52</f>
        <v/>
      </c>
      <c r="AD56" s="104" t="str">
        <f>IF(NOT(ISBLANK(B56)),
IF(SUM(E56:S56)+SUM(Laborator!E57:R57)&lt;&gt;0,SUM(E56:S56)+SUM(Laborator!E57:R57),""),
"")</f>
        <v/>
      </c>
      <c r="AE56" s="104"/>
      <c r="AH56" s="34" t="str">
        <f t="shared" si="5"/>
        <v/>
      </c>
      <c r="AI56" s="34" t="str">
        <f t="shared" si="6"/>
        <v/>
      </c>
      <c r="AJ56" s="34" t="str">
        <f>IF(NOT(ISBLANK(C56)),
IF(Laborator!AN57="Admis",ROUND(Laborator!AM57,0),"n/p"),"")</f>
        <v/>
      </c>
      <c r="AK56" s="34" t="str">
        <f>IF(NOT(ISBLANK(C56)),
IF('Lucrari grafice'!F52&lt;&gt;"n/p",'Lucrari grafice'!F52,"n/p"),"")</f>
        <v/>
      </c>
      <c r="AL56" s="34" t="str">
        <f t="shared" si="7"/>
        <v/>
      </c>
      <c r="AM56" s="34" t="str">
        <f t="shared" si="8"/>
        <v/>
      </c>
      <c r="AN56" s="107" t="str">
        <f t="shared" si="11"/>
        <v/>
      </c>
      <c r="AO56" s="33" t="str">
        <f t="shared" si="12"/>
        <v/>
      </c>
      <c r="AP56" s="34" t="str">
        <f t="shared" si="13"/>
        <v/>
      </c>
    </row>
    <row r="57" spans="2:42" x14ac:dyDescent="0.3">
      <c r="B57" s="34" t="str">
        <f>IF(NOT(ISBLANK(C57)),COUNTA($C$6:C57),"")</f>
        <v/>
      </c>
      <c r="C57" s="71"/>
      <c r="D57" s="76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4"/>
        <v/>
      </c>
      <c r="U57"/>
      <c r="V57" s="34" t="str">
        <f>'Atest. Nr.1_1'!I53</f>
        <v/>
      </c>
      <c r="W57" s="34" t="str">
        <f>'Atest. Nr.1_2'!H53</f>
        <v/>
      </c>
      <c r="X57" s="34" t="str">
        <f>'Atest. Nr.1_3'!H53</f>
        <v/>
      </c>
      <c r="Y57" s="34" t="str">
        <f>'Atest. Nr.2_1'!I53</f>
        <v/>
      </c>
      <c r="Z57" s="34" t="str">
        <f>'Atest. Nr.2_2'!I53</f>
        <v/>
      </c>
      <c r="AA57" s="34" t="str">
        <f>'Atest. Nr.2_3'!I53</f>
        <v/>
      </c>
      <c r="AB57" s="34" t="str">
        <f>Examen!G53</f>
        <v/>
      </c>
      <c r="AC57" s="34" t="str">
        <f>ReExaminare!G53</f>
        <v/>
      </c>
      <c r="AD57" s="104" t="str">
        <f>IF(NOT(ISBLANK(B57)),
IF(SUM(E57:S57)+SUM(Laborator!E58:R58)&lt;&gt;0,SUM(E57:S57)+SUM(Laborator!E58:R58),""),
"")</f>
        <v/>
      </c>
      <c r="AE57" s="104"/>
      <c r="AH57" s="34" t="str">
        <f t="shared" si="5"/>
        <v/>
      </c>
      <c r="AI57" s="34" t="str">
        <f t="shared" si="6"/>
        <v/>
      </c>
      <c r="AJ57" s="34" t="str">
        <f>IF(NOT(ISBLANK(C57)),
IF(Laborator!AN58="Admis",ROUND(Laborator!AM58,0),"n/p"),"")</f>
        <v/>
      </c>
      <c r="AK57" s="34" t="str">
        <f>IF(NOT(ISBLANK(C57)),
IF('Lucrari grafice'!F53&lt;&gt;"n/p",'Lucrari grafice'!F53,"n/p"),"")</f>
        <v/>
      </c>
      <c r="AL57" s="34" t="str">
        <f t="shared" si="7"/>
        <v/>
      </c>
      <c r="AM57" s="34" t="str">
        <f t="shared" si="8"/>
        <v/>
      </c>
      <c r="AN57" s="107" t="str">
        <f t="shared" si="11"/>
        <v/>
      </c>
      <c r="AO57" s="33" t="str">
        <f t="shared" si="12"/>
        <v/>
      </c>
      <c r="AP57" s="34" t="str">
        <f t="shared" si="13"/>
        <v/>
      </c>
    </row>
    <row r="58" spans="2:42" x14ac:dyDescent="0.3">
      <c r="B58" s="34" t="str">
        <f>IF(NOT(ISBLANK(C58)),COUNTA($C$6:C58),"")</f>
        <v/>
      </c>
      <c r="C58" s="71"/>
      <c r="D58" s="76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4"/>
        <v/>
      </c>
      <c r="U58"/>
      <c r="V58" s="34" t="str">
        <f>'Atest. Nr.1_1'!I54</f>
        <v/>
      </c>
      <c r="W58" s="34" t="str">
        <f>'Atest. Nr.1_2'!H54</f>
        <v/>
      </c>
      <c r="X58" s="34" t="str">
        <f>'Atest. Nr.1_3'!H54</f>
        <v/>
      </c>
      <c r="Y58" s="34" t="str">
        <f>'Atest. Nr.2_1'!I54</f>
        <v/>
      </c>
      <c r="Z58" s="34" t="str">
        <f>'Atest. Nr.2_2'!I54</f>
        <v/>
      </c>
      <c r="AA58" s="34" t="str">
        <f>'Atest. Nr.2_3'!I54</f>
        <v/>
      </c>
      <c r="AB58" s="34" t="str">
        <f>Examen!G54</f>
        <v/>
      </c>
      <c r="AC58" s="34" t="str">
        <f>ReExaminare!G54</f>
        <v/>
      </c>
      <c r="AD58" s="104" t="str">
        <f>IF(NOT(ISBLANK(B58)),
IF(SUM(E58:S58)+SUM(Laborator!E59:R59)&lt;&gt;0,SUM(E58:S58)+SUM(Laborator!E59:R59),""),
"")</f>
        <v/>
      </c>
      <c r="AE58" s="104"/>
      <c r="AH58" s="34" t="str">
        <f t="shared" si="5"/>
        <v/>
      </c>
      <c r="AI58" s="34" t="str">
        <f t="shared" si="6"/>
        <v/>
      </c>
      <c r="AJ58" s="34" t="str">
        <f>IF(NOT(ISBLANK(C58)),
IF(Laborator!AN59="Admis",ROUND(Laborator!AM59,0),"n/p"),"")</f>
        <v/>
      </c>
      <c r="AK58" s="34" t="str">
        <f>IF(NOT(ISBLANK(C58)),
IF('Lucrari grafice'!F54&lt;&gt;"n/p",'Lucrari grafice'!F54,"n/p"),"")</f>
        <v/>
      </c>
      <c r="AL58" s="34" t="str">
        <f t="shared" si="7"/>
        <v/>
      </c>
      <c r="AM58" s="34" t="str">
        <f t="shared" si="8"/>
        <v/>
      </c>
      <c r="AN58" s="107" t="str">
        <f t="shared" si="11"/>
        <v/>
      </c>
      <c r="AO58" s="33" t="str">
        <f t="shared" si="12"/>
        <v/>
      </c>
      <c r="AP58" s="34" t="str">
        <f t="shared" si="13"/>
        <v/>
      </c>
    </row>
    <row r="59" spans="2:42" x14ac:dyDescent="0.3">
      <c r="B59" s="34" t="str">
        <f>IF(NOT(ISBLANK(C59)),COUNTA($C$6:C59),"")</f>
        <v/>
      </c>
      <c r="C59" s="71"/>
      <c r="D59" s="76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4"/>
        <v/>
      </c>
      <c r="U59"/>
      <c r="V59" s="34" t="str">
        <f>'Atest. Nr.1_1'!I55</f>
        <v/>
      </c>
      <c r="W59" s="34" t="str">
        <f>'Atest. Nr.1_2'!H55</f>
        <v/>
      </c>
      <c r="X59" s="34" t="str">
        <f>'Atest. Nr.1_3'!H55</f>
        <v/>
      </c>
      <c r="Y59" s="34" t="str">
        <f>'Atest. Nr.2_1'!I55</f>
        <v/>
      </c>
      <c r="Z59" s="34" t="str">
        <f>'Atest. Nr.2_2'!I55</f>
        <v/>
      </c>
      <c r="AA59" s="34" t="str">
        <f>'Atest. Nr.2_3'!I55</f>
        <v/>
      </c>
      <c r="AB59" s="34" t="str">
        <f>Examen!G55</f>
        <v/>
      </c>
      <c r="AC59" s="34" t="str">
        <f>ReExaminare!G55</f>
        <v/>
      </c>
      <c r="AD59" s="104" t="str">
        <f>IF(NOT(ISBLANK(B59)),
IF(SUM(E59:S59)+SUM(Laborator!E60:R60)&lt;&gt;0,SUM(E59:S59)+SUM(Laborator!E60:R60),""),
"")</f>
        <v/>
      </c>
      <c r="AE59" s="104"/>
      <c r="AH59" s="34" t="str">
        <f t="shared" si="5"/>
        <v/>
      </c>
      <c r="AI59" s="34" t="str">
        <f t="shared" si="6"/>
        <v/>
      </c>
      <c r="AJ59" s="34" t="str">
        <f>IF(NOT(ISBLANK(C59)),
IF(Laborator!AN60="Admis",ROUND(Laborator!AM60,0),"n/p"),"")</f>
        <v/>
      </c>
      <c r="AK59" s="34" t="str">
        <f>IF(NOT(ISBLANK(C59)),
IF('Lucrari grafice'!F55&lt;&gt;"n/p",'Lucrari grafice'!F55,"n/p"),"")</f>
        <v/>
      </c>
      <c r="AL59" s="34" t="str">
        <f t="shared" si="7"/>
        <v/>
      </c>
      <c r="AM59" s="34" t="str">
        <f t="shared" si="8"/>
        <v/>
      </c>
      <c r="AN59" s="107" t="str">
        <f t="shared" si="11"/>
        <v/>
      </c>
      <c r="AO59" s="33" t="str">
        <f t="shared" si="12"/>
        <v/>
      </c>
      <c r="AP59" s="34" t="str">
        <f t="shared" si="13"/>
        <v/>
      </c>
    </row>
    <row r="60" spans="2:42" x14ac:dyDescent="0.3">
      <c r="B60" s="34" t="str">
        <f>IF(NOT(ISBLANK(C60)),COUNTA($C$6:C60),"")</f>
        <v/>
      </c>
      <c r="C60" s="71"/>
      <c r="D60" s="76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4"/>
        <v/>
      </c>
      <c r="U60"/>
      <c r="V60" s="34" t="str">
        <f>'Atest. Nr.1_1'!I56</f>
        <v/>
      </c>
      <c r="W60" s="34" t="str">
        <f>'Atest. Nr.1_2'!H56</f>
        <v/>
      </c>
      <c r="X60" s="34" t="str">
        <f>'Atest. Nr.1_3'!H56</f>
        <v/>
      </c>
      <c r="Y60" s="34" t="str">
        <f>'Atest. Nr.2_1'!I56</f>
        <v/>
      </c>
      <c r="Z60" s="34" t="str">
        <f>'Atest. Nr.2_2'!I56</f>
        <v/>
      </c>
      <c r="AA60" s="34" t="str">
        <f>'Atest. Nr.2_3'!I56</f>
        <v/>
      </c>
      <c r="AB60" s="34" t="str">
        <f>Examen!G56</f>
        <v/>
      </c>
      <c r="AC60" s="34" t="str">
        <f>ReExaminare!G56</f>
        <v/>
      </c>
      <c r="AD60" s="104" t="str">
        <f>IF(NOT(ISBLANK(B60)),
IF(SUM(E60:S60)+SUM(Laborator!E61:R61)&lt;&gt;0,SUM(E60:S60)+SUM(Laborator!E61:R61),""),
"")</f>
        <v/>
      </c>
      <c r="AE60" s="104"/>
      <c r="AH60" s="34" t="str">
        <f t="shared" si="5"/>
        <v/>
      </c>
      <c r="AI60" s="34" t="str">
        <f t="shared" si="6"/>
        <v/>
      </c>
      <c r="AJ60" s="34" t="str">
        <f>IF(NOT(ISBLANK(C60)),
IF(Laborator!AN61="Admis",ROUND(Laborator!AM61,0),"n/p"),"")</f>
        <v/>
      </c>
      <c r="AK60" s="34" t="str">
        <f>IF(NOT(ISBLANK(C60)),
IF('Lucrari grafice'!F56&lt;&gt;"n/p",'Lucrari grafice'!F56,"n/p"),"")</f>
        <v/>
      </c>
      <c r="AL60" s="34" t="str">
        <f t="shared" si="7"/>
        <v/>
      </c>
      <c r="AM60" s="34" t="str">
        <f t="shared" si="8"/>
        <v/>
      </c>
      <c r="AN60" s="107" t="str">
        <f t="shared" si="11"/>
        <v/>
      </c>
      <c r="AO60" s="33" t="str">
        <f t="shared" si="12"/>
        <v/>
      </c>
      <c r="AP60" s="34" t="str">
        <f t="shared" si="13"/>
        <v/>
      </c>
    </row>
    <row r="61" spans="2:42" x14ac:dyDescent="0.3">
      <c r="B61" s="34" t="str">
        <f>IF(NOT(ISBLANK(C61)),COUNTA($C$6:C61),"")</f>
        <v/>
      </c>
      <c r="C61" s="71"/>
      <c r="D61" s="76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4"/>
        <v/>
      </c>
      <c r="U61"/>
      <c r="V61" s="34" t="str">
        <f>'Atest. Nr.1_1'!I57</f>
        <v/>
      </c>
      <c r="W61" s="34" t="str">
        <f>'Atest. Nr.1_2'!H57</f>
        <v/>
      </c>
      <c r="X61" s="34" t="str">
        <f>'Atest. Nr.1_3'!H57</f>
        <v/>
      </c>
      <c r="Y61" s="34" t="str">
        <f>'Atest. Nr.2_1'!I57</f>
        <v/>
      </c>
      <c r="Z61" s="34" t="str">
        <f>'Atest. Nr.2_2'!I57</f>
        <v/>
      </c>
      <c r="AA61" s="34" t="str">
        <f>'Atest. Nr.2_3'!I57</f>
        <v/>
      </c>
      <c r="AB61" s="34" t="str">
        <f>Examen!G57</f>
        <v/>
      </c>
      <c r="AC61" s="34" t="str">
        <f>ReExaminare!G57</f>
        <v/>
      </c>
      <c r="AD61" s="104" t="str">
        <f>IF(NOT(ISBLANK(B61)),
IF(SUM(E61:S61)+SUM(Laborator!E62:R62)&lt;&gt;0,SUM(E61:S61)+SUM(Laborator!E62:R62),""),
"")</f>
        <v/>
      </c>
      <c r="AE61" s="104"/>
      <c r="AH61" s="34" t="str">
        <f t="shared" si="5"/>
        <v/>
      </c>
      <c r="AI61" s="34" t="str">
        <f t="shared" si="6"/>
        <v/>
      </c>
      <c r="AJ61" s="34" t="str">
        <f>IF(NOT(ISBLANK(C61)),
IF(Laborator!AN62="Admis",ROUND(Laborator!AM62,0),"n/p"),"")</f>
        <v/>
      </c>
      <c r="AK61" s="34" t="str">
        <f>IF(NOT(ISBLANK(C61)),
IF('Lucrari grafice'!F57&lt;&gt;"n/p",'Lucrari grafice'!F57,"n/p"),"")</f>
        <v/>
      </c>
      <c r="AL61" s="34" t="str">
        <f t="shared" si="7"/>
        <v/>
      </c>
      <c r="AM61" s="34" t="str">
        <f t="shared" si="8"/>
        <v/>
      </c>
      <c r="AN61" s="107" t="str">
        <f t="shared" si="11"/>
        <v/>
      </c>
      <c r="AO61" s="33" t="str">
        <f t="shared" si="12"/>
        <v/>
      </c>
      <c r="AP61" s="34" t="str">
        <f t="shared" si="13"/>
        <v/>
      </c>
    </row>
    <row r="62" spans="2:42" x14ac:dyDescent="0.3">
      <c r="B62" s="34" t="str">
        <f>IF(NOT(ISBLANK(C62)),COUNTA($C$6:C62),"")</f>
        <v/>
      </c>
      <c r="C62" s="71"/>
      <c r="D62" s="76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4"/>
        <v/>
      </c>
      <c r="U62"/>
      <c r="V62" s="34" t="str">
        <f>'Atest. Nr.1_1'!I58</f>
        <v/>
      </c>
      <c r="W62" s="34" t="str">
        <f>'Atest. Nr.1_2'!H58</f>
        <v/>
      </c>
      <c r="X62" s="34" t="str">
        <f>'Atest. Nr.1_3'!H58</f>
        <v/>
      </c>
      <c r="Y62" s="34" t="str">
        <f>'Atest. Nr.2_1'!I58</f>
        <v/>
      </c>
      <c r="Z62" s="34" t="str">
        <f>'Atest. Nr.2_2'!I58</f>
        <v/>
      </c>
      <c r="AA62" s="34" t="str">
        <f>'Atest. Nr.2_3'!I58</f>
        <v/>
      </c>
      <c r="AB62" s="34" t="str">
        <f>Examen!G58</f>
        <v/>
      </c>
      <c r="AC62" s="34" t="str">
        <f>ReExaminare!G58</f>
        <v/>
      </c>
      <c r="AD62" s="104" t="str">
        <f>IF(NOT(ISBLANK(B62)),
IF(SUM(E62:S62)+SUM(Laborator!E63:R63)&lt;&gt;0,SUM(E62:S62)+SUM(Laborator!E63:R63),""),
"")</f>
        <v/>
      </c>
      <c r="AE62" s="104"/>
      <c r="AH62" s="34" t="str">
        <f t="shared" si="5"/>
        <v/>
      </c>
      <c r="AI62" s="34" t="str">
        <f t="shared" si="6"/>
        <v/>
      </c>
      <c r="AJ62" s="34" t="str">
        <f>IF(NOT(ISBLANK(C62)),
IF(Laborator!AN63="Admis",ROUND(Laborator!AM63,0),"n/p"),"")</f>
        <v/>
      </c>
      <c r="AK62" s="34" t="str">
        <f>IF(NOT(ISBLANK(C62)),
IF('Lucrari grafice'!F58&lt;&gt;"n/p",'Lucrari grafice'!F58,"n/p"),"")</f>
        <v/>
      </c>
      <c r="AL62" s="34" t="str">
        <f t="shared" si="7"/>
        <v/>
      </c>
      <c r="AM62" s="34" t="str">
        <f t="shared" si="8"/>
        <v/>
      </c>
      <c r="AN62" s="107" t="str">
        <f t="shared" si="11"/>
        <v/>
      </c>
      <c r="AO62" s="33" t="str">
        <f t="shared" si="12"/>
        <v/>
      </c>
      <c r="AP62" s="34" t="str">
        <f t="shared" si="13"/>
        <v/>
      </c>
    </row>
    <row r="63" spans="2:42" x14ac:dyDescent="0.3">
      <c r="B63" s="34" t="str">
        <f>IF(NOT(ISBLANK(C63)),COUNTA($C$6:C63),"")</f>
        <v/>
      </c>
      <c r="C63" s="71"/>
      <c r="D63" s="76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4"/>
        <v/>
      </c>
      <c r="U63"/>
      <c r="V63" s="34" t="str">
        <f>'Atest. Nr.1_1'!I59</f>
        <v/>
      </c>
      <c r="W63" s="34" t="str">
        <f>'Atest. Nr.1_2'!H59</f>
        <v/>
      </c>
      <c r="X63" s="34" t="str">
        <f>'Atest. Nr.1_3'!H59</f>
        <v/>
      </c>
      <c r="Y63" s="34" t="str">
        <f>'Atest. Nr.2_1'!I59</f>
        <v/>
      </c>
      <c r="Z63" s="34" t="str">
        <f>'Atest. Nr.2_2'!I59</f>
        <v/>
      </c>
      <c r="AA63" s="34" t="str">
        <f>'Atest. Nr.2_3'!I59</f>
        <v/>
      </c>
      <c r="AB63" s="34" t="str">
        <f>Examen!G59</f>
        <v/>
      </c>
      <c r="AC63" s="34" t="str">
        <f>ReExaminare!G59</f>
        <v/>
      </c>
      <c r="AD63" s="104" t="str">
        <f>IF(NOT(ISBLANK(B63)),
IF(SUM(E63:S63)+SUM(Laborator!E64:R64)&lt;&gt;0,SUM(E63:S63)+SUM(Laborator!E64:R64),""),
"")</f>
        <v/>
      </c>
      <c r="AE63" s="104"/>
      <c r="AH63" s="34" t="str">
        <f t="shared" si="5"/>
        <v/>
      </c>
      <c r="AI63" s="34" t="str">
        <f t="shared" si="6"/>
        <v/>
      </c>
      <c r="AJ63" s="34" t="str">
        <f>IF(NOT(ISBLANK(C63)),
IF(Laborator!AN64="Admis",ROUND(Laborator!AM64,0),"n/p"),"")</f>
        <v/>
      </c>
      <c r="AK63" s="34" t="str">
        <f>IF(NOT(ISBLANK(C63)),
IF('Lucrari grafice'!F59&lt;&gt;"n/p",'Lucrari grafice'!F59,"n/p"),"")</f>
        <v/>
      </c>
      <c r="AL63" s="34" t="str">
        <f t="shared" si="7"/>
        <v/>
      </c>
      <c r="AM63" s="34" t="str">
        <f t="shared" si="8"/>
        <v/>
      </c>
      <c r="AN63" s="107" t="str">
        <f t="shared" si="11"/>
        <v/>
      </c>
      <c r="AO63" s="33" t="str">
        <f t="shared" si="12"/>
        <v/>
      </c>
      <c r="AP63" s="34" t="str">
        <f t="shared" si="13"/>
        <v/>
      </c>
    </row>
    <row r="64" spans="2:42" x14ac:dyDescent="0.3">
      <c r="B64" s="34" t="str">
        <f>IF(NOT(ISBLANK(C64)),COUNTA($C$6:C64),"")</f>
        <v/>
      </c>
      <c r="C64" s="71"/>
      <c r="D64" s="76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4"/>
        <v/>
      </c>
      <c r="U64"/>
      <c r="V64" s="34" t="str">
        <f>'Atest. Nr.1_1'!I60</f>
        <v/>
      </c>
      <c r="W64" s="34" t="str">
        <f>'Atest. Nr.1_2'!H60</f>
        <v/>
      </c>
      <c r="X64" s="34" t="str">
        <f>'Atest. Nr.1_3'!H60</f>
        <v/>
      </c>
      <c r="Y64" s="34" t="str">
        <f>'Atest. Nr.2_1'!I60</f>
        <v/>
      </c>
      <c r="Z64" s="34" t="str">
        <f>'Atest. Nr.2_2'!I60</f>
        <v/>
      </c>
      <c r="AA64" s="34" t="str">
        <f>'Atest. Nr.2_3'!I60</f>
        <v/>
      </c>
      <c r="AB64" s="34" t="str">
        <f>Examen!G60</f>
        <v/>
      </c>
      <c r="AC64" s="34" t="str">
        <f>ReExaminare!G60</f>
        <v/>
      </c>
      <c r="AD64" s="104" t="str">
        <f>IF(NOT(ISBLANK(B64)),
IF(SUM(E64:S64)+SUM(Laborator!E65:R65)&lt;&gt;0,SUM(E64:S64)+SUM(Laborator!E65:R65),""),
"")</f>
        <v/>
      </c>
      <c r="AE64" s="104"/>
      <c r="AH64" s="34" t="str">
        <f t="shared" si="5"/>
        <v/>
      </c>
      <c r="AI64" s="34" t="str">
        <f t="shared" si="6"/>
        <v/>
      </c>
      <c r="AJ64" s="34" t="str">
        <f>IF(NOT(ISBLANK(C64)),
IF(Laborator!AN65="Admis",ROUND(Laborator!AM65,0),"n/p"),"")</f>
        <v/>
      </c>
      <c r="AK64" s="34" t="str">
        <f>IF(NOT(ISBLANK(C64)),
IF('Lucrari grafice'!F60&lt;&gt;"n/p",'Lucrari grafice'!F60,"n/p"),"")</f>
        <v/>
      </c>
      <c r="AL64" s="34" t="str">
        <f t="shared" si="7"/>
        <v/>
      </c>
      <c r="AM64" s="34" t="str">
        <f t="shared" si="8"/>
        <v/>
      </c>
      <c r="AN64" s="107" t="str">
        <f t="shared" si="11"/>
        <v/>
      </c>
      <c r="AO64" s="33" t="str">
        <f t="shared" si="12"/>
        <v/>
      </c>
      <c r="AP64" s="34" t="str">
        <f t="shared" si="13"/>
        <v/>
      </c>
    </row>
    <row r="65" spans="2:42" x14ac:dyDescent="0.3">
      <c r="B65" s="34" t="str">
        <f>IF(NOT(ISBLANK(C65)),COUNTA($C$6:C65),"")</f>
        <v/>
      </c>
      <c r="C65" s="71"/>
      <c r="D65" s="76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4"/>
        <v/>
      </c>
      <c r="U65"/>
      <c r="V65" s="34" t="str">
        <f>'Atest. Nr.1_1'!I61</f>
        <v/>
      </c>
      <c r="W65" s="34" t="str">
        <f>'Atest. Nr.1_2'!H61</f>
        <v/>
      </c>
      <c r="X65" s="34" t="str">
        <f>'Atest. Nr.1_3'!H61</f>
        <v/>
      </c>
      <c r="Y65" s="34" t="str">
        <f>'Atest. Nr.2_1'!I61</f>
        <v/>
      </c>
      <c r="Z65" s="34" t="str">
        <f>'Atest. Nr.2_2'!I61</f>
        <v/>
      </c>
      <c r="AA65" s="34" t="str">
        <f>'Atest. Nr.2_3'!I61</f>
        <v/>
      </c>
      <c r="AB65" s="34" t="str">
        <f>Examen!G61</f>
        <v/>
      </c>
      <c r="AC65" s="34" t="str">
        <f>ReExaminare!G61</f>
        <v/>
      </c>
      <c r="AD65" s="104" t="str">
        <f>IF(NOT(ISBLANK(B65)),
IF(SUM(E65:S65)+SUM(Laborator!E66:R66)&lt;&gt;0,SUM(E65:S65)+SUM(Laborator!E66:R66),""),
"")</f>
        <v/>
      </c>
      <c r="AE65" s="104"/>
      <c r="AH65" s="34" t="str">
        <f t="shared" si="5"/>
        <v/>
      </c>
      <c r="AI65" s="34" t="str">
        <f t="shared" si="6"/>
        <v/>
      </c>
      <c r="AJ65" s="34" t="str">
        <f>IF(NOT(ISBLANK(C65)),
IF(Laborator!AN66="Admis",ROUND(Laborator!AM66,0),"n/p"),"")</f>
        <v/>
      </c>
      <c r="AK65" s="34" t="str">
        <f>IF(NOT(ISBLANK(C65)),
IF('Lucrari grafice'!F61&lt;&gt;"n/p",'Lucrari grafice'!F61,"n/p"),"")</f>
        <v/>
      </c>
      <c r="AL65" s="34" t="str">
        <f t="shared" si="7"/>
        <v/>
      </c>
      <c r="AM65" s="34" t="str">
        <f t="shared" si="8"/>
        <v/>
      </c>
      <c r="AN65" s="107" t="str">
        <f t="shared" si="11"/>
        <v/>
      </c>
      <c r="AO65" s="33" t="str">
        <f t="shared" si="12"/>
        <v/>
      </c>
      <c r="AP65" s="34" t="str">
        <f t="shared" si="13"/>
        <v/>
      </c>
    </row>
    <row r="66" spans="2:42" x14ac:dyDescent="0.3">
      <c r="B66" s="34" t="str">
        <f>IF(NOT(ISBLANK(C66)),COUNTA($C$6:C66),"")</f>
        <v/>
      </c>
      <c r="C66" s="71"/>
      <c r="D66" s="76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4"/>
        <v/>
      </c>
      <c r="U66"/>
      <c r="V66" s="34" t="str">
        <f>'Atest. Nr.1_1'!I62</f>
        <v/>
      </c>
      <c r="W66" s="34" t="str">
        <f>'Atest. Nr.1_2'!H62</f>
        <v/>
      </c>
      <c r="X66" s="34" t="str">
        <f>'Atest. Nr.1_3'!H62</f>
        <v/>
      </c>
      <c r="Y66" s="34" t="str">
        <f>'Atest. Nr.2_1'!I62</f>
        <v/>
      </c>
      <c r="Z66" s="34" t="str">
        <f>'Atest. Nr.2_2'!I62</f>
        <v/>
      </c>
      <c r="AA66" s="34" t="str">
        <f>'Atest. Nr.2_3'!I62</f>
        <v/>
      </c>
      <c r="AB66" s="34" t="str">
        <f>Examen!G62</f>
        <v/>
      </c>
      <c r="AC66" s="34" t="str">
        <f>ReExaminare!G62</f>
        <v/>
      </c>
      <c r="AD66" s="104" t="str">
        <f>IF(NOT(ISBLANK(B66)),
IF(SUM(E66:S66)+SUM(Laborator!E67:R67)&lt;&gt;0,SUM(E66:S66)+SUM(Laborator!E67:R67),""),
"")</f>
        <v/>
      </c>
      <c r="AE66" s="104"/>
      <c r="AH66" s="34" t="str">
        <f t="shared" si="5"/>
        <v/>
      </c>
      <c r="AI66" s="34" t="str">
        <f t="shared" si="6"/>
        <v/>
      </c>
      <c r="AJ66" s="34" t="str">
        <f>IF(NOT(ISBLANK(C66)),
IF(Laborator!AN67="Admis",ROUND(Laborator!AM67,0),"n/p"),"")</f>
        <v/>
      </c>
      <c r="AK66" s="34" t="str">
        <f>IF(NOT(ISBLANK(C66)),
IF('Lucrari grafice'!F62&lt;&gt;"n/p",'Lucrari grafice'!F62,"n/p"),"")</f>
        <v/>
      </c>
      <c r="AL66" s="34" t="str">
        <f t="shared" si="7"/>
        <v/>
      </c>
      <c r="AM66" s="34" t="str">
        <f t="shared" si="8"/>
        <v/>
      </c>
      <c r="AN66" s="107" t="str">
        <f t="shared" si="11"/>
        <v/>
      </c>
      <c r="AO66" s="33" t="str">
        <f t="shared" si="12"/>
        <v/>
      </c>
      <c r="AP66" s="34" t="str">
        <f t="shared" si="13"/>
        <v/>
      </c>
    </row>
    <row r="67" spans="2:42" x14ac:dyDescent="0.3">
      <c r="B67" s="34" t="str">
        <f>IF(NOT(ISBLANK(C67)),COUNTA($C$6:C67),"")</f>
        <v/>
      </c>
      <c r="C67" s="71"/>
      <c r="D67" s="76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4"/>
        <v/>
      </c>
      <c r="U67"/>
      <c r="V67" s="34" t="str">
        <f>'Atest. Nr.1_1'!I63</f>
        <v/>
      </c>
      <c r="W67" s="34" t="str">
        <f>'Atest. Nr.1_2'!H63</f>
        <v/>
      </c>
      <c r="X67" s="34" t="str">
        <f>'Atest. Nr.1_3'!H63</f>
        <v/>
      </c>
      <c r="Y67" s="34" t="str">
        <f>'Atest. Nr.2_1'!I63</f>
        <v/>
      </c>
      <c r="Z67" s="34" t="str">
        <f>'Atest. Nr.2_2'!I63</f>
        <v/>
      </c>
      <c r="AA67" s="34" t="str">
        <f>'Atest. Nr.2_3'!I63</f>
        <v/>
      </c>
      <c r="AB67" s="34" t="str">
        <f>Examen!G63</f>
        <v/>
      </c>
      <c r="AC67" s="34" t="str">
        <f>ReExaminare!G63</f>
        <v/>
      </c>
      <c r="AD67" s="104" t="str">
        <f>IF(NOT(ISBLANK(B67)),
IF(SUM(E67:S67)+SUM(Laborator!E68:R68)&lt;&gt;0,SUM(E67:S67)+SUM(Laborator!E68:R68),""),
"")</f>
        <v/>
      </c>
      <c r="AE67" s="104"/>
      <c r="AH67" s="34" t="str">
        <f t="shared" si="5"/>
        <v/>
      </c>
      <c r="AI67" s="34" t="str">
        <f t="shared" si="6"/>
        <v/>
      </c>
      <c r="AJ67" s="34" t="str">
        <f>IF(NOT(ISBLANK(C67)),
IF(Laborator!AN68="Admis",ROUND(Laborator!AM68,0),"n/p"),"")</f>
        <v/>
      </c>
      <c r="AK67" s="34" t="str">
        <f>IF(NOT(ISBLANK(C67)),
IF('Lucrari grafice'!F63&lt;&gt;"n/p",'Lucrari grafice'!F63,"n/p"),"")</f>
        <v/>
      </c>
      <c r="AL67" s="34" t="str">
        <f t="shared" si="7"/>
        <v/>
      </c>
      <c r="AM67" s="34" t="str">
        <f t="shared" si="8"/>
        <v/>
      </c>
      <c r="AN67" s="107" t="str">
        <f t="shared" si="11"/>
        <v/>
      </c>
      <c r="AO67" s="33" t="str">
        <f t="shared" si="12"/>
        <v/>
      </c>
      <c r="AP67" s="34" t="str">
        <f t="shared" si="13"/>
        <v/>
      </c>
    </row>
    <row r="68" spans="2:42" x14ac:dyDescent="0.3">
      <c r="B68" s="34" t="str">
        <f>IF(NOT(ISBLANK(C68)),COUNTA($C$6:C68),"")</f>
        <v/>
      </c>
      <c r="C68" s="71"/>
      <c r="D68" s="76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4"/>
        <v/>
      </c>
      <c r="U68"/>
      <c r="V68" s="34" t="str">
        <f>'Atest. Nr.1_1'!I64</f>
        <v/>
      </c>
      <c r="W68" s="34" t="str">
        <f>'Atest. Nr.1_2'!H64</f>
        <v/>
      </c>
      <c r="X68" s="34" t="str">
        <f>'Atest. Nr.1_3'!H64</f>
        <v/>
      </c>
      <c r="Y68" s="34" t="str">
        <f>'Atest. Nr.2_1'!I64</f>
        <v/>
      </c>
      <c r="Z68" s="34" t="str">
        <f>'Atest. Nr.2_2'!I64</f>
        <v/>
      </c>
      <c r="AA68" s="34" t="str">
        <f>'Atest. Nr.2_3'!I64</f>
        <v/>
      </c>
      <c r="AB68" s="34" t="str">
        <f>Examen!G64</f>
        <v/>
      </c>
      <c r="AC68" s="34" t="str">
        <f>ReExaminare!G64</f>
        <v/>
      </c>
      <c r="AD68" s="104" t="str">
        <f>IF(NOT(ISBLANK(B68)),
IF(SUM(E68:S68)+SUM(Laborator!E69:R69)&lt;&gt;0,SUM(E68:S68)+SUM(Laborator!E69:R69),""),
"")</f>
        <v/>
      </c>
      <c r="AE68" s="104"/>
      <c r="AH68" s="34" t="str">
        <f t="shared" si="5"/>
        <v/>
      </c>
      <c r="AI68" s="34" t="str">
        <f t="shared" si="6"/>
        <v/>
      </c>
      <c r="AJ68" s="34" t="str">
        <f>IF(NOT(ISBLANK(C68)),
IF(Laborator!AN69="Admis",ROUND(Laborator!AM69,0),"n/p"),"")</f>
        <v/>
      </c>
      <c r="AK68" s="34" t="str">
        <f>IF(NOT(ISBLANK(C68)),
IF('Lucrari grafice'!F64&lt;&gt;"n/p",'Lucrari grafice'!F64,"n/p"),"")</f>
        <v/>
      </c>
      <c r="AL68" s="34" t="str">
        <f t="shared" si="7"/>
        <v/>
      </c>
      <c r="AM68" s="34" t="str">
        <f t="shared" si="8"/>
        <v/>
      </c>
      <c r="AN68" s="107" t="str">
        <f t="shared" si="11"/>
        <v/>
      </c>
      <c r="AO68" s="33" t="str">
        <f t="shared" si="12"/>
        <v/>
      </c>
      <c r="AP68" s="34" t="str">
        <f t="shared" si="13"/>
        <v/>
      </c>
    </row>
    <row r="69" spans="2:42" x14ac:dyDescent="0.3">
      <c r="B69" s="34" t="str">
        <f>IF(NOT(ISBLANK(C69)),COUNTA($C$6:C69),"")</f>
        <v/>
      </c>
      <c r="C69" s="71"/>
      <c r="D69" s="76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4"/>
        <v/>
      </c>
      <c r="U69"/>
      <c r="V69" s="34" t="str">
        <f>'Atest. Nr.1_1'!I65</f>
        <v/>
      </c>
      <c r="W69" s="34" t="str">
        <f>'Atest. Nr.1_2'!H65</f>
        <v/>
      </c>
      <c r="X69" s="34" t="str">
        <f>'Atest. Nr.1_3'!H65</f>
        <v/>
      </c>
      <c r="Y69" s="34" t="str">
        <f>'Atest. Nr.2_1'!I65</f>
        <v/>
      </c>
      <c r="Z69" s="34" t="str">
        <f>'Atest. Nr.2_2'!I65</f>
        <v/>
      </c>
      <c r="AA69" s="34" t="str">
        <f>'Atest. Nr.2_3'!I65</f>
        <v/>
      </c>
      <c r="AB69" s="34" t="str">
        <f>Examen!G65</f>
        <v/>
      </c>
      <c r="AC69" s="34" t="str">
        <f>ReExaminare!G65</f>
        <v/>
      </c>
      <c r="AD69" s="104" t="str">
        <f>IF(NOT(ISBLANK(B69)),
IF(SUM(E69:S69)+SUM(Laborator!E70:R70)&lt;&gt;0,SUM(E69:S69)+SUM(Laborator!E70:R70),""),
"")</f>
        <v/>
      </c>
      <c r="AE69" s="104"/>
      <c r="AH69" s="34" t="str">
        <f t="shared" si="5"/>
        <v/>
      </c>
      <c r="AI69" s="34" t="str">
        <f t="shared" si="6"/>
        <v/>
      </c>
      <c r="AJ69" s="34" t="str">
        <f>IF(NOT(ISBLANK(C69)),
IF(Laborator!AN70="Admis",ROUND(Laborator!AM70,0),"n/p"),"")</f>
        <v/>
      </c>
      <c r="AK69" s="34" t="str">
        <f>IF(NOT(ISBLANK(C69)),
IF('Lucrari grafice'!F65&lt;&gt;"n/p",'Lucrari grafice'!F65,"n/p"),"")</f>
        <v/>
      </c>
      <c r="AL69" s="34" t="str">
        <f t="shared" si="7"/>
        <v/>
      </c>
      <c r="AM69" s="34" t="str">
        <f t="shared" si="8"/>
        <v/>
      </c>
      <c r="AN69" s="107" t="str">
        <f t="shared" si="11"/>
        <v/>
      </c>
      <c r="AO69" s="33" t="str">
        <f t="shared" si="12"/>
        <v/>
      </c>
      <c r="AP69" s="34" t="str">
        <f t="shared" si="13"/>
        <v/>
      </c>
    </row>
    <row r="70" spans="2:42" x14ac:dyDescent="0.3">
      <c r="B70" s="34" t="str">
        <f>IF(NOT(ISBLANK(C70)),COUNTA($C$6:C70),"")</f>
        <v/>
      </c>
      <c r="C70" s="71"/>
      <c r="D70" s="76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4"/>
        <v/>
      </c>
      <c r="U70"/>
      <c r="V70" s="34" t="str">
        <f>'Atest. Nr.1_1'!I66</f>
        <v/>
      </c>
      <c r="W70" s="34" t="str">
        <f>'Atest. Nr.1_2'!H66</f>
        <v/>
      </c>
      <c r="X70" s="34" t="str">
        <f>'Atest. Nr.1_3'!H66</f>
        <v/>
      </c>
      <c r="Y70" s="34" t="str">
        <f>'Atest. Nr.2_1'!I66</f>
        <v/>
      </c>
      <c r="Z70" s="34" t="str">
        <f>'Atest. Nr.2_2'!I66</f>
        <v/>
      </c>
      <c r="AA70" s="34" t="str">
        <f>'Atest. Nr.2_3'!I66</f>
        <v/>
      </c>
      <c r="AB70" s="34" t="str">
        <f>Examen!G66</f>
        <v/>
      </c>
      <c r="AC70" s="34" t="str">
        <f>ReExaminare!G66</f>
        <v/>
      </c>
      <c r="AD70" s="104" t="str">
        <f>IF(NOT(ISBLANK(B70)),
IF(SUM(E70:S70)+SUM(Laborator!E71:R71)&lt;&gt;0,SUM(E70:S70)+SUM(Laborator!E71:R71),""),
"")</f>
        <v/>
      </c>
      <c r="AE70" s="104"/>
      <c r="AH70" s="34" t="str">
        <f t="shared" si="5"/>
        <v/>
      </c>
      <c r="AI70" s="34" t="str">
        <f t="shared" si="6"/>
        <v/>
      </c>
      <c r="AJ70" s="34" t="str">
        <f>IF(NOT(ISBLANK(C70)),
IF(Laborator!AN71="Admis",ROUND(Laborator!AM71,0),"n/p"),"")</f>
        <v/>
      </c>
      <c r="AK70" s="34" t="str">
        <f>IF(NOT(ISBLANK(C70)),
IF('Lucrari grafice'!F66&lt;&gt;"n/p",'Lucrari grafice'!F66,"n/p"),"")</f>
        <v/>
      </c>
      <c r="AL70" s="34" t="str">
        <f t="shared" si="7"/>
        <v/>
      </c>
      <c r="AM70" s="34" t="str">
        <f t="shared" si="8"/>
        <v/>
      </c>
      <c r="AN70" s="107" t="str">
        <f t="shared" ref="AN70:AN101" si="14">IF(NOT(ISBLANK(C70)),
IF(OR(AM70="n/a",AM70="n/p")," ",
IF(AM70&lt;5,AM70,TRUNC(AL70*0.6+AM70*0.4,2))),
"")</f>
        <v/>
      </c>
      <c r="AO70" s="33" t="str">
        <f t="shared" ref="AO70:AO101" si="15">IF(NOT(ISBLANK(C70)),
IF(AN70=" "," ",
IF(AND(AN70&gt;=1,AN70&lt;2),"(unu, "&amp;ROUNDUP(MOD(AN70*100,100),0)&amp;")",
IF(AND(AN70&gt;=2,AN70&lt;3),"(doi, "&amp;ROUNDUP(MOD(AN70*100,100),0)&amp;")",
IF(AND(AN70&gt;=3,AN70&lt;4),"(trei, "&amp;ROUNDUP(MOD(AN70*100,100),0)&amp;")",
IF(AND(AN70&gt;=4,AN70&lt;5),"(patru, "&amp;ROUNDUP(MOD(AN70*100,100),0)&amp;")",
IF(AND(AN70&gt;=5,AN70&lt;6),"(cinci, "&amp;ROUNDUP(MOD(AN70*100,100),0)&amp;")",
IF(AND(AN70&gt;=6,AN70&lt;7),"(şase, "&amp;ROUNDUP(MOD(AN70*100,100),0)&amp;")",
IF(AND(AN70&gt;=7,AN70&lt;8),"(şapte, "&amp;ROUNDUP(MOD(AN70*100,100),0)&amp;")",
IF(AND(AN70&gt;=8,AN70&lt;9),"(opt, "&amp;ROUNDUP(MOD(AN70*100,100),0)&amp;")",
IF(AND(AN70&gt;=9,AN70&lt;10),"(nouă, "&amp;ROUNDUP(MOD(AN70*100,100),0)&amp;")",
IF(AN70=10,"(zece, 00)",
))))))))))),"")</f>
        <v/>
      </c>
      <c r="AP70" s="34" t="str">
        <f t="shared" ref="AP70:AP106" si="16">IF(NOT(ISBLANK(C70)),
IF(AN70=" ","  ",
IF(AND(AN70&gt;=1,AN70&lt;=3),"F",
IF(AND(AN70&gt;3,AN70&lt;5),"FX",
IF(AND(AN70&gt;=5,AN70&lt;=6),"E",
IF(AND(AN70&gt;6,AN70&lt;=7),"D",
IF(AND(AN70&gt;7,AN70&lt;=8),"C",
IF(AND(AN70&gt;8,AN70&lt;=9),"B",
IF(AND(AN70&gt;9,AN70&lt;=10),"A",
)))))))),"")</f>
        <v/>
      </c>
    </row>
    <row r="71" spans="2:42" x14ac:dyDescent="0.3">
      <c r="B71" s="34" t="str">
        <f>IF(NOT(ISBLANK(C71)),COUNTA($C$6:C71),"")</f>
        <v/>
      </c>
      <c r="C71" s="71"/>
      <c r="D71" s="76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ref="T71:T105" si="17">IF(NOT(ISBLANK(C71)),IF(COUNTIF(E71:S71,"a")&lt;&gt;0,COUNTIF(E71:S71,"a")*2,""),"")</f>
        <v/>
      </c>
      <c r="U71"/>
      <c r="V71" s="34" t="str">
        <f>'Atest. Nr.1_1'!I67</f>
        <v/>
      </c>
      <c r="W71" s="34" t="str">
        <f>'Atest. Nr.1_2'!H67</f>
        <v/>
      </c>
      <c r="X71" s="34" t="str">
        <f>'Atest. Nr.1_3'!H67</f>
        <v/>
      </c>
      <c r="Y71" s="34" t="str">
        <f>'Atest. Nr.2_1'!I67</f>
        <v/>
      </c>
      <c r="Z71" s="34" t="str">
        <f>'Atest. Nr.2_2'!I67</f>
        <v/>
      </c>
      <c r="AA71" s="34" t="str">
        <f>'Atest. Nr.2_3'!I67</f>
        <v/>
      </c>
      <c r="AB71" s="34" t="str">
        <f>Examen!G67</f>
        <v/>
      </c>
      <c r="AC71" s="34" t="str">
        <f>ReExaminare!G67</f>
        <v/>
      </c>
      <c r="AD71" s="104" t="str">
        <f>IF(NOT(ISBLANK(B71)),
IF(SUM(E71:S71)+SUM(Laborator!E72:R72)&lt;&gt;0,SUM(E71:S71)+SUM(Laborator!E72:R72),""),
"")</f>
        <v/>
      </c>
      <c r="AE71" s="104"/>
      <c r="AH71" s="34" t="str">
        <f t="shared" ref="AH71:AH105" si="18">IF(NOT(ISBLANK(C71)),
IF(COUNT(MAX(AVERAGE(V71:X71),0)),MAX(V71:X71),"n/p"),
"")</f>
        <v/>
      </c>
      <c r="AI71" s="34" t="str">
        <f t="shared" ref="AI71:AI105" si="19">IF(NOT(ISBLANK(C71)),
IF(COUNT(MAX(AVERAGE(Y71:AA71),0)),MAX(Y71:AA71),"n/p"),
"")</f>
        <v/>
      </c>
      <c r="AJ71" s="34" t="str">
        <f>IF(NOT(ISBLANK(C71)),
IF(Laborator!AN72="Admis",ROUND(Laborator!AM72,0),"n/p"),"")</f>
        <v/>
      </c>
      <c r="AK71" s="34" t="str">
        <f>IF(NOT(ISBLANK(C71)),
IF('Lucrari grafice'!F67&lt;&gt;"n/p",'Lucrari grafice'!F67,"n/p"),"")</f>
        <v/>
      </c>
      <c r="AL71" s="34" t="str">
        <f t="shared" ref="AL71:AL105" si="20">IF(NOT(ISBLANK(C71)),
IF(OR(AH71="n/p",AI71="n/p",AJ71="n/p",AK71="n/p",AH71&lt;5,AI71&lt;5,AJ71&lt;5,AK71&lt;5)," ",TRUNC(SUM(AH71:AK71)/4,2)),
"")</f>
        <v/>
      </c>
      <c r="AM71" s="34" t="str">
        <f t="shared" ref="AM71:AM105" si="21">IF(NOT(ISBLANK(C71)),
IF(AL71=" ","n/a",
IF(AG71,AG71,
IF(COUNT(MAX(AVERAGE(AB71:AC71),0)),MAX(AB71:AC71),"n/p"))),
"")</f>
        <v/>
      </c>
      <c r="AN71" s="107" t="str">
        <f t="shared" si="14"/>
        <v/>
      </c>
      <c r="AO71" s="33" t="str">
        <f t="shared" si="15"/>
        <v/>
      </c>
      <c r="AP71" s="34" t="str">
        <f t="shared" si="16"/>
        <v/>
      </c>
    </row>
    <row r="72" spans="2:42" x14ac:dyDescent="0.3">
      <c r="B72" s="34" t="str">
        <f>IF(NOT(ISBLANK(C72)),COUNTA($C$6:C72),"")</f>
        <v/>
      </c>
      <c r="C72" s="71"/>
      <c r="D72" s="76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si="17"/>
        <v/>
      </c>
      <c r="U72"/>
      <c r="V72" s="34" t="str">
        <f>'Atest. Nr.1_1'!I68</f>
        <v/>
      </c>
      <c r="W72" s="34" t="str">
        <f>'Atest. Nr.1_2'!H68</f>
        <v/>
      </c>
      <c r="X72" s="34" t="str">
        <f>'Atest. Nr.1_3'!H68</f>
        <v/>
      </c>
      <c r="Y72" s="34" t="str">
        <f>'Atest. Nr.2_1'!I68</f>
        <v/>
      </c>
      <c r="Z72" s="34" t="str">
        <f>'Atest. Nr.2_2'!I68</f>
        <v/>
      </c>
      <c r="AA72" s="34" t="str">
        <f>'Atest. Nr.2_3'!I68</f>
        <v/>
      </c>
      <c r="AB72" s="34" t="str">
        <f>Examen!G68</f>
        <v/>
      </c>
      <c r="AC72" s="34" t="str">
        <f>ReExaminare!G68</f>
        <v/>
      </c>
      <c r="AD72" s="104" t="str">
        <f>IF(NOT(ISBLANK(B72)),
IF(SUM(E72:S72)+SUM(Laborator!E73:R73)&lt;&gt;0,SUM(E72:S72)+SUM(Laborator!E73:R73),""),
"")</f>
        <v/>
      </c>
      <c r="AE72" s="104"/>
      <c r="AH72" s="34" t="str">
        <f t="shared" si="18"/>
        <v/>
      </c>
      <c r="AI72" s="34" t="str">
        <f t="shared" si="19"/>
        <v/>
      </c>
      <c r="AJ72" s="34" t="str">
        <f>IF(NOT(ISBLANK(C72)),
IF(Laborator!AN73="Admis",ROUND(Laborator!AM73,0),"n/p"),"")</f>
        <v/>
      </c>
      <c r="AK72" s="34" t="str">
        <f>IF(NOT(ISBLANK(C72)),
IF('Lucrari grafice'!F68&lt;&gt;"n/p",'Lucrari grafice'!F68,"n/p"),"")</f>
        <v/>
      </c>
      <c r="AL72" s="34" t="str">
        <f t="shared" si="20"/>
        <v/>
      </c>
      <c r="AM72" s="34" t="str">
        <f t="shared" si="21"/>
        <v/>
      </c>
      <c r="AN72" s="107" t="str">
        <f t="shared" si="14"/>
        <v/>
      </c>
      <c r="AO72" s="33" t="str">
        <f t="shared" si="15"/>
        <v/>
      </c>
      <c r="AP72" s="34" t="str">
        <f t="shared" si="16"/>
        <v/>
      </c>
    </row>
    <row r="73" spans="2:42" x14ac:dyDescent="0.3">
      <c r="B73" s="34" t="str">
        <f>IF(NOT(ISBLANK(C73)),COUNTA($C$6:C73),"")</f>
        <v/>
      </c>
      <c r="C73" s="71"/>
      <c r="D73" s="76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17"/>
        <v/>
      </c>
      <c r="U73"/>
      <c r="V73" s="34" t="str">
        <f>'Atest. Nr.1_1'!I69</f>
        <v/>
      </c>
      <c r="W73" s="34" t="str">
        <f>'Atest. Nr.1_2'!H69</f>
        <v/>
      </c>
      <c r="X73" s="34" t="str">
        <f>'Atest. Nr.1_3'!H69</f>
        <v/>
      </c>
      <c r="Y73" s="34" t="str">
        <f>'Atest. Nr.2_1'!I69</f>
        <v/>
      </c>
      <c r="Z73" s="34" t="str">
        <f>'Atest. Nr.2_2'!I69</f>
        <v/>
      </c>
      <c r="AA73" s="34" t="str">
        <f>'Atest. Nr.2_3'!I69</f>
        <v/>
      </c>
      <c r="AB73" s="34" t="str">
        <f>Examen!G69</f>
        <v/>
      </c>
      <c r="AC73" s="34" t="str">
        <f>ReExaminare!G69</f>
        <v/>
      </c>
      <c r="AD73" s="104" t="str">
        <f>IF(NOT(ISBLANK(B73)),
IF(SUM(E73:S73)+SUM(Laborator!E74:R74)&lt;&gt;0,SUM(E73:S73)+SUM(Laborator!E74:R74),""),
"")</f>
        <v/>
      </c>
      <c r="AE73" s="104"/>
      <c r="AH73" s="34" t="str">
        <f t="shared" si="18"/>
        <v/>
      </c>
      <c r="AI73" s="34" t="str">
        <f t="shared" si="19"/>
        <v/>
      </c>
      <c r="AJ73" s="34" t="str">
        <f>IF(NOT(ISBLANK(C73)),
IF(Laborator!AN74="Admis",ROUND(Laborator!AM74,0),"n/p"),"")</f>
        <v/>
      </c>
      <c r="AK73" s="34" t="str">
        <f>IF(NOT(ISBLANK(C73)),
IF('Lucrari grafice'!F69&lt;&gt;"n/p",'Lucrari grafice'!F69,"n/p"),"")</f>
        <v/>
      </c>
      <c r="AL73" s="34" t="str">
        <f t="shared" si="20"/>
        <v/>
      </c>
      <c r="AM73" s="34" t="str">
        <f t="shared" si="21"/>
        <v/>
      </c>
      <c r="AN73" s="107" t="str">
        <f t="shared" si="14"/>
        <v/>
      </c>
      <c r="AO73" s="33" t="str">
        <f t="shared" si="15"/>
        <v/>
      </c>
      <c r="AP73" s="34" t="str">
        <f t="shared" si="16"/>
        <v/>
      </c>
    </row>
    <row r="74" spans="2:42" x14ac:dyDescent="0.3">
      <c r="B74" s="34" t="str">
        <f>IF(NOT(ISBLANK(C74)),COUNTA($C$6:C74),"")</f>
        <v/>
      </c>
      <c r="C74" s="71"/>
      <c r="D74" s="76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17"/>
        <v/>
      </c>
      <c r="U74"/>
      <c r="V74" s="34" t="str">
        <f>'Atest. Nr.1_1'!I70</f>
        <v/>
      </c>
      <c r="W74" s="34" t="str">
        <f>'Atest. Nr.1_2'!H70</f>
        <v/>
      </c>
      <c r="X74" s="34" t="str">
        <f>'Atest. Nr.1_3'!H70</f>
        <v/>
      </c>
      <c r="Y74" s="34" t="str">
        <f>'Atest. Nr.2_1'!I70</f>
        <v/>
      </c>
      <c r="Z74" s="34" t="str">
        <f>'Atest. Nr.2_2'!I70</f>
        <v/>
      </c>
      <c r="AA74" s="34" t="str">
        <f>'Atest. Nr.2_3'!I70</f>
        <v/>
      </c>
      <c r="AB74" s="34" t="str">
        <f>Examen!G70</f>
        <v/>
      </c>
      <c r="AC74" s="34" t="str">
        <f>ReExaminare!G70</f>
        <v/>
      </c>
      <c r="AD74" s="104" t="str">
        <f>IF(NOT(ISBLANK(B74)),
IF(SUM(E74:S74)+SUM(Laborator!E75:R75)&lt;&gt;0,SUM(E74:S74)+SUM(Laborator!E75:R75),""),
"")</f>
        <v/>
      </c>
      <c r="AE74" s="104"/>
      <c r="AH74" s="34" t="str">
        <f t="shared" si="18"/>
        <v/>
      </c>
      <c r="AI74" s="34" t="str">
        <f t="shared" si="19"/>
        <v/>
      </c>
      <c r="AJ74" s="34" t="str">
        <f>IF(NOT(ISBLANK(C74)),
IF(Laborator!AN75="Admis",ROUND(Laborator!AM75,0),"n/p"),"")</f>
        <v/>
      </c>
      <c r="AK74" s="34" t="str">
        <f>IF(NOT(ISBLANK(C74)),
IF('Lucrari grafice'!F70&lt;&gt;"n/p",'Lucrari grafice'!F70,"n/p"),"")</f>
        <v/>
      </c>
      <c r="AL74" s="34" t="str">
        <f t="shared" si="20"/>
        <v/>
      </c>
      <c r="AM74" s="34" t="str">
        <f t="shared" si="21"/>
        <v/>
      </c>
      <c r="AN74" s="107" t="str">
        <f t="shared" si="14"/>
        <v/>
      </c>
      <c r="AO74" s="33" t="str">
        <f t="shared" si="15"/>
        <v/>
      </c>
      <c r="AP74" s="34" t="str">
        <f t="shared" si="16"/>
        <v/>
      </c>
    </row>
    <row r="75" spans="2:42" x14ac:dyDescent="0.3">
      <c r="B75" s="34" t="str">
        <f>IF(NOT(ISBLANK(C75)),COUNTA($C$6:C75),"")</f>
        <v/>
      </c>
      <c r="C75" s="71"/>
      <c r="D75" s="76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17"/>
        <v/>
      </c>
      <c r="U75"/>
      <c r="V75" s="34" t="str">
        <f>'Atest. Nr.1_1'!I71</f>
        <v/>
      </c>
      <c r="W75" s="34" t="str">
        <f>'Atest. Nr.1_2'!H71</f>
        <v/>
      </c>
      <c r="X75" s="34" t="str">
        <f>'Atest. Nr.1_3'!H71</f>
        <v/>
      </c>
      <c r="Y75" s="34" t="str">
        <f>'Atest. Nr.2_1'!I71</f>
        <v/>
      </c>
      <c r="Z75" s="34" t="str">
        <f>'Atest. Nr.2_2'!I71</f>
        <v/>
      </c>
      <c r="AA75" s="34" t="str">
        <f>'Atest. Nr.2_3'!I71</f>
        <v/>
      </c>
      <c r="AB75" s="34" t="str">
        <f>Examen!G71</f>
        <v/>
      </c>
      <c r="AC75" s="34" t="str">
        <f>ReExaminare!G71</f>
        <v/>
      </c>
      <c r="AD75" s="104" t="str">
        <f>IF(NOT(ISBLANK(B75)),
IF(SUM(E75:S75)+SUM(Laborator!E76:R76)&lt;&gt;0,SUM(E75:S75)+SUM(Laborator!E76:R76),""),
"")</f>
        <v/>
      </c>
      <c r="AE75" s="104"/>
      <c r="AH75" s="34" t="str">
        <f t="shared" si="18"/>
        <v/>
      </c>
      <c r="AI75" s="34" t="str">
        <f t="shared" si="19"/>
        <v/>
      </c>
      <c r="AJ75" s="34" t="str">
        <f>IF(NOT(ISBLANK(C75)),
IF(Laborator!AN76="Admis",ROUND(Laborator!AM76,0),"n/p"),"")</f>
        <v/>
      </c>
      <c r="AK75" s="34" t="str">
        <f>IF(NOT(ISBLANK(C75)),
IF('Lucrari grafice'!F71&lt;&gt;"n/p",'Lucrari grafice'!F71,"n/p"),"")</f>
        <v/>
      </c>
      <c r="AL75" s="34" t="str">
        <f t="shared" si="20"/>
        <v/>
      </c>
      <c r="AM75" s="34" t="str">
        <f t="shared" si="21"/>
        <v/>
      </c>
      <c r="AN75" s="107" t="str">
        <f t="shared" si="14"/>
        <v/>
      </c>
      <c r="AO75" s="33" t="str">
        <f t="shared" si="15"/>
        <v/>
      </c>
      <c r="AP75" s="34" t="str">
        <f t="shared" si="16"/>
        <v/>
      </c>
    </row>
    <row r="76" spans="2:42" x14ac:dyDescent="0.3">
      <c r="B76" s="34" t="str">
        <f>IF(NOT(ISBLANK(C76)),COUNTA($C$6:C76),"")</f>
        <v/>
      </c>
      <c r="C76" s="71"/>
      <c r="D76" s="76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17"/>
        <v/>
      </c>
      <c r="U76"/>
      <c r="V76" s="34" t="str">
        <f>'Atest. Nr.1_1'!I72</f>
        <v/>
      </c>
      <c r="W76" s="34" t="str">
        <f>'Atest. Nr.1_2'!H72</f>
        <v/>
      </c>
      <c r="X76" s="34" t="str">
        <f>'Atest. Nr.1_3'!H72</f>
        <v/>
      </c>
      <c r="Y76" s="34" t="str">
        <f>'Atest. Nr.2_1'!I72</f>
        <v/>
      </c>
      <c r="Z76" s="34" t="str">
        <f>'Atest. Nr.2_2'!I72</f>
        <v/>
      </c>
      <c r="AA76" s="34" t="str">
        <f>'Atest. Nr.2_3'!I72</f>
        <v/>
      </c>
      <c r="AB76" s="34" t="str">
        <f>Examen!G72</f>
        <v/>
      </c>
      <c r="AC76" s="34" t="str">
        <f>ReExaminare!G72</f>
        <v/>
      </c>
      <c r="AD76" s="104" t="str">
        <f>IF(NOT(ISBLANK(B76)),
IF(SUM(E76:S76)+SUM(Laborator!E77:R77)&lt;&gt;0,SUM(E76:S76)+SUM(Laborator!E77:R77),""),
"")</f>
        <v/>
      </c>
      <c r="AE76" s="104"/>
      <c r="AH76" s="34" t="str">
        <f t="shared" si="18"/>
        <v/>
      </c>
      <c r="AI76" s="34" t="str">
        <f t="shared" si="19"/>
        <v/>
      </c>
      <c r="AJ76" s="34" t="str">
        <f>IF(NOT(ISBLANK(C76)),
IF(Laborator!AN77="Admis",ROUND(Laborator!AM77,0),"n/p"),"")</f>
        <v/>
      </c>
      <c r="AK76" s="34" t="str">
        <f>IF(NOT(ISBLANK(C76)),
IF('Lucrari grafice'!F72&lt;&gt;"n/p",'Lucrari grafice'!F72,"n/p"),"")</f>
        <v/>
      </c>
      <c r="AL76" s="34" t="str">
        <f t="shared" si="20"/>
        <v/>
      </c>
      <c r="AM76" s="34" t="str">
        <f t="shared" si="21"/>
        <v/>
      </c>
      <c r="AN76" s="107" t="str">
        <f t="shared" si="14"/>
        <v/>
      </c>
      <c r="AO76" s="33" t="str">
        <f t="shared" si="15"/>
        <v/>
      </c>
      <c r="AP76" s="34" t="str">
        <f t="shared" si="16"/>
        <v/>
      </c>
    </row>
    <row r="77" spans="2:42" x14ac:dyDescent="0.3">
      <c r="B77" s="34" t="str">
        <f>IF(NOT(ISBLANK(C77)),COUNTA($C$6:C77),"")</f>
        <v/>
      </c>
      <c r="C77" s="71"/>
      <c r="D77" s="76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17"/>
        <v/>
      </c>
      <c r="U77"/>
      <c r="V77" s="34" t="str">
        <f>'Atest. Nr.1_1'!I73</f>
        <v/>
      </c>
      <c r="W77" s="34" t="str">
        <f>'Atest. Nr.1_2'!H73</f>
        <v/>
      </c>
      <c r="X77" s="34" t="str">
        <f>'Atest. Nr.1_3'!H73</f>
        <v/>
      </c>
      <c r="Y77" s="34" t="str">
        <f>'Atest. Nr.2_1'!I73</f>
        <v/>
      </c>
      <c r="Z77" s="34" t="str">
        <f>'Atest. Nr.2_2'!I73</f>
        <v/>
      </c>
      <c r="AA77" s="34" t="str">
        <f>'Atest. Nr.2_3'!I73</f>
        <v/>
      </c>
      <c r="AB77" s="34" t="str">
        <f>Examen!G73</f>
        <v/>
      </c>
      <c r="AC77" s="34" t="str">
        <f>ReExaminare!G73</f>
        <v/>
      </c>
      <c r="AD77" s="104" t="str">
        <f>IF(NOT(ISBLANK(B77)),
IF(SUM(E77:S77)+SUM(Laborator!E78:R78)&lt;&gt;0,SUM(E77:S77)+SUM(Laborator!E78:R78),""),
"")</f>
        <v/>
      </c>
      <c r="AE77" s="104"/>
      <c r="AH77" s="34" t="str">
        <f t="shared" si="18"/>
        <v/>
      </c>
      <c r="AI77" s="34" t="str">
        <f t="shared" si="19"/>
        <v/>
      </c>
      <c r="AJ77" s="34" t="str">
        <f>IF(NOT(ISBLANK(C77)),
IF(Laborator!AN78="Admis",ROUND(Laborator!AM78,0),"n/p"),"")</f>
        <v/>
      </c>
      <c r="AK77" s="34" t="str">
        <f>IF(NOT(ISBLANK(C77)),
IF('Lucrari grafice'!F73&lt;&gt;"n/p",'Lucrari grafice'!F73,"n/p"),"")</f>
        <v/>
      </c>
      <c r="AL77" s="34" t="str">
        <f t="shared" si="20"/>
        <v/>
      </c>
      <c r="AM77" s="34" t="str">
        <f t="shared" si="21"/>
        <v/>
      </c>
      <c r="AN77" s="107" t="str">
        <f t="shared" si="14"/>
        <v/>
      </c>
      <c r="AO77" s="33" t="str">
        <f t="shared" si="15"/>
        <v/>
      </c>
      <c r="AP77" s="34" t="str">
        <f t="shared" si="16"/>
        <v/>
      </c>
    </row>
    <row r="78" spans="2:42" x14ac:dyDescent="0.3">
      <c r="B78" s="34" t="str">
        <f>IF(NOT(ISBLANK(C78)),COUNTA($C$6:C78),"")</f>
        <v/>
      </c>
      <c r="C78" s="71"/>
      <c r="D78" s="76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17"/>
        <v/>
      </c>
      <c r="U78"/>
      <c r="V78" s="34" t="str">
        <f>'Atest. Nr.1_1'!I74</f>
        <v/>
      </c>
      <c r="W78" s="34" t="str">
        <f>'Atest. Nr.1_2'!H74</f>
        <v/>
      </c>
      <c r="X78" s="34" t="str">
        <f>'Atest. Nr.1_3'!H74</f>
        <v/>
      </c>
      <c r="Y78" s="34" t="str">
        <f>'Atest. Nr.2_1'!I74</f>
        <v/>
      </c>
      <c r="Z78" s="34" t="str">
        <f>'Atest. Nr.2_2'!I74</f>
        <v/>
      </c>
      <c r="AA78" s="34" t="str">
        <f>'Atest. Nr.2_3'!I74</f>
        <v/>
      </c>
      <c r="AB78" s="34" t="str">
        <f>Examen!G74</f>
        <v/>
      </c>
      <c r="AC78" s="34" t="str">
        <f>ReExaminare!G74</f>
        <v/>
      </c>
      <c r="AD78" s="104" t="str">
        <f>IF(NOT(ISBLANK(B78)),
IF(SUM(E78:S78)+SUM(Laborator!E79:R79)&lt;&gt;0,SUM(E78:S78)+SUM(Laborator!E79:R79),""),
"")</f>
        <v/>
      </c>
      <c r="AE78" s="104"/>
      <c r="AH78" s="34" t="str">
        <f t="shared" si="18"/>
        <v/>
      </c>
      <c r="AI78" s="34" t="str">
        <f t="shared" si="19"/>
        <v/>
      </c>
      <c r="AJ78" s="34" t="str">
        <f>IF(NOT(ISBLANK(C78)),
IF(Laborator!AN79="Admis",ROUND(Laborator!AM79,0),"n/p"),"")</f>
        <v/>
      </c>
      <c r="AK78" s="34" t="str">
        <f>IF(NOT(ISBLANK(C78)),
IF('Lucrari grafice'!F74&lt;&gt;"n/p",'Lucrari grafice'!F74,"n/p"),"")</f>
        <v/>
      </c>
      <c r="AL78" s="34" t="str">
        <f t="shared" si="20"/>
        <v/>
      </c>
      <c r="AM78" s="34" t="str">
        <f t="shared" si="21"/>
        <v/>
      </c>
      <c r="AN78" s="107" t="str">
        <f t="shared" si="14"/>
        <v/>
      </c>
      <c r="AO78" s="33" t="str">
        <f t="shared" si="15"/>
        <v/>
      </c>
      <c r="AP78" s="34" t="str">
        <f t="shared" si="16"/>
        <v/>
      </c>
    </row>
    <row r="79" spans="2:42" x14ac:dyDescent="0.3">
      <c r="B79" s="34" t="str">
        <f>IF(NOT(ISBLANK(C79)),COUNTA($C$6:C79),"")</f>
        <v/>
      </c>
      <c r="C79" s="71"/>
      <c r="D79" s="76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17"/>
        <v/>
      </c>
      <c r="U79"/>
      <c r="V79" s="34" t="str">
        <f>'Atest. Nr.1_1'!I75</f>
        <v/>
      </c>
      <c r="W79" s="34" t="str">
        <f>'Atest. Nr.1_2'!H75</f>
        <v/>
      </c>
      <c r="X79" s="34" t="str">
        <f>'Atest. Nr.1_3'!H75</f>
        <v/>
      </c>
      <c r="Y79" s="34" t="str">
        <f>'Atest. Nr.2_1'!I75</f>
        <v/>
      </c>
      <c r="Z79" s="34" t="str">
        <f>'Atest. Nr.2_2'!I75</f>
        <v/>
      </c>
      <c r="AA79" s="34" t="str">
        <f>'Atest. Nr.2_3'!I75</f>
        <v/>
      </c>
      <c r="AB79" s="34" t="str">
        <f>Examen!G75</f>
        <v/>
      </c>
      <c r="AC79" s="34" t="str">
        <f>ReExaminare!G75</f>
        <v/>
      </c>
      <c r="AD79" s="104" t="str">
        <f>IF(NOT(ISBLANK(B79)),
IF(SUM(E79:S79)+SUM(Laborator!E80:R80)&lt;&gt;0,SUM(E79:S79)+SUM(Laborator!E80:R80),""),
"")</f>
        <v/>
      </c>
      <c r="AE79" s="104"/>
      <c r="AH79" s="34" t="str">
        <f t="shared" si="18"/>
        <v/>
      </c>
      <c r="AI79" s="34" t="str">
        <f t="shared" si="19"/>
        <v/>
      </c>
      <c r="AJ79" s="34" t="str">
        <f>IF(NOT(ISBLANK(C79)),
IF(Laborator!AN80="Admis",ROUND(Laborator!AM80,0),"n/p"),"")</f>
        <v/>
      </c>
      <c r="AK79" s="34" t="str">
        <f>IF(NOT(ISBLANK(C79)),
IF('Lucrari grafice'!F75&lt;&gt;"n/p",'Lucrari grafice'!F75,"n/p"),"")</f>
        <v/>
      </c>
      <c r="AL79" s="34" t="str">
        <f t="shared" si="20"/>
        <v/>
      </c>
      <c r="AM79" s="34" t="str">
        <f t="shared" si="21"/>
        <v/>
      </c>
      <c r="AN79" s="107" t="str">
        <f t="shared" si="14"/>
        <v/>
      </c>
      <c r="AO79" s="33" t="str">
        <f t="shared" si="15"/>
        <v/>
      </c>
      <c r="AP79" s="34" t="str">
        <f t="shared" si="16"/>
        <v/>
      </c>
    </row>
    <row r="80" spans="2:42" x14ac:dyDescent="0.3">
      <c r="B80" s="34" t="str">
        <f>IF(NOT(ISBLANK(C80)),COUNTA($C$6:C80),"")</f>
        <v/>
      </c>
      <c r="C80" s="71"/>
      <c r="D80" s="76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17"/>
        <v/>
      </c>
      <c r="U80"/>
      <c r="V80" s="34" t="str">
        <f>'Atest. Nr.1_1'!I76</f>
        <v/>
      </c>
      <c r="W80" s="34" t="str">
        <f>'Atest. Nr.1_2'!H76</f>
        <v/>
      </c>
      <c r="X80" s="34" t="str">
        <f>'Atest. Nr.1_3'!H76</f>
        <v/>
      </c>
      <c r="Y80" s="34" t="str">
        <f>'Atest. Nr.2_1'!I76</f>
        <v/>
      </c>
      <c r="Z80" s="34" t="str">
        <f>'Atest. Nr.2_2'!I76</f>
        <v/>
      </c>
      <c r="AA80" s="34" t="str">
        <f>'Atest. Nr.2_3'!I76</f>
        <v/>
      </c>
      <c r="AB80" s="34" t="str">
        <f>Examen!G76</f>
        <v/>
      </c>
      <c r="AC80" s="34" t="str">
        <f>ReExaminare!G76</f>
        <v/>
      </c>
      <c r="AD80" s="104" t="str">
        <f>IF(NOT(ISBLANK(B80)),
IF(SUM(E80:S80)+SUM(Laborator!E81:R81)&lt;&gt;0,SUM(E80:S80)+SUM(Laborator!E81:R81),""),
"")</f>
        <v/>
      </c>
      <c r="AE80" s="104"/>
      <c r="AH80" s="34" t="str">
        <f t="shared" si="18"/>
        <v/>
      </c>
      <c r="AI80" s="34" t="str">
        <f t="shared" si="19"/>
        <v/>
      </c>
      <c r="AJ80" s="34" t="str">
        <f>IF(NOT(ISBLANK(C80)),
IF(Laborator!AN81="Admis",ROUND(Laborator!AM81,0),"n/p"),"")</f>
        <v/>
      </c>
      <c r="AK80" s="34" t="str">
        <f>IF(NOT(ISBLANK(C80)),
IF('Lucrari grafice'!F76&lt;&gt;"n/p",'Lucrari grafice'!F76,"n/p"),"")</f>
        <v/>
      </c>
      <c r="AL80" s="34" t="str">
        <f t="shared" si="20"/>
        <v/>
      </c>
      <c r="AM80" s="34" t="str">
        <f t="shared" si="21"/>
        <v/>
      </c>
      <c r="AN80" s="107" t="str">
        <f t="shared" si="14"/>
        <v/>
      </c>
      <c r="AO80" s="33" t="str">
        <f t="shared" si="15"/>
        <v/>
      </c>
      <c r="AP80" s="34" t="str">
        <f t="shared" si="16"/>
        <v/>
      </c>
    </row>
    <row r="81" spans="2:42" x14ac:dyDescent="0.3">
      <c r="B81" s="34" t="str">
        <f>IF(NOT(ISBLANK(C81)),COUNTA($C$6:C81),"")</f>
        <v/>
      </c>
      <c r="C81" s="71"/>
      <c r="D81" s="76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17"/>
        <v/>
      </c>
      <c r="U81"/>
      <c r="V81" s="34" t="str">
        <f>'Atest. Nr.1_1'!I77</f>
        <v/>
      </c>
      <c r="W81" s="34" t="str">
        <f>'Atest. Nr.1_2'!H77</f>
        <v/>
      </c>
      <c r="X81" s="34" t="str">
        <f>'Atest. Nr.1_3'!H77</f>
        <v/>
      </c>
      <c r="Y81" s="34" t="str">
        <f>'Atest. Nr.2_1'!I77</f>
        <v/>
      </c>
      <c r="Z81" s="34" t="str">
        <f>'Atest. Nr.2_2'!I77</f>
        <v/>
      </c>
      <c r="AA81" s="34" t="str">
        <f>'Atest. Nr.2_3'!I77</f>
        <v/>
      </c>
      <c r="AB81" s="34" t="str">
        <f>Examen!G77</f>
        <v/>
      </c>
      <c r="AC81" s="34" t="str">
        <f>ReExaminare!G77</f>
        <v/>
      </c>
      <c r="AD81" s="104" t="str">
        <f>IF(NOT(ISBLANK(B81)),
IF(SUM(E81:S81)+SUM(Laborator!E82:R82)&lt;&gt;0,SUM(E81:S81)+SUM(Laborator!E82:R82),""),
"")</f>
        <v/>
      </c>
      <c r="AE81" s="104"/>
      <c r="AH81" s="34" t="str">
        <f t="shared" si="18"/>
        <v/>
      </c>
      <c r="AI81" s="34" t="str">
        <f t="shared" si="19"/>
        <v/>
      </c>
      <c r="AJ81" s="34" t="str">
        <f>IF(NOT(ISBLANK(C81)),
IF(Laborator!AN82="Admis",ROUND(Laborator!AM82,0),"n/p"),"")</f>
        <v/>
      </c>
      <c r="AK81" s="34" t="str">
        <f>IF(NOT(ISBLANK(C81)),
IF('Lucrari grafice'!F77&lt;&gt;"n/p",'Lucrari grafice'!F77,"n/p"),"")</f>
        <v/>
      </c>
      <c r="AL81" s="34" t="str">
        <f t="shared" si="20"/>
        <v/>
      </c>
      <c r="AM81" s="34" t="str">
        <f t="shared" si="21"/>
        <v/>
      </c>
      <c r="AN81" s="107" t="str">
        <f t="shared" si="14"/>
        <v/>
      </c>
      <c r="AO81" s="33" t="str">
        <f t="shared" si="15"/>
        <v/>
      </c>
      <c r="AP81" s="34" t="str">
        <f t="shared" si="16"/>
        <v/>
      </c>
    </row>
    <row r="82" spans="2:42" x14ac:dyDescent="0.3">
      <c r="B82" s="34" t="str">
        <f>IF(NOT(ISBLANK(C82)),COUNTA($C$6:C82),"")</f>
        <v/>
      </c>
      <c r="C82" s="71"/>
      <c r="D82" s="76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17"/>
        <v/>
      </c>
      <c r="U82"/>
      <c r="V82" s="34" t="str">
        <f>'Atest. Nr.1_1'!I78</f>
        <v/>
      </c>
      <c r="W82" s="34" t="str">
        <f>'Atest. Nr.1_2'!H78</f>
        <v/>
      </c>
      <c r="X82" s="34" t="str">
        <f>'Atest. Nr.1_3'!H78</f>
        <v/>
      </c>
      <c r="Y82" s="34" t="str">
        <f>'Atest. Nr.2_1'!I78</f>
        <v/>
      </c>
      <c r="Z82" s="34" t="str">
        <f>'Atest. Nr.2_2'!I78</f>
        <v/>
      </c>
      <c r="AA82" s="34" t="str">
        <f>'Atest. Nr.2_3'!I78</f>
        <v/>
      </c>
      <c r="AB82" s="34" t="str">
        <f>Examen!G78</f>
        <v/>
      </c>
      <c r="AC82" s="34" t="str">
        <f>ReExaminare!G78</f>
        <v/>
      </c>
      <c r="AD82" s="104" t="str">
        <f>IF(NOT(ISBLANK(B82)),
IF(SUM(E82:S82)+SUM(Laborator!E83:R83)&lt;&gt;0,SUM(E82:S82)+SUM(Laborator!E83:R83),""),
"")</f>
        <v/>
      </c>
      <c r="AE82" s="104"/>
      <c r="AH82" s="34" t="str">
        <f t="shared" si="18"/>
        <v/>
      </c>
      <c r="AI82" s="34" t="str">
        <f t="shared" si="19"/>
        <v/>
      </c>
      <c r="AJ82" s="34" t="str">
        <f>IF(NOT(ISBLANK(C82)),
IF(Laborator!AN83="Admis",ROUND(Laborator!AM83,0),"n/p"),"")</f>
        <v/>
      </c>
      <c r="AK82" s="34" t="str">
        <f>IF(NOT(ISBLANK(C82)),
IF('Lucrari grafice'!F78&lt;&gt;"n/p",'Lucrari grafice'!F78,"n/p"),"")</f>
        <v/>
      </c>
      <c r="AL82" s="34" t="str">
        <f t="shared" si="20"/>
        <v/>
      </c>
      <c r="AM82" s="34" t="str">
        <f t="shared" si="21"/>
        <v/>
      </c>
      <c r="AN82" s="107" t="str">
        <f t="shared" si="14"/>
        <v/>
      </c>
      <c r="AO82" s="33" t="str">
        <f t="shared" si="15"/>
        <v/>
      </c>
      <c r="AP82" s="34" t="str">
        <f t="shared" si="16"/>
        <v/>
      </c>
    </row>
    <row r="83" spans="2:42" x14ac:dyDescent="0.3">
      <c r="B83" s="34" t="str">
        <f>IF(NOT(ISBLANK(C83)),COUNTA($C$6:C83),"")</f>
        <v/>
      </c>
      <c r="C83" s="71"/>
      <c r="D83" s="76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17"/>
        <v/>
      </c>
      <c r="U83"/>
      <c r="V83" s="34" t="str">
        <f>'Atest. Nr.1_1'!I79</f>
        <v/>
      </c>
      <c r="W83" s="34" t="str">
        <f>'Atest. Nr.1_2'!H79</f>
        <v/>
      </c>
      <c r="X83" s="34" t="str">
        <f>'Atest. Nr.1_3'!H79</f>
        <v/>
      </c>
      <c r="Y83" s="34" t="str">
        <f>'Atest. Nr.2_1'!I79</f>
        <v/>
      </c>
      <c r="Z83" s="34" t="str">
        <f>'Atest. Nr.2_2'!I79</f>
        <v/>
      </c>
      <c r="AA83" s="34" t="str">
        <f>'Atest. Nr.2_3'!I79</f>
        <v/>
      </c>
      <c r="AB83" s="34" t="str">
        <f>Examen!G79</f>
        <v/>
      </c>
      <c r="AC83" s="34" t="str">
        <f>ReExaminare!G79</f>
        <v/>
      </c>
      <c r="AD83" s="104" t="str">
        <f>IF(NOT(ISBLANK(B83)),
IF(SUM(E83:S83)+SUM(Laborator!E84:R84)&lt;&gt;0,SUM(E83:S83)+SUM(Laborator!E84:R84),""),
"")</f>
        <v/>
      </c>
      <c r="AE83" s="104"/>
      <c r="AH83" s="34" t="str">
        <f t="shared" si="18"/>
        <v/>
      </c>
      <c r="AI83" s="34" t="str">
        <f t="shared" si="19"/>
        <v/>
      </c>
      <c r="AJ83" s="34" t="str">
        <f>IF(NOT(ISBLANK(C83)),
IF(Laborator!AN84="Admis",ROUND(Laborator!AM84,0),"n/p"),"")</f>
        <v/>
      </c>
      <c r="AK83" s="34" t="str">
        <f>IF(NOT(ISBLANK(C83)),
IF('Lucrari grafice'!F79&lt;&gt;"n/p",'Lucrari grafice'!F79,"n/p"),"")</f>
        <v/>
      </c>
      <c r="AL83" s="34" t="str">
        <f t="shared" si="20"/>
        <v/>
      </c>
      <c r="AM83" s="34" t="str">
        <f t="shared" si="21"/>
        <v/>
      </c>
      <c r="AN83" s="107" t="str">
        <f t="shared" si="14"/>
        <v/>
      </c>
      <c r="AO83" s="33" t="str">
        <f t="shared" si="15"/>
        <v/>
      </c>
      <c r="AP83" s="34" t="str">
        <f t="shared" si="16"/>
        <v/>
      </c>
    </row>
    <row r="84" spans="2:42" x14ac:dyDescent="0.3">
      <c r="B84" s="34" t="str">
        <f>IF(NOT(ISBLANK(C84)),COUNTA($C$6:C84),"")</f>
        <v/>
      </c>
      <c r="C84" s="71"/>
      <c r="D84" s="76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17"/>
        <v/>
      </c>
      <c r="U84"/>
      <c r="V84" s="34" t="str">
        <f>'Atest. Nr.1_1'!I80</f>
        <v/>
      </c>
      <c r="W84" s="34" t="str">
        <f>'Atest. Nr.1_2'!H80</f>
        <v/>
      </c>
      <c r="X84" s="34" t="str">
        <f>'Atest. Nr.1_3'!H80</f>
        <v/>
      </c>
      <c r="Y84" s="34" t="str">
        <f>'Atest. Nr.2_1'!I80</f>
        <v/>
      </c>
      <c r="Z84" s="34" t="str">
        <f>'Atest. Nr.2_2'!I80</f>
        <v/>
      </c>
      <c r="AA84" s="34" t="str">
        <f>'Atest. Nr.2_3'!I80</f>
        <v/>
      </c>
      <c r="AB84" s="34" t="str">
        <f>Examen!G80</f>
        <v/>
      </c>
      <c r="AC84" s="34" t="str">
        <f>ReExaminare!G80</f>
        <v/>
      </c>
      <c r="AD84" s="104" t="str">
        <f>IF(NOT(ISBLANK(B84)),
IF(SUM(E84:S84)+SUM(Laborator!E85:R85)&lt;&gt;0,SUM(E84:S84)+SUM(Laborator!E85:R85),""),
"")</f>
        <v/>
      </c>
      <c r="AE84" s="104"/>
      <c r="AH84" s="34" t="str">
        <f t="shared" si="18"/>
        <v/>
      </c>
      <c r="AI84" s="34" t="str">
        <f t="shared" si="19"/>
        <v/>
      </c>
      <c r="AJ84" s="34" t="str">
        <f>IF(NOT(ISBLANK(C84)),
IF(Laborator!AN85="Admis",ROUND(Laborator!AM85,0),"n/p"),"")</f>
        <v/>
      </c>
      <c r="AK84" s="34" t="str">
        <f>IF(NOT(ISBLANK(C84)),
IF('Lucrari grafice'!F80&lt;&gt;"n/p",'Lucrari grafice'!F80,"n/p"),"")</f>
        <v/>
      </c>
      <c r="AL84" s="34" t="str">
        <f t="shared" si="20"/>
        <v/>
      </c>
      <c r="AM84" s="34" t="str">
        <f t="shared" si="21"/>
        <v/>
      </c>
      <c r="AN84" s="107" t="str">
        <f t="shared" si="14"/>
        <v/>
      </c>
      <c r="AO84" s="33" t="str">
        <f t="shared" si="15"/>
        <v/>
      </c>
      <c r="AP84" s="34" t="str">
        <f t="shared" si="16"/>
        <v/>
      </c>
    </row>
    <row r="85" spans="2:42" x14ac:dyDescent="0.3">
      <c r="B85" s="34" t="str">
        <f>IF(NOT(ISBLANK(C85)),COUNTA($C$6:C85),"")</f>
        <v/>
      </c>
      <c r="C85" s="71"/>
      <c r="D85" s="76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17"/>
        <v/>
      </c>
      <c r="U85"/>
      <c r="V85" s="34" t="str">
        <f>'Atest. Nr.1_1'!I81</f>
        <v/>
      </c>
      <c r="W85" s="34" t="str">
        <f>'Atest. Nr.1_2'!H81</f>
        <v/>
      </c>
      <c r="X85" s="34" t="str">
        <f>'Atest. Nr.1_3'!H81</f>
        <v/>
      </c>
      <c r="Y85" s="34" t="str">
        <f>'Atest. Nr.2_1'!I81</f>
        <v/>
      </c>
      <c r="Z85" s="34" t="str">
        <f>'Atest. Nr.2_2'!I81</f>
        <v/>
      </c>
      <c r="AA85" s="34" t="str">
        <f>'Atest. Nr.2_3'!I81</f>
        <v/>
      </c>
      <c r="AB85" s="34" t="str">
        <f>Examen!G81</f>
        <v/>
      </c>
      <c r="AC85" s="34" t="str">
        <f>ReExaminare!G81</f>
        <v/>
      </c>
      <c r="AD85" s="104" t="str">
        <f>IF(NOT(ISBLANK(B85)),
IF(SUM(E85:S85)+SUM(Laborator!E86:R86)&lt;&gt;0,SUM(E85:S85)+SUM(Laborator!E86:R86),""),
"")</f>
        <v/>
      </c>
      <c r="AE85" s="104"/>
      <c r="AH85" s="34" t="str">
        <f t="shared" si="18"/>
        <v/>
      </c>
      <c r="AI85" s="34" t="str">
        <f t="shared" si="19"/>
        <v/>
      </c>
      <c r="AJ85" s="34" t="str">
        <f>IF(NOT(ISBLANK(C85)),
IF(Laborator!AN86="Admis",ROUND(Laborator!AM86,0),"n/p"),"")</f>
        <v/>
      </c>
      <c r="AK85" s="34" t="str">
        <f>IF(NOT(ISBLANK(C85)),
IF('Lucrari grafice'!F81&lt;&gt;"n/p",'Lucrari grafice'!F81,"n/p"),"")</f>
        <v/>
      </c>
      <c r="AL85" s="34" t="str">
        <f t="shared" si="20"/>
        <v/>
      </c>
      <c r="AM85" s="34" t="str">
        <f t="shared" si="21"/>
        <v/>
      </c>
      <c r="AN85" s="107" t="str">
        <f t="shared" si="14"/>
        <v/>
      </c>
      <c r="AO85" s="33" t="str">
        <f t="shared" si="15"/>
        <v/>
      </c>
      <c r="AP85" s="34" t="str">
        <f t="shared" si="16"/>
        <v/>
      </c>
    </row>
    <row r="86" spans="2:42" x14ac:dyDescent="0.3">
      <c r="B86" s="34" t="str">
        <f>IF(NOT(ISBLANK(C86)),COUNTA($C$6:C86),"")</f>
        <v/>
      </c>
      <c r="C86" s="71"/>
      <c r="D86" s="76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17"/>
        <v/>
      </c>
      <c r="U86"/>
      <c r="V86" s="34" t="str">
        <f>'Atest. Nr.1_1'!I82</f>
        <v/>
      </c>
      <c r="W86" s="34" t="str">
        <f>'Atest. Nr.1_2'!H82</f>
        <v/>
      </c>
      <c r="X86" s="34" t="str">
        <f>'Atest. Nr.1_3'!H82</f>
        <v/>
      </c>
      <c r="Y86" s="34" t="str">
        <f>'Atest. Nr.2_1'!I82</f>
        <v/>
      </c>
      <c r="Z86" s="34" t="str">
        <f>'Atest. Nr.2_2'!I82</f>
        <v/>
      </c>
      <c r="AA86" s="34" t="str">
        <f>'Atest. Nr.2_3'!I82</f>
        <v/>
      </c>
      <c r="AB86" s="34" t="str">
        <f>Examen!G82</f>
        <v/>
      </c>
      <c r="AC86" s="34" t="str">
        <f>ReExaminare!G82</f>
        <v/>
      </c>
      <c r="AD86" s="104" t="str">
        <f>IF(NOT(ISBLANK(B86)),
IF(SUM(E86:S86)+SUM(Laborator!E87:R87)&lt;&gt;0,SUM(E86:S86)+SUM(Laborator!E87:R87),""),
"")</f>
        <v/>
      </c>
      <c r="AE86" s="104"/>
      <c r="AH86" s="34" t="str">
        <f t="shared" si="18"/>
        <v/>
      </c>
      <c r="AI86" s="34" t="str">
        <f t="shared" si="19"/>
        <v/>
      </c>
      <c r="AJ86" s="34" t="str">
        <f>IF(NOT(ISBLANK(C86)),
IF(Laborator!AN87="Admis",ROUND(Laborator!AM87,0),"n/p"),"")</f>
        <v/>
      </c>
      <c r="AK86" s="34" t="str">
        <f>IF(NOT(ISBLANK(C86)),
IF('Lucrari grafice'!F82&lt;&gt;"n/p",'Lucrari grafice'!F82,"n/p"),"")</f>
        <v/>
      </c>
      <c r="AL86" s="34" t="str">
        <f t="shared" si="20"/>
        <v/>
      </c>
      <c r="AM86" s="34" t="str">
        <f t="shared" si="21"/>
        <v/>
      </c>
      <c r="AN86" s="107" t="str">
        <f t="shared" si="14"/>
        <v/>
      </c>
      <c r="AO86" s="33" t="str">
        <f t="shared" si="15"/>
        <v/>
      </c>
      <c r="AP86" s="34" t="str">
        <f t="shared" si="16"/>
        <v/>
      </c>
    </row>
    <row r="87" spans="2:42" x14ac:dyDescent="0.3">
      <c r="B87" s="34" t="str">
        <f>IF(NOT(ISBLANK(C87)),COUNTA($C$6:C87),"")</f>
        <v/>
      </c>
      <c r="C87" s="71"/>
      <c r="D87" s="76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17"/>
        <v/>
      </c>
      <c r="U87"/>
      <c r="V87" s="34" t="str">
        <f>'Atest. Nr.1_1'!I83</f>
        <v/>
      </c>
      <c r="W87" s="34" t="str">
        <f>'Atest. Nr.1_2'!H83</f>
        <v/>
      </c>
      <c r="X87" s="34" t="str">
        <f>'Atest. Nr.1_3'!H83</f>
        <v/>
      </c>
      <c r="Y87" s="34" t="str">
        <f>'Atest. Nr.2_1'!I83</f>
        <v/>
      </c>
      <c r="Z87" s="34" t="str">
        <f>'Atest. Nr.2_2'!I83</f>
        <v/>
      </c>
      <c r="AA87" s="34" t="str">
        <f>'Atest. Nr.2_3'!I83</f>
        <v/>
      </c>
      <c r="AB87" s="34" t="str">
        <f>Examen!G83</f>
        <v/>
      </c>
      <c r="AC87" s="34" t="str">
        <f>ReExaminare!G83</f>
        <v/>
      </c>
      <c r="AD87" s="104" t="str">
        <f>IF(NOT(ISBLANK(B87)),
IF(SUM(E87:S87)+SUM(Laborator!E88:R88)&lt;&gt;0,SUM(E87:S87)+SUM(Laborator!E88:R88),""),
"")</f>
        <v/>
      </c>
      <c r="AE87" s="104"/>
      <c r="AH87" s="34" t="str">
        <f t="shared" si="18"/>
        <v/>
      </c>
      <c r="AI87" s="34" t="str">
        <f t="shared" si="19"/>
        <v/>
      </c>
      <c r="AJ87" s="34" t="str">
        <f>IF(NOT(ISBLANK(C87)),
IF(Laborator!AN88="Admis",ROUND(Laborator!AM88,0),"n/p"),"")</f>
        <v/>
      </c>
      <c r="AK87" s="34" t="str">
        <f>IF(NOT(ISBLANK(C87)),
IF('Lucrari grafice'!F83&lt;&gt;"n/p",'Lucrari grafice'!F83,"n/p"),"")</f>
        <v/>
      </c>
      <c r="AL87" s="34" t="str">
        <f t="shared" si="20"/>
        <v/>
      </c>
      <c r="AM87" s="34" t="str">
        <f t="shared" si="21"/>
        <v/>
      </c>
      <c r="AN87" s="107" t="str">
        <f t="shared" si="14"/>
        <v/>
      </c>
      <c r="AO87" s="33" t="str">
        <f t="shared" si="15"/>
        <v/>
      </c>
      <c r="AP87" s="34" t="str">
        <f t="shared" si="16"/>
        <v/>
      </c>
    </row>
    <row r="88" spans="2:42" x14ac:dyDescent="0.3">
      <c r="B88" s="34" t="str">
        <f>IF(NOT(ISBLANK(C88)),COUNTA($C$6:C88),"")</f>
        <v/>
      </c>
      <c r="C88" s="71"/>
      <c r="D88" s="76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17"/>
        <v/>
      </c>
      <c r="U88"/>
      <c r="V88" s="34" t="str">
        <f>'Atest. Nr.1_1'!I84</f>
        <v/>
      </c>
      <c r="W88" s="34" t="str">
        <f>'Atest. Nr.1_2'!H84</f>
        <v/>
      </c>
      <c r="X88" s="34" t="str">
        <f>'Atest. Nr.1_3'!H84</f>
        <v/>
      </c>
      <c r="Y88" s="34" t="str">
        <f>'Atest. Nr.2_1'!I84</f>
        <v/>
      </c>
      <c r="Z88" s="34" t="str">
        <f>'Atest. Nr.2_2'!I84</f>
        <v/>
      </c>
      <c r="AA88" s="34" t="str">
        <f>'Atest. Nr.2_3'!I84</f>
        <v/>
      </c>
      <c r="AB88" s="34" t="str">
        <f>Examen!G84</f>
        <v/>
      </c>
      <c r="AC88" s="34" t="str">
        <f>ReExaminare!G84</f>
        <v/>
      </c>
      <c r="AD88" s="104" t="str">
        <f>IF(NOT(ISBLANK(B88)),
IF(SUM(E88:S88)+SUM(Laborator!E89:R89)&lt;&gt;0,SUM(E88:S88)+SUM(Laborator!E89:R89),""),
"")</f>
        <v/>
      </c>
      <c r="AE88" s="104"/>
      <c r="AH88" s="34" t="str">
        <f t="shared" si="18"/>
        <v/>
      </c>
      <c r="AI88" s="34" t="str">
        <f t="shared" si="19"/>
        <v/>
      </c>
      <c r="AJ88" s="34" t="str">
        <f>IF(NOT(ISBLANK(C88)),
IF(Laborator!AN89="Admis",ROUND(Laborator!AM89,0),"n/p"),"")</f>
        <v/>
      </c>
      <c r="AK88" s="34" t="str">
        <f>IF(NOT(ISBLANK(C88)),
IF('Lucrari grafice'!F84&lt;&gt;"n/p",'Lucrari grafice'!F84,"n/p"),"")</f>
        <v/>
      </c>
      <c r="AL88" s="34" t="str">
        <f t="shared" si="20"/>
        <v/>
      </c>
      <c r="AM88" s="34" t="str">
        <f t="shared" si="21"/>
        <v/>
      </c>
      <c r="AN88" s="107" t="str">
        <f t="shared" si="14"/>
        <v/>
      </c>
      <c r="AO88" s="33" t="str">
        <f t="shared" si="15"/>
        <v/>
      </c>
      <c r="AP88" s="34" t="str">
        <f t="shared" si="16"/>
        <v/>
      </c>
    </row>
    <row r="89" spans="2:42" x14ac:dyDescent="0.3">
      <c r="B89" s="34" t="str">
        <f>IF(NOT(ISBLANK(C89)),COUNTA($C$6:C89),"")</f>
        <v/>
      </c>
      <c r="C89" s="71"/>
      <c r="D89" s="76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17"/>
        <v/>
      </c>
      <c r="U89"/>
      <c r="V89" s="34" t="str">
        <f>'Atest. Nr.1_1'!I85</f>
        <v/>
      </c>
      <c r="W89" s="34" t="str">
        <f>'Atest. Nr.1_2'!H85</f>
        <v/>
      </c>
      <c r="X89" s="34" t="str">
        <f>'Atest. Nr.1_3'!H85</f>
        <v/>
      </c>
      <c r="Y89" s="34" t="str">
        <f>'Atest. Nr.2_1'!I85</f>
        <v/>
      </c>
      <c r="Z89" s="34" t="str">
        <f>'Atest. Nr.2_2'!I85</f>
        <v/>
      </c>
      <c r="AA89" s="34" t="str">
        <f>'Atest. Nr.2_3'!I85</f>
        <v/>
      </c>
      <c r="AB89" s="34" t="str">
        <f>Examen!G85</f>
        <v/>
      </c>
      <c r="AC89" s="34" t="str">
        <f>ReExaminare!G85</f>
        <v/>
      </c>
      <c r="AD89" s="104" t="str">
        <f>IF(NOT(ISBLANK(B89)),
IF(SUM(E89:S89)+SUM(Laborator!E90:R90)&lt;&gt;0,SUM(E89:S89)+SUM(Laborator!E90:R90),""),
"")</f>
        <v/>
      </c>
      <c r="AE89" s="104"/>
      <c r="AH89" s="34" t="str">
        <f t="shared" si="18"/>
        <v/>
      </c>
      <c r="AI89" s="34" t="str">
        <f t="shared" si="19"/>
        <v/>
      </c>
      <c r="AJ89" s="34" t="str">
        <f>IF(NOT(ISBLANK(C89)),
IF(Laborator!AN90="Admis",ROUND(Laborator!AM90,0),"n/p"),"")</f>
        <v/>
      </c>
      <c r="AK89" s="34" t="str">
        <f>IF(NOT(ISBLANK(C89)),
IF('Lucrari grafice'!F85&lt;&gt;"n/p",'Lucrari grafice'!F85,"n/p"),"")</f>
        <v/>
      </c>
      <c r="AL89" s="34" t="str">
        <f t="shared" si="20"/>
        <v/>
      </c>
      <c r="AM89" s="34" t="str">
        <f t="shared" si="21"/>
        <v/>
      </c>
      <c r="AN89" s="107" t="str">
        <f t="shared" si="14"/>
        <v/>
      </c>
      <c r="AO89" s="33" t="str">
        <f t="shared" si="15"/>
        <v/>
      </c>
      <c r="AP89" s="34" t="str">
        <f t="shared" si="16"/>
        <v/>
      </c>
    </row>
    <row r="90" spans="2:42" x14ac:dyDescent="0.3">
      <c r="B90" s="34" t="str">
        <f>IF(NOT(ISBLANK(C90)),COUNTA($C$6:C90),"")</f>
        <v/>
      </c>
      <c r="C90" s="71"/>
      <c r="D90" s="76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17"/>
        <v/>
      </c>
      <c r="U90"/>
      <c r="V90" s="34" t="str">
        <f>'Atest. Nr.1_1'!I86</f>
        <v/>
      </c>
      <c r="W90" s="34" t="str">
        <f>'Atest. Nr.1_2'!H86</f>
        <v/>
      </c>
      <c r="X90" s="34" t="str">
        <f>'Atest. Nr.1_3'!H86</f>
        <v/>
      </c>
      <c r="Y90" s="34" t="str">
        <f>'Atest. Nr.2_1'!I86</f>
        <v/>
      </c>
      <c r="Z90" s="34" t="str">
        <f>'Atest. Nr.2_2'!I86</f>
        <v/>
      </c>
      <c r="AA90" s="34" t="str">
        <f>'Atest. Nr.2_3'!I86</f>
        <v/>
      </c>
      <c r="AB90" s="34" t="str">
        <f>Examen!G86</f>
        <v/>
      </c>
      <c r="AC90" s="34" t="str">
        <f>ReExaminare!G86</f>
        <v/>
      </c>
      <c r="AD90" s="104" t="str">
        <f>IF(NOT(ISBLANK(B90)),
IF(SUM(E90:S90)+SUM(Laborator!E91:R91)&lt;&gt;0,SUM(E90:S90)+SUM(Laborator!E91:R91),""),
"")</f>
        <v/>
      </c>
      <c r="AE90" s="104"/>
      <c r="AH90" s="34" t="str">
        <f t="shared" si="18"/>
        <v/>
      </c>
      <c r="AI90" s="34" t="str">
        <f t="shared" si="19"/>
        <v/>
      </c>
      <c r="AJ90" s="34" t="str">
        <f>IF(NOT(ISBLANK(C90)),
IF(Laborator!AN91="Admis",ROUND(Laborator!AM91,0),"n/p"),"")</f>
        <v/>
      </c>
      <c r="AK90" s="34" t="str">
        <f>IF(NOT(ISBLANK(C90)),
IF('Lucrari grafice'!F86&lt;&gt;"n/p",'Lucrari grafice'!F86,"n/p"),"")</f>
        <v/>
      </c>
      <c r="AL90" s="34" t="str">
        <f t="shared" si="20"/>
        <v/>
      </c>
      <c r="AM90" s="34" t="str">
        <f t="shared" si="21"/>
        <v/>
      </c>
      <c r="AN90" s="107" t="str">
        <f t="shared" si="14"/>
        <v/>
      </c>
      <c r="AO90" s="33" t="str">
        <f t="shared" si="15"/>
        <v/>
      </c>
      <c r="AP90" s="34" t="str">
        <f t="shared" si="16"/>
        <v/>
      </c>
    </row>
    <row r="91" spans="2:42" x14ac:dyDescent="0.3">
      <c r="B91" s="34" t="str">
        <f>IF(NOT(ISBLANK(C91)),COUNTA($C$6:C91),"")</f>
        <v/>
      </c>
      <c r="C91" s="71"/>
      <c r="D91" s="76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17"/>
        <v/>
      </c>
      <c r="U91"/>
      <c r="V91" s="34" t="str">
        <f>'Atest. Nr.1_1'!I87</f>
        <v/>
      </c>
      <c r="W91" s="34" t="str">
        <f>'Atest. Nr.1_2'!H87</f>
        <v/>
      </c>
      <c r="X91" s="34" t="str">
        <f>'Atest. Nr.1_3'!H87</f>
        <v/>
      </c>
      <c r="Y91" s="34" t="str">
        <f>'Atest. Nr.2_1'!I87</f>
        <v/>
      </c>
      <c r="Z91" s="34" t="str">
        <f>'Atest. Nr.2_2'!I87</f>
        <v/>
      </c>
      <c r="AA91" s="34" t="str">
        <f>'Atest. Nr.2_3'!I87</f>
        <v/>
      </c>
      <c r="AB91" s="34" t="str">
        <f>Examen!G87</f>
        <v/>
      </c>
      <c r="AC91" s="34" t="str">
        <f>ReExaminare!G87</f>
        <v/>
      </c>
      <c r="AD91" s="104" t="str">
        <f>IF(NOT(ISBLANK(B91)),
IF(SUM(E91:S91)+SUM(Laborator!E92:R92)&lt;&gt;0,SUM(E91:S91)+SUM(Laborator!E92:R92),""),
"")</f>
        <v/>
      </c>
      <c r="AE91" s="104"/>
      <c r="AH91" s="34" t="str">
        <f t="shared" si="18"/>
        <v/>
      </c>
      <c r="AI91" s="34" t="str">
        <f t="shared" si="19"/>
        <v/>
      </c>
      <c r="AJ91" s="34" t="str">
        <f>IF(NOT(ISBLANK(C91)),
IF(Laborator!AN92="Admis",ROUND(Laborator!AM92,0),"n/p"),"")</f>
        <v/>
      </c>
      <c r="AK91" s="34" t="str">
        <f>IF(NOT(ISBLANK(C91)),
IF('Lucrari grafice'!F87&lt;&gt;"n/p",'Lucrari grafice'!F87,"n/p"),"")</f>
        <v/>
      </c>
      <c r="AL91" s="34" t="str">
        <f t="shared" si="20"/>
        <v/>
      </c>
      <c r="AM91" s="34" t="str">
        <f t="shared" si="21"/>
        <v/>
      </c>
      <c r="AN91" s="107" t="str">
        <f t="shared" si="14"/>
        <v/>
      </c>
      <c r="AO91" s="33" t="str">
        <f t="shared" si="15"/>
        <v/>
      </c>
      <c r="AP91" s="34" t="str">
        <f t="shared" si="16"/>
        <v/>
      </c>
    </row>
    <row r="92" spans="2:42" x14ac:dyDescent="0.3">
      <c r="B92" s="34" t="str">
        <f>IF(NOT(ISBLANK(C92)),COUNTA($C$6:C92),"")</f>
        <v/>
      </c>
      <c r="C92" s="71"/>
      <c r="D92" s="76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17"/>
        <v/>
      </c>
      <c r="U92"/>
      <c r="V92" s="34" t="str">
        <f>'Atest. Nr.1_1'!I88</f>
        <v/>
      </c>
      <c r="W92" s="34" t="str">
        <f>'Atest. Nr.1_2'!H88</f>
        <v/>
      </c>
      <c r="X92" s="34" t="str">
        <f>'Atest. Nr.1_3'!H88</f>
        <v/>
      </c>
      <c r="Y92" s="34" t="str">
        <f>'Atest. Nr.2_1'!I88</f>
        <v/>
      </c>
      <c r="Z92" s="34" t="str">
        <f>'Atest. Nr.2_2'!I88</f>
        <v/>
      </c>
      <c r="AA92" s="34" t="str">
        <f>'Atest. Nr.2_3'!I88</f>
        <v/>
      </c>
      <c r="AB92" s="34" t="str">
        <f>Examen!G88</f>
        <v/>
      </c>
      <c r="AC92" s="34" t="str">
        <f>ReExaminare!G88</f>
        <v/>
      </c>
      <c r="AD92" s="104" t="str">
        <f>IF(NOT(ISBLANK(B92)),
IF(SUM(E92:S92)+SUM(Laborator!E93:R93)&lt;&gt;0,SUM(E92:S92)+SUM(Laborator!E93:R93),""),
"")</f>
        <v/>
      </c>
      <c r="AE92" s="104"/>
      <c r="AH92" s="34" t="str">
        <f t="shared" si="18"/>
        <v/>
      </c>
      <c r="AI92" s="34" t="str">
        <f t="shared" si="19"/>
        <v/>
      </c>
      <c r="AJ92" s="34" t="str">
        <f>IF(NOT(ISBLANK(C92)),
IF(Laborator!AN93="Admis",ROUND(Laborator!AM93,0),"n/p"),"")</f>
        <v/>
      </c>
      <c r="AK92" s="34" t="str">
        <f>IF(NOT(ISBLANK(C92)),
IF('Lucrari grafice'!F88&lt;&gt;"n/p",'Lucrari grafice'!F88,"n/p"),"")</f>
        <v/>
      </c>
      <c r="AL92" s="34" t="str">
        <f t="shared" si="20"/>
        <v/>
      </c>
      <c r="AM92" s="34" t="str">
        <f t="shared" si="21"/>
        <v/>
      </c>
      <c r="AN92" s="107" t="str">
        <f t="shared" si="14"/>
        <v/>
      </c>
      <c r="AO92" s="33" t="str">
        <f t="shared" si="15"/>
        <v/>
      </c>
      <c r="AP92" s="34" t="str">
        <f t="shared" si="16"/>
        <v/>
      </c>
    </row>
    <row r="93" spans="2:42" x14ac:dyDescent="0.3">
      <c r="B93" s="34" t="str">
        <f>IF(NOT(ISBLANK(C93)),COUNTA($C$6:C93),"")</f>
        <v/>
      </c>
      <c r="C93" s="71"/>
      <c r="D93" s="76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17"/>
        <v/>
      </c>
      <c r="U93"/>
      <c r="V93" s="34" t="str">
        <f>'Atest. Nr.1_1'!I89</f>
        <v/>
      </c>
      <c r="W93" s="34" t="str">
        <f>'Atest. Nr.1_2'!H89</f>
        <v/>
      </c>
      <c r="X93" s="34" t="str">
        <f>'Atest. Nr.1_3'!H89</f>
        <v/>
      </c>
      <c r="Y93" s="34" t="str">
        <f>'Atest. Nr.2_1'!I89</f>
        <v/>
      </c>
      <c r="Z93" s="34" t="str">
        <f>'Atest. Nr.2_2'!I89</f>
        <v/>
      </c>
      <c r="AA93" s="34" t="str">
        <f>'Atest. Nr.2_3'!I89</f>
        <v/>
      </c>
      <c r="AB93" s="34" t="str">
        <f>Examen!G89</f>
        <v/>
      </c>
      <c r="AC93" s="34" t="str">
        <f>ReExaminare!G89</f>
        <v/>
      </c>
      <c r="AD93" s="104" t="str">
        <f>IF(NOT(ISBLANK(B93)),
IF(SUM(E93:S93)+SUM(Laborator!E94:R94)&lt;&gt;0,SUM(E93:S93)+SUM(Laborator!E94:R94),""),
"")</f>
        <v/>
      </c>
      <c r="AE93" s="104"/>
      <c r="AH93" s="34" t="str">
        <f t="shared" si="18"/>
        <v/>
      </c>
      <c r="AI93" s="34" t="str">
        <f t="shared" si="19"/>
        <v/>
      </c>
      <c r="AJ93" s="34" t="str">
        <f>IF(NOT(ISBLANK(C93)),
IF(Laborator!AN94="Admis",ROUND(Laborator!AM94,0),"n/p"),"")</f>
        <v/>
      </c>
      <c r="AK93" s="34" t="str">
        <f>IF(NOT(ISBLANK(C93)),
IF('Lucrari grafice'!F89&lt;&gt;"n/p",'Lucrari grafice'!F89,"n/p"),"")</f>
        <v/>
      </c>
      <c r="AL93" s="34" t="str">
        <f t="shared" si="20"/>
        <v/>
      </c>
      <c r="AM93" s="34" t="str">
        <f t="shared" si="21"/>
        <v/>
      </c>
      <c r="AN93" s="107" t="str">
        <f t="shared" si="14"/>
        <v/>
      </c>
      <c r="AO93" s="33" t="str">
        <f t="shared" si="15"/>
        <v/>
      </c>
      <c r="AP93" s="34" t="str">
        <f t="shared" si="16"/>
        <v/>
      </c>
    </row>
    <row r="94" spans="2:42" x14ac:dyDescent="0.3">
      <c r="B94" s="34" t="str">
        <f>IF(NOT(ISBLANK(C94)),COUNTA($C$6:C94),"")</f>
        <v/>
      </c>
      <c r="C94" s="71"/>
      <c r="D94" s="76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17"/>
        <v/>
      </c>
      <c r="U94"/>
      <c r="V94" s="34" t="str">
        <f>'Atest. Nr.1_1'!I90</f>
        <v/>
      </c>
      <c r="W94" s="34" t="str">
        <f>'Atest. Nr.1_2'!H90</f>
        <v/>
      </c>
      <c r="X94" s="34" t="str">
        <f>'Atest. Nr.1_3'!H90</f>
        <v/>
      </c>
      <c r="Y94" s="34" t="str">
        <f>'Atest. Nr.2_1'!I90</f>
        <v/>
      </c>
      <c r="Z94" s="34" t="str">
        <f>'Atest. Nr.2_2'!I90</f>
        <v/>
      </c>
      <c r="AA94" s="34" t="str">
        <f>'Atest. Nr.2_3'!I90</f>
        <v/>
      </c>
      <c r="AB94" s="34" t="str">
        <f>Examen!G90</f>
        <v/>
      </c>
      <c r="AC94" s="34" t="str">
        <f>ReExaminare!G90</f>
        <v/>
      </c>
      <c r="AD94" s="104" t="str">
        <f>IF(NOT(ISBLANK(B94)),
IF(SUM(E94:S94)+SUM(Laborator!E95:R95)&lt;&gt;0,SUM(E94:S94)+SUM(Laborator!E95:R95),""),
"")</f>
        <v/>
      </c>
      <c r="AE94" s="104"/>
      <c r="AH94" s="34" t="str">
        <f t="shared" si="18"/>
        <v/>
      </c>
      <c r="AI94" s="34" t="str">
        <f t="shared" si="19"/>
        <v/>
      </c>
      <c r="AJ94" s="34" t="str">
        <f>IF(NOT(ISBLANK(C94)),
IF(Laborator!AN95="Admis",ROUND(Laborator!AM95,0),"n/p"),"")</f>
        <v/>
      </c>
      <c r="AK94" s="34" t="str">
        <f>IF(NOT(ISBLANK(C94)),
IF('Lucrari grafice'!F90&lt;&gt;"n/p",'Lucrari grafice'!F90,"n/p"),"")</f>
        <v/>
      </c>
      <c r="AL94" s="34" t="str">
        <f t="shared" si="20"/>
        <v/>
      </c>
      <c r="AM94" s="34" t="str">
        <f t="shared" si="21"/>
        <v/>
      </c>
      <c r="AN94" s="107" t="str">
        <f t="shared" si="14"/>
        <v/>
      </c>
      <c r="AO94" s="33" t="str">
        <f t="shared" si="15"/>
        <v/>
      </c>
      <c r="AP94" s="34" t="str">
        <f t="shared" si="16"/>
        <v/>
      </c>
    </row>
    <row r="95" spans="2:42" x14ac:dyDescent="0.3">
      <c r="B95" s="34" t="str">
        <f>IF(NOT(ISBLANK(C95)),COUNTA($C$6:C95),"")</f>
        <v/>
      </c>
      <c r="C95" s="71"/>
      <c r="D95" s="76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17"/>
        <v/>
      </c>
      <c r="U95"/>
      <c r="V95" s="34" t="str">
        <f>'Atest. Nr.1_1'!I91</f>
        <v/>
      </c>
      <c r="W95" s="34" t="str">
        <f>'Atest. Nr.1_2'!H91</f>
        <v/>
      </c>
      <c r="X95" s="34" t="str">
        <f>'Atest. Nr.1_3'!H91</f>
        <v/>
      </c>
      <c r="Y95" s="34" t="str">
        <f>'Atest. Nr.2_1'!I91</f>
        <v/>
      </c>
      <c r="Z95" s="34" t="str">
        <f>'Atest. Nr.2_2'!I91</f>
        <v/>
      </c>
      <c r="AA95" s="34" t="str">
        <f>'Atest. Nr.2_3'!I91</f>
        <v/>
      </c>
      <c r="AB95" s="34" t="str">
        <f>Examen!G91</f>
        <v/>
      </c>
      <c r="AC95" s="34" t="str">
        <f>ReExaminare!G91</f>
        <v/>
      </c>
      <c r="AD95" s="104" t="str">
        <f>IF(NOT(ISBLANK(B95)),
IF(SUM(E95:S95)+SUM(Laborator!E96:R96)&lt;&gt;0,SUM(E95:S95)+SUM(Laborator!E96:R96),""),
"")</f>
        <v/>
      </c>
      <c r="AE95" s="104"/>
      <c r="AH95" s="34" t="str">
        <f t="shared" si="18"/>
        <v/>
      </c>
      <c r="AI95" s="34" t="str">
        <f t="shared" si="19"/>
        <v/>
      </c>
      <c r="AJ95" s="34" t="str">
        <f>IF(NOT(ISBLANK(C95)),
IF(Laborator!AN96="Admis",ROUND(Laborator!AM96,0),"n/p"),"")</f>
        <v/>
      </c>
      <c r="AK95" s="34" t="str">
        <f>IF(NOT(ISBLANK(C95)),
IF('Lucrari grafice'!F91&lt;&gt;"n/p",'Lucrari grafice'!F91,"n/p"),"")</f>
        <v/>
      </c>
      <c r="AL95" s="34" t="str">
        <f t="shared" si="20"/>
        <v/>
      </c>
      <c r="AM95" s="34" t="str">
        <f t="shared" si="21"/>
        <v/>
      </c>
      <c r="AN95" s="107" t="str">
        <f t="shared" si="14"/>
        <v/>
      </c>
      <c r="AO95" s="33" t="str">
        <f t="shared" si="15"/>
        <v/>
      </c>
      <c r="AP95" s="34" t="str">
        <f t="shared" si="16"/>
        <v/>
      </c>
    </row>
    <row r="96" spans="2:42" x14ac:dyDescent="0.3">
      <c r="B96" s="34" t="str">
        <f>IF(NOT(ISBLANK(C96)),COUNTA($C$6:C96),"")</f>
        <v/>
      </c>
      <c r="C96" s="71"/>
      <c r="D96" s="76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17"/>
        <v/>
      </c>
      <c r="U96"/>
      <c r="V96" s="34" t="str">
        <f>'Atest. Nr.1_1'!I92</f>
        <v/>
      </c>
      <c r="W96" s="34" t="str">
        <f>'Atest. Nr.1_2'!H92</f>
        <v/>
      </c>
      <c r="X96" s="34" t="str">
        <f>'Atest. Nr.1_3'!H92</f>
        <v/>
      </c>
      <c r="Y96" s="34" t="str">
        <f>'Atest. Nr.2_1'!I92</f>
        <v/>
      </c>
      <c r="Z96" s="34" t="str">
        <f>'Atest. Nr.2_2'!I92</f>
        <v/>
      </c>
      <c r="AA96" s="34" t="str">
        <f>'Atest. Nr.2_3'!I92</f>
        <v/>
      </c>
      <c r="AB96" s="34" t="str">
        <f>Examen!G92</f>
        <v/>
      </c>
      <c r="AC96" s="34" t="str">
        <f>ReExaminare!G92</f>
        <v/>
      </c>
      <c r="AD96" s="104" t="str">
        <f>IF(NOT(ISBLANK(B96)),
IF(SUM(E96:S96)+SUM(Laborator!E97:R97)&lt;&gt;0,SUM(E96:S96)+SUM(Laborator!E97:R97),""),
"")</f>
        <v/>
      </c>
      <c r="AE96" s="104"/>
      <c r="AH96" s="34" t="str">
        <f t="shared" si="18"/>
        <v/>
      </c>
      <c r="AI96" s="34" t="str">
        <f t="shared" si="19"/>
        <v/>
      </c>
      <c r="AJ96" s="34" t="str">
        <f>IF(NOT(ISBLANK(C96)),
IF(Laborator!AN97="Admis",ROUND(Laborator!AM97,0),"n/p"),"")</f>
        <v/>
      </c>
      <c r="AK96" s="34" t="str">
        <f>IF(NOT(ISBLANK(C96)),
IF('Lucrari grafice'!F92&lt;&gt;"n/p",'Lucrari grafice'!F92,"n/p"),"")</f>
        <v/>
      </c>
      <c r="AL96" s="34" t="str">
        <f t="shared" si="20"/>
        <v/>
      </c>
      <c r="AM96" s="34" t="str">
        <f t="shared" si="21"/>
        <v/>
      </c>
      <c r="AN96" s="107" t="str">
        <f t="shared" si="14"/>
        <v/>
      </c>
      <c r="AO96" s="33" t="str">
        <f t="shared" si="15"/>
        <v/>
      </c>
      <c r="AP96" s="34" t="str">
        <f t="shared" si="16"/>
        <v/>
      </c>
    </row>
    <row r="97" spans="2:42" x14ac:dyDescent="0.3">
      <c r="B97" s="34" t="str">
        <f>IF(NOT(ISBLANK(C97)),COUNTA($C$6:C97),"")</f>
        <v/>
      </c>
      <c r="C97" s="71"/>
      <c r="D97" s="76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17"/>
        <v/>
      </c>
      <c r="U97"/>
      <c r="V97" s="34" t="str">
        <f>'Atest. Nr.1_1'!I93</f>
        <v/>
      </c>
      <c r="W97" s="34" t="str">
        <f>'Atest. Nr.1_2'!H93</f>
        <v/>
      </c>
      <c r="X97" s="34" t="str">
        <f>'Atest. Nr.1_3'!H93</f>
        <v/>
      </c>
      <c r="Y97" s="34" t="str">
        <f>'Atest. Nr.2_1'!I93</f>
        <v/>
      </c>
      <c r="Z97" s="34" t="str">
        <f>'Atest. Nr.2_2'!I93</f>
        <v/>
      </c>
      <c r="AA97" s="34" t="str">
        <f>'Atest. Nr.2_3'!I93</f>
        <v/>
      </c>
      <c r="AB97" s="34" t="str">
        <f>Examen!G93</f>
        <v/>
      </c>
      <c r="AC97" s="34" t="str">
        <f>ReExaminare!G93</f>
        <v/>
      </c>
      <c r="AD97" s="104" t="str">
        <f>IF(NOT(ISBLANK(B97)),
IF(SUM(E97:S97)+SUM(Laborator!E98:R98)&lt;&gt;0,SUM(E97:S97)+SUM(Laborator!E98:R98),""),
"")</f>
        <v/>
      </c>
      <c r="AE97" s="104"/>
      <c r="AH97" s="34" t="str">
        <f t="shared" si="18"/>
        <v/>
      </c>
      <c r="AI97" s="34" t="str">
        <f t="shared" si="19"/>
        <v/>
      </c>
      <c r="AJ97" s="34" t="str">
        <f>IF(NOT(ISBLANK(C97)),
IF(Laborator!AN98="Admis",ROUND(Laborator!AM98,0),"n/p"),"")</f>
        <v/>
      </c>
      <c r="AK97" s="34" t="str">
        <f>IF(NOT(ISBLANK(C97)),
IF('Lucrari grafice'!F93&lt;&gt;"n/p",'Lucrari grafice'!F93,"n/p"),"")</f>
        <v/>
      </c>
      <c r="AL97" s="34" t="str">
        <f t="shared" si="20"/>
        <v/>
      </c>
      <c r="AM97" s="34" t="str">
        <f t="shared" si="21"/>
        <v/>
      </c>
      <c r="AN97" s="107" t="str">
        <f t="shared" si="14"/>
        <v/>
      </c>
      <c r="AO97" s="33" t="str">
        <f t="shared" si="15"/>
        <v/>
      </c>
      <c r="AP97" s="34" t="str">
        <f t="shared" si="16"/>
        <v/>
      </c>
    </row>
    <row r="98" spans="2:42" x14ac:dyDescent="0.3">
      <c r="B98" s="34" t="str">
        <f>IF(NOT(ISBLANK(C98)),COUNTA($C$6:C98),"")</f>
        <v/>
      </c>
      <c r="C98" s="71"/>
      <c r="D98" s="76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17"/>
        <v/>
      </c>
      <c r="U98"/>
      <c r="V98" s="34" t="str">
        <f>'Atest. Nr.1_1'!I94</f>
        <v/>
      </c>
      <c r="W98" s="34" t="str">
        <f>'Atest. Nr.1_2'!H94</f>
        <v/>
      </c>
      <c r="X98" s="34" t="str">
        <f>'Atest. Nr.1_3'!H94</f>
        <v/>
      </c>
      <c r="Y98" s="34" t="str">
        <f>'Atest. Nr.2_1'!I94</f>
        <v/>
      </c>
      <c r="Z98" s="34" t="str">
        <f>'Atest. Nr.2_2'!I94</f>
        <v/>
      </c>
      <c r="AA98" s="34" t="str">
        <f>'Atest. Nr.2_3'!I94</f>
        <v/>
      </c>
      <c r="AB98" s="34" t="str">
        <f>Examen!G94</f>
        <v/>
      </c>
      <c r="AC98" s="34" t="str">
        <f>ReExaminare!G94</f>
        <v/>
      </c>
      <c r="AD98" s="104" t="str">
        <f>IF(NOT(ISBLANK(B98)),
IF(SUM(E98:S98)+SUM(Laborator!E99:R99)&lt;&gt;0,SUM(E98:S98)+SUM(Laborator!E99:R99),""),
"")</f>
        <v/>
      </c>
      <c r="AE98" s="104"/>
      <c r="AH98" s="34" t="str">
        <f t="shared" si="18"/>
        <v/>
      </c>
      <c r="AI98" s="34" t="str">
        <f t="shared" si="19"/>
        <v/>
      </c>
      <c r="AJ98" s="34" t="str">
        <f>IF(NOT(ISBLANK(C98)),
IF(Laborator!AN99="Admis",ROUND(Laborator!AM99,0),"n/p"),"")</f>
        <v/>
      </c>
      <c r="AK98" s="34" t="str">
        <f>IF(NOT(ISBLANK(C98)),
IF('Lucrari grafice'!F94&lt;&gt;"n/p",'Lucrari grafice'!F94,"n/p"),"")</f>
        <v/>
      </c>
      <c r="AL98" s="34" t="str">
        <f t="shared" si="20"/>
        <v/>
      </c>
      <c r="AM98" s="34" t="str">
        <f t="shared" si="21"/>
        <v/>
      </c>
      <c r="AN98" s="107" t="str">
        <f t="shared" si="14"/>
        <v/>
      </c>
      <c r="AO98" s="33" t="str">
        <f t="shared" si="15"/>
        <v/>
      </c>
      <c r="AP98" s="34" t="str">
        <f t="shared" si="16"/>
        <v/>
      </c>
    </row>
    <row r="99" spans="2:42" x14ac:dyDescent="0.3">
      <c r="B99" s="34" t="str">
        <f>IF(NOT(ISBLANK(C99)),COUNTA($C$6:C99),"")</f>
        <v/>
      </c>
      <c r="C99" s="71"/>
      <c r="D99" s="76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17"/>
        <v/>
      </c>
      <c r="U99"/>
      <c r="V99" s="34" t="str">
        <f>'Atest. Nr.1_1'!I95</f>
        <v/>
      </c>
      <c r="W99" s="34" t="str">
        <f>'Atest. Nr.1_2'!H95</f>
        <v/>
      </c>
      <c r="X99" s="34" t="str">
        <f>'Atest. Nr.1_3'!H95</f>
        <v/>
      </c>
      <c r="Y99" s="34" t="str">
        <f>'Atest. Nr.2_1'!I95</f>
        <v/>
      </c>
      <c r="Z99" s="34" t="str">
        <f>'Atest. Nr.2_2'!I95</f>
        <v/>
      </c>
      <c r="AA99" s="34" t="str">
        <f>'Atest. Nr.2_3'!I95</f>
        <v/>
      </c>
      <c r="AB99" s="34" t="str">
        <f>Examen!G95</f>
        <v/>
      </c>
      <c r="AC99" s="34" t="str">
        <f>ReExaminare!G95</f>
        <v/>
      </c>
      <c r="AD99" s="104" t="str">
        <f>IF(NOT(ISBLANK(B99)),
IF(SUM(E99:S99)+SUM(Laborator!E100:R100)&lt;&gt;0,SUM(E99:S99)+SUM(Laborator!E100:R100),""),
"")</f>
        <v/>
      </c>
      <c r="AE99" s="104"/>
      <c r="AH99" s="34" t="str">
        <f t="shared" si="18"/>
        <v/>
      </c>
      <c r="AI99" s="34" t="str">
        <f t="shared" si="19"/>
        <v/>
      </c>
      <c r="AJ99" s="34" t="str">
        <f>IF(NOT(ISBLANK(C99)),
IF(Laborator!AN100="Admis",ROUND(Laborator!AM100,0),"n/p"),"")</f>
        <v/>
      </c>
      <c r="AK99" s="34" t="str">
        <f>IF(NOT(ISBLANK(C99)),
IF('Lucrari grafice'!F95&lt;&gt;"n/p",'Lucrari grafice'!F95,"n/p"),"")</f>
        <v/>
      </c>
      <c r="AL99" s="34" t="str">
        <f t="shared" si="20"/>
        <v/>
      </c>
      <c r="AM99" s="34" t="str">
        <f t="shared" si="21"/>
        <v/>
      </c>
      <c r="AN99" s="107" t="str">
        <f t="shared" si="14"/>
        <v/>
      </c>
      <c r="AO99" s="33" t="str">
        <f t="shared" si="15"/>
        <v/>
      </c>
      <c r="AP99" s="34" t="str">
        <f t="shared" si="16"/>
        <v/>
      </c>
    </row>
    <row r="100" spans="2:42" x14ac:dyDescent="0.3">
      <c r="B100" s="34" t="str">
        <f>IF(NOT(ISBLANK(C100)),COUNTA($C$6:C100),"")</f>
        <v/>
      </c>
      <c r="C100" s="71"/>
      <c r="D100" s="76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17"/>
        <v/>
      </c>
      <c r="U100"/>
      <c r="V100" s="34" t="str">
        <f>'Atest. Nr.1_1'!I96</f>
        <v/>
      </c>
      <c r="W100" s="34" t="str">
        <f>'Atest. Nr.1_2'!H96</f>
        <v/>
      </c>
      <c r="X100" s="34" t="str">
        <f>'Atest. Nr.1_3'!H96</f>
        <v/>
      </c>
      <c r="Y100" s="34" t="str">
        <f>'Atest. Nr.2_1'!I96</f>
        <v/>
      </c>
      <c r="Z100" s="34" t="str">
        <f>'Atest. Nr.2_2'!I96</f>
        <v/>
      </c>
      <c r="AA100" s="34" t="str">
        <f>'Atest. Nr.2_3'!I96</f>
        <v/>
      </c>
      <c r="AB100" s="34" t="str">
        <f>Examen!G96</f>
        <v/>
      </c>
      <c r="AC100" s="34" t="str">
        <f>ReExaminare!G96</f>
        <v/>
      </c>
      <c r="AD100" s="104" t="str">
        <f>IF(NOT(ISBLANK(B100)),
IF(SUM(E100:S100)+SUM(Laborator!E101:R101)&lt;&gt;0,SUM(E100:S100)+SUM(Laborator!E101:R101),""),
"")</f>
        <v/>
      </c>
      <c r="AE100" s="104"/>
      <c r="AH100" s="34" t="str">
        <f t="shared" si="18"/>
        <v/>
      </c>
      <c r="AI100" s="34" t="str">
        <f t="shared" si="19"/>
        <v/>
      </c>
      <c r="AJ100" s="34" t="str">
        <f>IF(NOT(ISBLANK(C100)),
IF(Laborator!AN101="Admis",ROUND(Laborator!AM101,0),"n/p"),"")</f>
        <v/>
      </c>
      <c r="AK100" s="34" t="str">
        <f>IF(NOT(ISBLANK(C100)),
IF('Lucrari grafice'!F96&lt;&gt;"n/p",'Lucrari grafice'!F96,"n/p"),"")</f>
        <v/>
      </c>
      <c r="AL100" s="34" t="str">
        <f t="shared" si="20"/>
        <v/>
      </c>
      <c r="AM100" s="34" t="str">
        <f t="shared" si="21"/>
        <v/>
      </c>
      <c r="AN100" s="107" t="str">
        <f t="shared" si="14"/>
        <v/>
      </c>
      <c r="AO100" s="33" t="str">
        <f t="shared" si="15"/>
        <v/>
      </c>
      <c r="AP100" s="34" t="str">
        <f t="shared" si="16"/>
        <v/>
      </c>
    </row>
    <row r="101" spans="2:42" x14ac:dyDescent="0.3">
      <c r="B101" s="34" t="str">
        <f>IF(NOT(ISBLANK(C101)),COUNTA($C$6:C101),"")</f>
        <v/>
      </c>
      <c r="C101" s="71"/>
      <c r="D101" s="76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17"/>
        <v/>
      </c>
      <c r="U101"/>
      <c r="V101" s="34" t="str">
        <f>'Atest. Nr.1_1'!I97</f>
        <v/>
      </c>
      <c r="W101" s="34" t="str">
        <f>'Atest. Nr.1_2'!H97</f>
        <v/>
      </c>
      <c r="X101" s="34" t="str">
        <f>'Atest. Nr.1_3'!H97</f>
        <v/>
      </c>
      <c r="Y101" s="34" t="str">
        <f>'Atest. Nr.2_1'!I97</f>
        <v/>
      </c>
      <c r="Z101" s="34" t="str">
        <f>'Atest. Nr.2_2'!I97</f>
        <v/>
      </c>
      <c r="AA101" s="34" t="str">
        <f>'Atest. Nr.2_3'!I97</f>
        <v/>
      </c>
      <c r="AB101" s="34" t="str">
        <f>Examen!G97</f>
        <v/>
      </c>
      <c r="AC101" s="34" t="str">
        <f>ReExaminare!G97</f>
        <v/>
      </c>
      <c r="AD101" s="104" t="str">
        <f>IF(NOT(ISBLANK(B101)),
IF(SUM(E101:S101)+SUM(Laborator!E102:R102)&lt;&gt;0,SUM(E101:S101)+SUM(Laborator!E102:R102),""),
"")</f>
        <v/>
      </c>
      <c r="AE101" s="104"/>
      <c r="AH101" s="34" t="str">
        <f t="shared" si="18"/>
        <v/>
      </c>
      <c r="AI101" s="34" t="str">
        <f t="shared" si="19"/>
        <v/>
      </c>
      <c r="AJ101" s="34" t="str">
        <f>IF(NOT(ISBLANK(C101)),
IF(Laborator!AN102="Admis",ROUND(Laborator!AM102,0),"n/p"),"")</f>
        <v/>
      </c>
      <c r="AK101" s="34" t="str">
        <f>IF(NOT(ISBLANK(C101)),
IF('Lucrari grafice'!F97&lt;&gt;"n/p",'Lucrari grafice'!F97,"n/p"),"")</f>
        <v/>
      </c>
      <c r="AL101" s="34" t="str">
        <f t="shared" si="20"/>
        <v/>
      </c>
      <c r="AM101" s="34" t="str">
        <f t="shared" si="21"/>
        <v/>
      </c>
      <c r="AN101" s="107" t="str">
        <f t="shared" si="14"/>
        <v/>
      </c>
      <c r="AO101" s="33" t="str">
        <f t="shared" si="15"/>
        <v/>
      </c>
      <c r="AP101" s="34" t="str">
        <f t="shared" si="16"/>
        <v/>
      </c>
    </row>
    <row r="102" spans="2:42" x14ac:dyDescent="0.3">
      <c r="B102" s="34" t="str">
        <f>IF(NOT(ISBLANK(C102)),COUNTA($C$6:C102),"")</f>
        <v/>
      </c>
      <c r="C102" s="71"/>
      <c r="D102" s="76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17"/>
        <v/>
      </c>
      <c r="U102"/>
      <c r="V102" s="34" t="str">
        <f>'Atest. Nr.1_1'!I98</f>
        <v/>
      </c>
      <c r="W102" s="34" t="str">
        <f>'Atest. Nr.1_2'!H98</f>
        <v/>
      </c>
      <c r="X102" s="34" t="str">
        <f>'Atest. Nr.1_3'!H98</f>
        <v/>
      </c>
      <c r="Y102" s="34" t="str">
        <f>'Atest. Nr.2_1'!I98</f>
        <v/>
      </c>
      <c r="Z102" s="34" t="str">
        <f>'Atest. Nr.2_2'!I98</f>
        <v/>
      </c>
      <c r="AA102" s="34" t="str">
        <f>'Atest. Nr.2_3'!I98</f>
        <v/>
      </c>
      <c r="AB102" s="34" t="str">
        <f>Examen!G98</f>
        <v/>
      </c>
      <c r="AC102" s="34" t="str">
        <f>ReExaminare!G98</f>
        <v/>
      </c>
      <c r="AD102" s="104" t="str">
        <f>IF(NOT(ISBLANK(B102)),
IF(SUM(E102:S102)+SUM(Laborator!E103:R103)&lt;&gt;0,SUM(E102:S102)+SUM(Laborator!E103:R103),""),
"")</f>
        <v/>
      </c>
      <c r="AE102" s="104"/>
      <c r="AH102" s="34" t="str">
        <f t="shared" si="18"/>
        <v/>
      </c>
      <c r="AI102" s="34" t="str">
        <f t="shared" si="19"/>
        <v/>
      </c>
      <c r="AJ102" s="34" t="str">
        <f>IF(NOT(ISBLANK(C102)),
IF(Laborator!AN103="Admis",ROUND(Laborator!AM103,0),"n/p"),"")</f>
        <v/>
      </c>
      <c r="AK102" s="34" t="str">
        <f>IF(NOT(ISBLANK(C102)),
IF('Lucrari grafice'!F98&lt;&gt;"n/p",'Lucrari grafice'!F98,"n/p"),"")</f>
        <v/>
      </c>
      <c r="AL102" s="34" t="str">
        <f t="shared" si="20"/>
        <v/>
      </c>
      <c r="AM102" s="34" t="str">
        <f t="shared" si="21"/>
        <v/>
      </c>
      <c r="AN102" s="107" t="str">
        <f t="shared" ref="AN102:AN105" si="22">IF(NOT(ISBLANK(C102)),
IF(OR(AM102="n/a",AM102="n/p")," ",
IF(AM102&lt;5,AM102,TRUNC(AL102*0.6+AM102*0.4,2))),
"")</f>
        <v/>
      </c>
      <c r="AO102" s="33" t="str">
        <f t="shared" ref="AO102:AO105" si="23">IF(NOT(ISBLANK(C102)),
IF(AN102=" "," ",
IF(AND(AN102&gt;=1,AN102&lt;2),"(unu, "&amp;ROUNDUP(MOD(AN102*100,100),0)&amp;")",
IF(AND(AN102&gt;=2,AN102&lt;3),"(doi, "&amp;ROUNDUP(MOD(AN102*100,100),0)&amp;")",
IF(AND(AN102&gt;=3,AN102&lt;4),"(trei, "&amp;ROUNDUP(MOD(AN102*100,100),0)&amp;")",
IF(AND(AN102&gt;=4,AN102&lt;5),"(patru, "&amp;ROUNDUP(MOD(AN102*100,100),0)&amp;")",
IF(AND(AN102&gt;=5,AN102&lt;6),"(cinci, "&amp;ROUNDUP(MOD(AN102*100,100),0)&amp;")",
IF(AND(AN102&gt;=6,AN102&lt;7),"(şase, "&amp;ROUNDUP(MOD(AN102*100,100),0)&amp;")",
IF(AND(AN102&gt;=7,AN102&lt;8),"(şapte, "&amp;ROUNDUP(MOD(AN102*100,100),0)&amp;")",
IF(AND(AN102&gt;=8,AN102&lt;9),"(opt, "&amp;ROUNDUP(MOD(AN102*100,100),0)&amp;")",
IF(AND(AN102&gt;=9,AN102&lt;10),"(nouă, "&amp;ROUNDUP(MOD(AN102*100,100),0)&amp;")",
IF(AN102=10,"(zece, 00)",
))))))))))),"")</f>
        <v/>
      </c>
      <c r="AP102" s="34" t="str">
        <f t="shared" si="16"/>
        <v/>
      </c>
    </row>
    <row r="103" spans="2:42" x14ac:dyDescent="0.3">
      <c r="B103" s="34" t="str">
        <f>IF(NOT(ISBLANK(C103)),COUNTA($C$6:C103),"")</f>
        <v/>
      </c>
      <c r="C103" s="71"/>
      <c r="D103" s="76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17"/>
        <v/>
      </c>
      <c r="U103"/>
      <c r="V103" s="34" t="str">
        <f>'Atest. Nr.1_1'!I99</f>
        <v/>
      </c>
      <c r="W103" s="34" t="str">
        <f>'Atest. Nr.1_2'!H99</f>
        <v/>
      </c>
      <c r="X103" s="34" t="str">
        <f>'Atest. Nr.1_3'!H99</f>
        <v/>
      </c>
      <c r="Y103" s="34" t="str">
        <f>'Atest. Nr.2_1'!I99</f>
        <v/>
      </c>
      <c r="Z103" s="34" t="str">
        <f>'Atest. Nr.2_2'!I99</f>
        <v/>
      </c>
      <c r="AA103" s="34" t="str">
        <f>'Atest. Nr.2_3'!I99</f>
        <v/>
      </c>
      <c r="AB103" s="34" t="str">
        <f>Examen!G99</f>
        <v/>
      </c>
      <c r="AC103" s="34" t="str">
        <f>ReExaminare!G99</f>
        <v/>
      </c>
      <c r="AD103" s="104" t="str">
        <f>IF(NOT(ISBLANK(B103)),
IF(SUM(E103:S103)+SUM(Laborator!E104:R104)&lt;&gt;0,SUM(E103:S103)+SUM(Laborator!E104:R104),""),
"")</f>
        <v/>
      </c>
      <c r="AE103" s="104"/>
      <c r="AH103" s="34" t="str">
        <f t="shared" si="18"/>
        <v/>
      </c>
      <c r="AI103" s="34" t="str">
        <f t="shared" si="19"/>
        <v/>
      </c>
      <c r="AJ103" s="34" t="str">
        <f>IF(NOT(ISBLANK(C103)),
IF(Laborator!AN104="Admis",ROUND(Laborator!AM104,0),"n/p"),"")</f>
        <v/>
      </c>
      <c r="AK103" s="34" t="str">
        <f>IF(NOT(ISBLANK(C103)),
IF('Lucrari grafice'!F99&lt;&gt;"n/p",'Lucrari grafice'!F99,"n/p"),"")</f>
        <v/>
      </c>
      <c r="AL103" s="34" t="str">
        <f t="shared" si="20"/>
        <v/>
      </c>
      <c r="AM103" s="34" t="str">
        <f t="shared" si="21"/>
        <v/>
      </c>
      <c r="AN103" s="107" t="str">
        <f t="shared" si="22"/>
        <v/>
      </c>
      <c r="AO103" s="33" t="str">
        <f t="shared" si="23"/>
        <v/>
      </c>
      <c r="AP103" s="34" t="str">
        <f t="shared" si="16"/>
        <v/>
      </c>
    </row>
    <row r="104" spans="2:42" x14ac:dyDescent="0.3">
      <c r="B104" s="34" t="str">
        <f>IF(NOT(ISBLANK(C104)),COUNTA($C$6:C104),"")</f>
        <v/>
      </c>
      <c r="C104" s="71"/>
      <c r="D104" s="76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17"/>
        <v/>
      </c>
      <c r="U104"/>
      <c r="V104" s="34" t="str">
        <f>'Atest. Nr.1_1'!I100</f>
        <v/>
      </c>
      <c r="W104" s="34" t="str">
        <f>'Atest. Nr.1_2'!H100</f>
        <v/>
      </c>
      <c r="X104" s="34" t="str">
        <f>'Atest. Nr.1_3'!H100</f>
        <v/>
      </c>
      <c r="Y104" s="34" t="str">
        <f>'Atest. Nr.2_1'!I100</f>
        <v/>
      </c>
      <c r="Z104" s="34" t="str">
        <f>'Atest. Nr.2_2'!I100</f>
        <v/>
      </c>
      <c r="AA104" s="34" t="str">
        <f>'Atest. Nr.2_3'!I100</f>
        <v/>
      </c>
      <c r="AB104" s="34" t="str">
        <f>Examen!G100</f>
        <v/>
      </c>
      <c r="AC104" s="34" t="str">
        <f>ReExaminare!G100</f>
        <v/>
      </c>
      <c r="AD104" s="104" t="str">
        <f>IF(NOT(ISBLANK(B104)),
IF(SUM(E104:S104)+SUM(Laborator!E105:R105)&lt;&gt;0,SUM(E104:S104)+SUM(Laborator!E105:R105),""),
"")</f>
        <v/>
      </c>
      <c r="AE104" s="104"/>
      <c r="AH104" s="34" t="str">
        <f t="shared" si="18"/>
        <v/>
      </c>
      <c r="AI104" s="34" t="str">
        <f t="shared" si="19"/>
        <v/>
      </c>
      <c r="AJ104" s="34" t="str">
        <f>IF(NOT(ISBLANK(C104)),
IF(Laborator!AN105="Admis",ROUND(Laborator!AM105,0),"n/p"),"")</f>
        <v/>
      </c>
      <c r="AK104" s="34" t="str">
        <f>IF(NOT(ISBLANK(C104)),
IF('Lucrari grafice'!F100&lt;&gt;"n/p",'Lucrari grafice'!F100,"n/p"),"")</f>
        <v/>
      </c>
      <c r="AL104" s="34" t="str">
        <f t="shared" si="20"/>
        <v/>
      </c>
      <c r="AM104" s="34" t="str">
        <f t="shared" si="21"/>
        <v/>
      </c>
      <c r="AN104" s="107" t="str">
        <f t="shared" si="22"/>
        <v/>
      </c>
      <c r="AO104" s="33" t="str">
        <f t="shared" si="23"/>
        <v/>
      </c>
      <c r="AP104" s="34" t="str">
        <f t="shared" si="16"/>
        <v/>
      </c>
    </row>
    <row r="105" spans="2:42" x14ac:dyDescent="0.3">
      <c r="B105" s="34" t="str">
        <f>IF(NOT(ISBLANK(C105)),COUNTA($C$6:C105),"")</f>
        <v/>
      </c>
      <c r="C105" s="71"/>
      <c r="D105" s="76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17"/>
        <v/>
      </c>
      <c r="U105"/>
      <c r="V105" s="34" t="str">
        <f>'Atest. Nr.1_1'!I101</f>
        <v/>
      </c>
      <c r="W105" s="34" t="str">
        <f>'Atest. Nr.1_2'!H101</f>
        <v/>
      </c>
      <c r="X105" s="34" t="str">
        <f>'Atest. Nr.1_3'!H101</f>
        <v/>
      </c>
      <c r="Y105" s="34" t="str">
        <f>'Atest. Nr.2_1'!I101</f>
        <v/>
      </c>
      <c r="Z105" s="34" t="str">
        <f>'Atest. Nr.2_2'!I101</f>
        <v/>
      </c>
      <c r="AA105" s="34" t="str">
        <f>'Atest. Nr.2_3'!I101</f>
        <v/>
      </c>
      <c r="AB105" s="34" t="str">
        <f>Examen!G101</f>
        <v/>
      </c>
      <c r="AC105" s="34" t="str">
        <f>ReExaminare!G101</f>
        <v/>
      </c>
      <c r="AD105" s="104" t="str">
        <f>IF(NOT(ISBLANK(B105)),
IF(SUM(E105:S105)+SUM(Laborator!E106:R106)&lt;&gt;0,SUM(E105:S105)+SUM(Laborator!E106:R106),""),
"")</f>
        <v/>
      </c>
      <c r="AE105" s="104"/>
      <c r="AH105" s="34" t="str">
        <f t="shared" si="18"/>
        <v/>
      </c>
      <c r="AI105" s="34" t="str">
        <f t="shared" si="19"/>
        <v/>
      </c>
      <c r="AJ105" s="34" t="str">
        <f>IF(NOT(ISBLANK(C105)),
IF(Laborator!AN106="Admis",ROUND(Laborator!AM106,0),"n/p"),"")</f>
        <v/>
      </c>
      <c r="AK105" s="34" t="str">
        <f>IF(NOT(ISBLANK(C105)),
IF('Lucrari grafice'!F101&lt;&gt;"n/p",'Lucrari grafice'!F101,"n/p"),"")</f>
        <v/>
      </c>
      <c r="AL105" s="34" t="str">
        <f t="shared" si="20"/>
        <v/>
      </c>
      <c r="AM105" s="34" t="str">
        <f t="shared" si="21"/>
        <v/>
      </c>
      <c r="AN105" s="107" t="str">
        <f t="shared" si="22"/>
        <v/>
      </c>
      <c r="AO105" s="33" t="str">
        <f t="shared" si="23"/>
        <v/>
      </c>
      <c r="AP105" s="34" t="str">
        <f t="shared" si="16"/>
        <v/>
      </c>
    </row>
    <row r="106" spans="2:42" ht="17.399999999999999" x14ac:dyDescent="0.3">
      <c r="B106" s="77"/>
      <c r="C106" s="79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7"/>
      <c r="W106" s="77"/>
      <c r="X106" s="77"/>
      <c r="Y106" s="77"/>
      <c r="Z106" s="77"/>
      <c r="AA106" s="77"/>
      <c r="AB106" s="77"/>
      <c r="AC106" s="77"/>
      <c r="AD106" s="104"/>
      <c r="AE106" s="104"/>
      <c r="AF106" s="82"/>
      <c r="AG106" s="77"/>
      <c r="AH106" s="77"/>
      <c r="AI106" s="77"/>
      <c r="AJ106" s="77"/>
      <c r="AK106" s="77"/>
      <c r="AL106" s="77"/>
      <c r="AM106" s="106"/>
      <c r="AN106" s="77"/>
      <c r="AO106" s="77"/>
      <c r="AP106" s="34" t="str">
        <f t="shared" si="16"/>
        <v/>
      </c>
    </row>
    <row r="107" spans="2:42" ht="17.399999999999999" x14ac:dyDescent="0.3">
      <c r="B107" s="77"/>
      <c r="C107" s="79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104"/>
      <c r="AE107" s="104"/>
      <c r="AF107" s="82"/>
      <c r="AG107" s="77"/>
      <c r="AH107" s="77"/>
      <c r="AI107" s="77"/>
      <c r="AJ107" s="77"/>
      <c r="AK107" s="77"/>
      <c r="AL107" s="77"/>
      <c r="AM107" s="106"/>
      <c r="AN107" s="77"/>
      <c r="AO107" s="77"/>
      <c r="AP107" s="77"/>
    </row>
    <row r="108" spans="2:42" ht="17.399999999999999" x14ac:dyDescent="0.3">
      <c r="B108" s="77"/>
      <c r="C108" s="79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104"/>
      <c r="AE108" s="104"/>
      <c r="AF108" s="82"/>
      <c r="AG108" s="77"/>
      <c r="AH108" s="77"/>
      <c r="AI108" s="77"/>
      <c r="AJ108" s="77"/>
      <c r="AK108" s="77"/>
      <c r="AL108" s="77"/>
      <c r="AM108" s="106"/>
      <c r="AN108" s="77"/>
      <c r="AO108" s="77"/>
      <c r="AP108" s="77"/>
    </row>
    <row r="109" spans="2:42" ht="17.399999999999999" x14ac:dyDescent="0.3">
      <c r="B109" s="77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7"/>
      <c r="U109" s="77"/>
      <c r="V109" s="76"/>
      <c r="W109" s="76"/>
      <c r="X109" s="76"/>
      <c r="Y109" s="76"/>
      <c r="Z109" s="76"/>
      <c r="AA109" s="76"/>
      <c r="AB109" s="76"/>
      <c r="AC109" s="76"/>
      <c r="AF109" s="82"/>
      <c r="AG109" s="77"/>
      <c r="AH109" s="76"/>
      <c r="AI109" s="76"/>
      <c r="AJ109" s="76"/>
      <c r="AK109" s="76"/>
      <c r="AL109" s="76"/>
      <c r="AM109" s="83"/>
      <c r="AN109" s="76"/>
      <c r="AO109" s="76"/>
      <c r="AP109" s="76"/>
    </row>
    <row r="110" spans="2:42" ht="17.399999999999999" x14ac:dyDescent="0.3">
      <c r="B110" s="77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7"/>
      <c r="U110" s="77"/>
      <c r="V110" s="76"/>
      <c r="W110" s="76"/>
      <c r="X110" s="76"/>
      <c r="Y110" s="76"/>
      <c r="Z110" s="76"/>
      <c r="AA110" s="76"/>
      <c r="AB110" s="76"/>
      <c r="AC110" s="76"/>
      <c r="AF110" s="82"/>
      <c r="AG110" s="77"/>
      <c r="AH110" s="76"/>
      <c r="AI110" s="76"/>
      <c r="AJ110" s="76"/>
      <c r="AK110" s="76"/>
      <c r="AL110" s="76"/>
      <c r="AM110" s="83"/>
      <c r="AN110" s="76"/>
      <c r="AO110" s="76"/>
      <c r="AP110" s="76"/>
    </row>
    <row r="111" spans="2:42" ht="17.399999999999999" x14ac:dyDescent="0.3">
      <c r="B111" s="77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7"/>
      <c r="U111" s="77"/>
      <c r="V111" s="76"/>
      <c r="W111" s="76"/>
      <c r="X111" s="76"/>
      <c r="Y111" s="76"/>
      <c r="Z111" s="76"/>
      <c r="AA111" s="76"/>
      <c r="AB111" s="76"/>
      <c r="AC111" s="76"/>
      <c r="AF111" s="82"/>
      <c r="AG111" s="77"/>
      <c r="AH111" s="76"/>
      <c r="AI111" s="76"/>
      <c r="AJ111" s="76"/>
      <c r="AK111" s="76"/>
      <c r="AL111" s="76"/>
      <c r="AM111" s="83"/>
      <c r="AN111" s="76"/>
      <c r="AO111" s="76"/>
      <c r="AP111" s="76"/>
    </row>
    <row r="112" spans="2:42" ht="17.399999999999999" x14ac:dyDescent="0.3">
      <c r="B112" s="77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7"/>
      <c r="U112" s="77"/>
      <c r="V112" s="76"/>
      <c r="W112" s="76"/>
      <c r="X112" s="76"/>
      <c r="Y112" s="76"/>
      <c r="Z112" s="76"/>
      <c r="AA112" s="76"/>
      <c r="AB112" s="76"/>
      <c r="AC112" s="76"/>
      <c r="AF112" s="82"/>
      <c r="AG112" s="77"/>
      <c r="AH112" s="76"/>
      <c r="AI112" s="76"/>
      <c r="AJ112" s="76"/>
      <c r="AK112" s="76"/>
      <c r="AL112" s="76"/>
      <c r="AM112" s="83"/>
      <c r="AN112" s="76"/>
      <c r="AO112" s="76"/>
      <c r="AP112" s="76"/>
    </row>
    <row r="113" spans="2:42" ht="17.399999999999999" x14ac:dyDescent="0.3">
      <c r="B113" s="77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7"/>
      <c r="U113" s="77"/>
      <c r="V113" s="76"/>
      <c r="W113" s="76"/>
      <c r="X113" s="76"/>
      <c r="Y113" s="76"/>
      <c r="Z113" s="76"/>
      <c r="AA113" s="76"/>
      <c r="AB113" s="76"/>
      <c r="AC113" s="76"/>
      <c r="AF113" s="82"/>
      <c r="AG113" s="77"/>
      <c r="AH113" s="76"/>
      <c r="AI113" s="76"/>
      <c r="AJ113" s="76"/>
      <c r="AK113" s="76"/>
      <c r="AL113" s="76"/>
      <c r="AM113" s="83"/>
      <c r="AN113" s="76"/>
      <c r="AO113" s="76"/>
      <c r="AP113" s="76"/>
    </row>
    <row r="114" spans="2:42" ht="17.399999999999999" x14ac:dyDescent="0.3">
      <c r="B114" s="77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7"/>
      <c r="U114" s="77"/>
      <c r="V114" s="76"/>
      <c r="W114" s="76"/>
      <c r="X114" s="76"/>
      <c r="Y114" s="76"/>
      <c r="Z114" s="76"/>
      <c r="AA114" s="76"/>
      <c r="AB114" s="76"/>
      <c r="AC114" s="76"/>
      <c r="AF114" s="82"/>
      <c r="AG114" s="77"/>
      <c r="AH114" s="76"/>
      <c r="AI114" s="76"/>
      <c r="AJ114" s="76"/>
      <c r="AK114" s="76"/>
      <c r="AL114" s="76"/>
      <c r="AM114" s="83"/>
      <c r="AN114" s="76"/>
      <c r="AO114" s="76"/>
      <c r="AP114" s="76"/>
    </row>
    <row r="115" spans="2:42" ht="17.399999999999999" x14ac:dyDescent="0.3">
      <c r="B115" s="77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7"/>
      <c r="U115" s="77"/>
      <c r="V115" s="76"/>
      <c r="W115" s="76"/>
      <c r="X115" s="76"/>
      <c r="Y115" s="76"/>
      <c r="Z115" s="76"/>
      <c r="AA115" s="76"/>
      <c r="AB115" s="76"/>
      <c r="AC115" s="76"/>
      <c r="AF115" s="82"/>
      <c r="AG115" s="77"/>
      <c r="AH115" s="76"/>
      <c r="AI115" s="76"/>
      <c r="AJ115" s="76"/>
      <c r="AK115" s="76"/>
      <c r="AL115" s="76"/>
      <c r="AM115" s="83"/>
      <c r="AN115" s="76"/>
      <c r="AO115" s="76"/>
      <c r="AP115" s="76"/>
    </row>
    <row r="116" spans="2:42" ht="17.399999999999999" x14ac:dyDescent="0.3">
      <c r="B116" s="77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7"/>
      <c r="U116" s="77"/>
      <c r="V116" s="76"/>
      <c r="W116" s="76"/>
      <c r="X116" s="76"/>
      <c r="Y116" s="76"/>
      <c r="Z116" s="76"/>
      <c r="AA116" s="76"/>
      <c r="AB116" s="76"/>
      <c r="AC116" s="76"/>
      <c r="AF116" s="82"/>
      <c r="AG116" s="77"/>
      <c r="AH116" s="76"/>
      <c r="AI116" s="76"/>
      <c r="AJ116" s="76"/>
      <c r="AK116" s="76"/>
      <c r="AL116" s="76"/>
      <c r="AM116" s="83"/>
      <c r="AN116" s="76"/>
      <c r="AO116" s="76"/>
      <c r="AP116" s="76"/>
    </row>
    <row r="117" spans="2:42" ht="17.399999999999999" x14ac:dyDescent="0.3">
      <c r="B117" s="77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7"/>
      <c r="U117" s="77"/>
      <c r="V117" s="76"/>
      <c r="W117" s="76"/>
      <c r="X117" s="76"/>
      <c r="Y117" s="76"/>
      <c r="Z117" s="76"/>
      <c r="AA117" s="76"/>
      <c r="AB117" s="76"/>
      <c r="AC117" s="76"/>
      <c r="AF117" s="82"/>
      <c r="AG117" s="77"/>
      <c r="AH117" s="76"/>
      <c r="AI117" s="76"/>
      <c r="AJ117" s="76"/>
      <c r="AK117" s="76"/>
      <c r="AL117" s="76"/>
      <c r="AM117" s="83"/>
      <c r="AN117" s="76"/>
      <c r="AO117" s="76"/>
      <c r="AP117" s="76"/>
    </row>
    <row r="118" spans="2:42" ht="17.399999999999999" x14ac:dyDescent="0.3">
      <c r="B118" s="77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7"/>
      <c r="U118" s="77"/>
      <c r="V118" s="76"/>
      <c r="W118" s="76"/>
      <c r="X118" s="76"/>
      <c r="Y118" s="76"/>
      <c r="Z118" s="76"/>
      <c r="AA118" s="76"/>
      <c r="AB118" s="76"/>
      <c r="AC118" s="76"/>
      <c r="AF118" s="82"/>
      <c r="AG118" s="77"/>
      <c r="AH118" s="76"/>
      <c r="AI118" s="76"/>
      <c r="AJ118" s="76"/>
      <c r="AK118" s="76"/>
      <c r="AL118" s="76"/>
      <c r="AM118" s="83"/>
      <c r="AN118" s="76"/>
      <c r="AO118" s="76"/>
      <c r="AP118" s="76"/>
    </row>
    <row r="119" spans="2:42" ht="17.399999999999999" x14ac:dyDescent="0.3">
      <c r="B119" s="77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7"/>
      <c r="U119" s="77"/>
      <c r="V119" s="76"/>
      <c r="W119" s="76"/>
      <c r="X119" s="76"/>
      <c r="Y119" s="76"/>
      <c r="Z119" s="76"/>
      <c r="AA119" s="76"/>
      <c r="AB119" s="76"/>
      <c r="AC119" s="76"/>
      <c r="AF119" s="82"/>
      <c r="AG119" s="77"/>
      <c r="AH119" s="76"/>
      <c r="AI119" s="76"/>
      <c r="AJ119" s="76"/>
      <c r="AK119" s="76"/>
      <c r="AL119" s="76"/>
      <c r="AM119" s="83"/>
      <c r="AN119" s="76"/>
      <c r="AO119" s="76"/>
      <c r="AP119" s="76"/>
    </row>
    <row r="120" spans="2:42" ht="17.399999999999999" x14ac:dyDescent="0.3">
      <c r="B120" s="77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7"/>
      <c r="U120" s="77"/>
      <c r="V120" s="76"/>
      <c r="W120" s="76"/>
      <c r="X120" s="76"/>
      <c r="Y120" s="76"/>
      <c r="Z120" s="76"/>
      <c r="AA120" s="76"/>
      <c r="AB120" s="76"/>
      <c r="AC120" s="76"/>
      <c r="AF120" s="82"/>
      <c r="AG120" s="77"/>
      <c r="AH120" s="76"/>
      <c r="AI120" s="76"/>
      <c r="AJ120" s="76"/>
      <c r="AK120" s="76"/>
      <c r="AL120" s="76"/>
      <c r="AM120" s="83"/>
      <c r="AN120" s="76"/>
      <c r="AO120" s="76"/>
      <c r="AP120" s="76"/>
    </row>
    <row r="121" spans="2:42" ht="17.399999999999999" x14ac:dyDescent="0.3">
      <c r="B121" s="77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7"/>
      <c r="U121" s="77"/>
      <c r="V121" s="76"/>
      <c r="W121" s="76"/>
      <c r="X121" s="76"/>
      <c r="Y121" s="76"/>
      <c r="Z121" s="76"/>
      <c r="AA121" s="76"/>
      <c r="AB121" s="76"/>
      <c r="AC121" s="76"/>
      <c r="AF121" s="82"/>
      <c r="AG121" s="77"/>
      <c r="AH121" s="76"/>
      <c r="AI121" s="76"/>
      <c r="AJ121" s="76"/>
      <c r="AK121" s="76"/>
      <c r="AL121" s="76"/>
      <c r="AM121" s="83"/>
      <c r="AN121" s="76"/>
      <c r="AO121" s="76"/>
      <c r="AP121" s="76"/>
    </row>
    <row r="122" spans="2:42" ht="17.399999999999999" x14ac:dyDescent="0.3">
      <c r="B122" s="77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7"/>
      <c r="U122" s="77"/>
      <c r="V122" s="76"/>
      <c r="W122" s="76"/>
      <c r="X122" s="76"/>
      <c r="Y122" s="76"/>
      <c r="Z122" s="76"/>
      <c r="AA122" s="76"/>
      <c r="AB122" s="76"/>
      <c r="AC122" s="76"/>
      <c r="AF122" s="82"/>
      <c r="AG122" s="77"/>
      <c r="AH122" s="76"/>
      <c r="AI122" s="76"/>
      <c r="AJ122" s="76"/>
      <c r="AK122" s="76"/>
      <c r="AL122" s="76"/>
      <c r="AM122" s="83"/>
      <c r="AN122" s="76"/>
      <c r="AO122" s="76"/>
      <c r="AP122" s="76"/>
    </row>
    <row r="123" spans="2:42" ht="17.399999999999999" x14ac:dyDescent="0.3">
      <c r="B123" s="77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7"/>
      <c r="U123" s="77"/>
      <c r="V123" s="76"/>
      <c r="W123" s="76"/>
      <c r="X123" s="76"/>
      <c r="Y123" s="76"/>
      <c r="Z123" s="76"/>
      <c r="AA123" s="76"/>
      <c r="AB123" s="76"/>
      <c r="AC123" s="76"/>
      <c r="AF123" s="82"/>
      <c r="AG123" s="77"/>
      <c r="AH123" s="76"/>
      <c r="AI123" s="76"/>
      <c r="AJ123" s="76"/>
      <c r="AK123" s="76"/>
      <c r="AL123" s="76"/>
      <c r="AM123" s="83"/>
      <c r="AN123" s="76"/>
      <c r="AO123" s="76"/>
      <c r="AP123" s="76"/>
    </row>
    <row r="124" spans="2:42" ht="17.399999999999999" x14ac:dyDescent="0.3">
      <c r="B124" s="77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7"/>
      <c r="U124" s="77"/>
      <c r="V124" s="76"/>
      <c r="W124" s="76"/>
      <c r="X124" s="76"/>
      <c r="Y124" s="76"/>
      <c r="Z124" s="76"/>
      <c r="AA124" s="76"/>
      <c r="AB124" s="76"/>
      <c r="AC124" s="76"/>
      <c r="AF124" s="82"/>
      <c r="AG124" s="77"/>
      <c r="AH124" s="76"/>
      <c r="AI124" s="76"/>
      <c r="AJ124" s="76"/>
      <c r="AK124" s="76"/>
      <c r="AL124" s="76"/>
      <c r="AM124" s="83"/>
      <c r="AN124" s="76"/>
      <c r="AO124" s="76"/>
      <c r="AP124" s="76"/>
    </row>
    <row r="125" spans="2:42" ht="17.399999999999999" x14ac:dyDescent="0.3">
      <c r="B125" s="77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7"/>
      <c r="U125" s="77"/>
      <c r="V125" s="76"/>
      <c r="W125" s="76"/>
      <c r="X125" s="76"/>
      <c r="Y125" s="76"/>
      <c r="Z125" s="76"/>
      <c r="AA125" s="76"/>
      <c r="AB125" s="76"/>
      <c r="AC125" s="76"/>
      <c r="AF125" s="82"/>
      <c r="AG125" s="77"/>
      <c r="AH125" s="76"/>
      <c r="AI125" s="76"/>
      <c r="AJ125" s="76"/>
      <c r="AK125" s="76"/>
      <c r="AL125" s="76"/>
      <c r="AM125" s="83"/>
      <c r="AN125" s="76"/>
      <c r="AO125" s="76"/>
      <c r="AP125" s="76"/>
    </row>
    <row r="126" spans="2:42" ht="17.399999999999999" x14ac:dyDescent="0.3">
      <c r="B126" s="77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7"/>
      <c r="U126" s="77"/>
      <c r="V126" s="76"/>
      <c r="W126" s="76"/>
      <c r="X126" s="76"/>
      <c r="Y126" s="76"/>
      <c r="Z126" s="76"/>
      <c r="AA126" s="76"/>
      <c r="AB126" s="76"/>
      <c r="AC126" s="76"/>
      <c r="AF126" s="82"/>
      <c r="AG126" s="77"/>
      <c r="AH126" s="76"/>
      <c r="AI126" s="76"/>
      <c r="AJ126" s="76"/>
      <c r="AK126" s="76"/>
      <c r="AL126" s="76"/>
      <c r="AM126" s="83"/>
      <c r="AN126" s="76"/>
      <c r="AO126" s="76"/>
      <c r="AP126" s="76"/>
    </row>
    <row r="127" spans="2:42" ht="17.399999999999999" x14ac:dyDescent="0.3">
      <c r="B127" s="77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7"/>
      <c r="U127" s="77"/>
      <c r="V127" s="76"/>
      <c r="W127" s="76"/>
      <c r="X127" s="76"/>
      <c r="Y127" s="76"/>
      <c r="Z127" s="76"/>
      <c r="AA127" s="76"/>
      <c r="AB127" s="76"/>
      <c r="AC127" s="76"/>
      <c r="AF127" s="82"/>
      <c r="AG127" s="77"/>
      <c r="AH127" s="76"/>
      <c r="AI127" s="76"/>
      <c r="AJ127" s="76"/>
      <c r="AK127" s="76"/>
      <c r="AL127" s="76"/>
      <c r="AM127" s="83"/>
      <c r="AN127" s="76"/>
      <c r="AO127" s="76"/>
      <c r="AP127" s="76"/>
    </row>
    <row r="128" spans="2:42" ht="17.399999999999999" x14ac:dyDescent="0.3">
      <c r="B128" s="77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7"/>
      <c r="U128" s="77"/>
      <c r="V128" s="76"/>
      <c r="W128" s="76"/>
      <c r="X128" s="76"/>
      <c r="Y128" s="76"/>
      <c r="Z128" s="76"/>
      <c r="AA128" s="76"/>
      <c r="AB128" s="76"/>
      <c r="AC128" s="76"/>
      <c r="AF128" s="82"/>
      <c r="AG128" s="77"/>
      <c r="AH128" s="76"/>
      <c r="AI128" s="76"/>
      <c r="AJ128" s="76"/>
      <c r="AK128" s="76"/>
      <c r="AL128" s="76"/>
      <c r="AM128" s="83"/>
      <c r="AN128" s="76"/>
      <c r="AO128" s="76"/>
      <c r="AP128" s="76"/>
    </row>
    <row r="129" spans="2:42" ht="17.399999999999999" x14ac:dyDescent="0.3">
      <c r="B129" s="77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7"/>
      <c r="U129" s="77"/>
      <c r="V129" s="76"/>
      <c r="W129" s="76"/>
      <c r="X129" s="76"/>
      <c r="Y129" s="76"/>
      <c r="Z129" s="76"/>
      <c r="AA129" s="76"/>
      <c r="AB129" s="76"/>
      <c r="AC129" s="76"/>
      <c r="AF129" s="82"/>
      <c r="AG129" s="77"/>
      <c r="AH129" s="76"/>
      <c r="AI129" s="76"/>
      <c r="AJ129" s="76"/>
      <c r="AK129" s="76"/>
      <c r="AL129" s="76"/>
      <c r="AM129" s="83"/>
      <c r="AN129" s="76"/>
      <c r="AO129" s="76"/>
      <c r="AP129" s="76"/>
    </row>
    <row r="130" spans="2:42" ht="17.399999999999999" x14ac:dyDescent="0.3">
      <c r="B130" s="77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7"/>
      <c r="U130" s="77"/>
      <c r="V130" s="76"/>
      <c r="W130" s="76"/>
      <c r="X130" s="76"/>
      <c r="Y130" s="76"/>
      <c r="Z130" s="76"/>
      <c r="AA130" s="76"/>
      <c r="AB130" s="76"/>
      <c r="AC130" s="76"/>
      <c r="AF130" s="82"/>
      <c r="AG130" s="77"/>
      <c r="AH130" s="76"/>
      <c r="AI130" s="76"/>
      <c r="AJ130" s="76"/>
      <c r="AK130" s="76"/>
      <c r="AL130" s="76"/>
      <c r="AM130" s="83"/>
      <c r="AN130" s="76"/>
      <c r="AO130" s="76"/>
      <c r="AP130" s="76"/>
    </row>
    <row r="131" spans="2:42" ht="17.399999999999999" x14ac:dyDescent="0.3">
      <c r="B131" s="77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7"/>
      <c r="U131" s="77"/>
      <c r="V131" s="76"/>
      <c r="W131" s="76"/>
      <c r="X131" s="76"/>
      <c r="Y131" s="76"/>
      <c r="Z131" s="76"/>
      <c r="AA131" s="76"/>
      <c r="AB131" s="76"/>
      <c r="AC131" s="76"/>
      <c r="AF131" s="82"/>
      <c r="AG131" s="77"/>
      <c r="AH131" s="76"/>
      <c r="AI131" s="76"/>
      <c r="AJ131" s="76"/>
      <c r="AK131" s="76"/>
      <c r="AL131" s="76"/>
      <c r="AM131" s="83"/>
      <c r="AN131" s="76"/>
      <c r="AO131" s="76"/>
      <c r="AP131" s="76"/>
    </row>
    <row r="132" spans="2:42" ht="17.399999999999999" x14ac:dyDescent="0.3">
      <c r="B132" s="77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7"/>
      <c r="U132" s="77"/>
      <c r="V132" s="76"/>
      <c r="W132" s="76"/>
      <c r="X132" s="76"/>
      <c r="Y132" s="76"/>
      <c r="Z132" s="76"/>
      <c r="AA132" s="76"/>
      <c r="AB132" s="76"/>
      <c r="AC132" s="76"/>
      <c r="AF132" s="82"/>
      <c r="AG132" s="77"/>
      <c r="AH132" s="76"/>
      <c r="AI132" s="76"/>
      <c r="AJ132" s="76"/>
      <c r="AK132" s="76"/>
      <c r="AL132" s="76"/>
      <c r="AM132" s="83"/>
      <c r="AN132" s="76"/>
      <c r="AO132" s="76"/>
      <c r="AP132" s="76"/>
    </row>
    <row r="133" spans="2:42" ht="17.399999999999999" x14ac:dyDescent="0.3">
      <c r="B133" s="77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7"/>
      <c r="U133" s="77"/>
      <c r="V133" s="76"/>
      <c r="W133" s="76"/>
      <c r="X133" s="76"/>
      <c r="Y133" s="76"/>
      <c r="Z133" s="76"/>
      <c r="AA133" s="76"/>
      <c r="AB133" s="76"/>
      <c r="AC133" s="76"/>
      <c r="AF133" s="82"/>
      <c r="AG133" s="77"/>
      <c r="AH133" s="76"/>
      <c r="AI133" s="76"/>
      <c r="AJ133" s="76"/>
      <c r="AK133" s="76"/>
      <c r="AL133" s="76"/>
      <c r="AM133" s="83"/>
      <c r="AN133" s="76"/>
      <c r="AO133" s="76"/>
      <c r="AP133" s="76"/>
    </row>
    <row r="134" spans="2:42" ht="17.399999999999999" x14ac:dyDescent="0.3">
      <c r="B134" s="77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7"/>
      <c r="U134" s="77"/>
      <c r="V134" s="76"/>
      <c r="W134" s="76"/>
      <c r="X134" s="76"/>
      <c r="Y134" s="76"/>
      <c r="Z134" s="76"/>
      <c r="AA134" s="76"/>
      <c r="AB134" s="76"/>
      <c r="AC134" s="76"/>
      <c r="AF134" s="82"/>
      <c r="AG134" s="77"/>
      <c r="AH134" s="76"/>
      <c r="AI134" s="76"/>
      <c r="AJ134" s="76"/>
      <c r="AK134" s="76"/>
      <c r="AL134" s="76"/>
      <c r="AM134" s="83"/>
      <c r="AN134" s="76"/>
      <c r="AO134" s="76"/>
      <c r="AP134" s="76"/>
    </row>
    <row r="135" spans="2:42" ht="17.399999999999999" x14ac:dyDescent="0.3">
      <c r="B135" s="77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7"/>
      <c r="U135" s="77"/>
      <c r="V135" s="76"/>
      <c r="W135" s="76"/>
      <c r="X135" s="76"/>
      <c r="Y135" s="76"/>
      <c r="Z135" s="76"/>
      <c r="AA135" s="76"/>
      <c r="AB135" s="76"/>
      <c r="AC135" s="76"/>
      <c r="AF135" s="82"/>
      <c r="AG135" s="77"/>
      <c r="AH135" s="76"/>
      <c r="AI135" s="76"/>
      <c r="AJ135" s="76"/>
      <c r="AK135" s="76"/>
      <c r="AL135" s="76"/>
      <c r="AM135" s="83"/>
      <c r="AN135" s="76"/>
      <c r="AO135" s="76"/>
      <c r="AP135" s="76"/>
    </row>
    <row r="136" spans="2:42" ht="17.399999999999999" x14ac:dyDescent="0.3">
      <c r="B136" s="77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7"/>
      <c r="U136" s="77"/>
      <c r="V136" s="76"/>
      <c r="W136" s="76"/>
      <c r="X136" s="76"/>
      <c r="Y136" s="76"/>
      <c r="Z136" s="76"/>
      <c r="AA136" s="76"/>
      <c r="AB136" s="76"/>
      <c r="AC136" s="76"/>
      <c r="AF136" s="82"/>
      <c r="AG136" s="77"/>
      <c r="AH136" s="76"/>
      <c r="AI136" s="76"/>
      <c r="AJ136" s="76"/>
      <c r="AK136" s="76"/>
      <c r="AL136" s="76"/>
      <c r="AM136" s="83"/>
      <c r="AN136" s="76"/>
      <c r="AO136" s="76"/>
      <c r="AP136" s="76"/>
    </row>
    <row r="137" spans="2:42" ht="17.399999999999999" x14ac:dyDescent="0.3">
      <c r="B137" s="77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7"/>
      <c r="U137" s="77"/>
      <c r="V137" s="76"/>
      <c r="W137" s="76"/>
      <c r="X137" s="76"/>
      <c r="Y137" s="76"/>
      <c r="Z137" s="76"/>
      <c r="AA137" s="76"/>
      <c r="AB137" s="76"/>
      <c r="AC137" s="76"/>
      <c r="AF137" s="82"/>
      <c r="AG137" s="77"/>
      <c r="AH137" s="76"/>
      <c r="AI137" s="76"/>
      <c r="AJ137" s="76"/>
      <c r="AK137" s="76"/>
      <c r="AL137" s="76"/>
      <c r="AM137" s="83"/>
      <c r="AN137" s="76"/>
      <c r="AO137" s="76"/>
      <c r="AP137" s="76"/>
    </row>
    <row r="138" spans="2:42" ht="17.399999999999999" x14ac:dyDescent="0.3">
      <c r="B138" s="77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7"/>
      <c r="U138" s="77"/>
      <c r="V138" s="76"/>
      <c r="W138" s="76"/>
      <c r="X138" s="76"/>
      <c r="Y138" s="76"/>
      <c r="Z138" s="76"/>
      <c r="AA138" s="76"/>
      <c r="AB138" s="76"/>
      <c r="AC138" s="76"/>
      <c r="AF138" s="82"/>
      <c r="AG138" s="77"/>
      <c r="AH138" s="76"/>
      <c r="AI138" s="76"/>
      <c r="AJ138" s="76"/>
      <c r="AK138" s="76"/>
      <c r="AL138" s="76"/>
      <c r="AM138" s="83"/>
      <c r="AN138" s="76"/>
      <c r="AO138" s="76"/>
      <c r="AP138" s="76"/>
    </row>
    <row r="139" spans="2:42" ht="17.399999999999999" x14ac:dyDescent="0.3">
      <c r="B139" s="77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7"/>
      <c r="U139" s="77"/>
      <c r="V139" s="76"/>
      <c r="W139" s="76"/>
      <c r="X139" s="76"/>
      <c r="Y139" s="76"/>
      <c r="Z139" s="76"/>
      <c r="AA139" s="76"/>
      <c r="AB139" s="76"/>
      <c r="AC139" s="76"/>
      <c r="AF139" s="82"/>
      <c r="AG139" s="77"/>
      <c r="AH139" s="76"/>
      <c r="AI139" s="76"/>
      <c r="AJ139" s="76"/>
      <c r="AK139" s="76"/>
      <c r="AL139" s="76"/>
      <c r="AM139" s="83"/>
      <c r="AN139" s="76"/>
      <c r="AO139" s="76"/>
      <c r="AP139" s="76"/>
    </row>
    <row r="140" spans="2:42" ht="17.399999999999999" x14ac:dyDescent="0.3">
      <c r="B140" s="77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7"/>
      <c r="U140" s="77"/>
      <c r="V140" s="76"/>
      <c r="W140" s="76"/>
      <c r="X140" s="76"/>
      <c r="Y140" s="76"/>
      <c r="Z140" s="76"/>
      <c r="AA140" s="76"/>
      <c r="AB140" s="76"/>
      <c r="AC140" s="76"/>
      <c r="AF140" s="82"/>
      <c r="AG140" s="77"/>
      <c r="AH140" s="76"/>
      <c r="AI140" s="76"/>
      <c r="AJ140" s="76"/>
      <c r="AK140" s="76"/>
      <c r="AL140" s="76"/>
      <c r="AM140" s="83"/>
      <c r="AN140" s="76"/>
      <c r="AO140" s="76"/>
      <c r="AP140" s="76"/>
    </row>
    <row r="141" spans="2:42" ht="17.399999999999999" x14ac:dyDescent="0.3">
      <c r="B141" s="77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7"/>
      <c r="U141" s="77"/>
      <c r="V141" s="76"/>
      <c r="W141" s="76"/>
      <c r="X141" s="76"/>
      <c r="Y141" s="76"/>
      <c r="Z141" s="76"/>
      <c r="AA141" s="76"/>
      <c r="AB141" s="76"/>
      <c r="AC141" s="76"/>
      <c r="AF141" s="82"/>
      <c r="AG141" s="77"/>
      <c r="AH141" s="76"/>
      <c r="AI141" s="76"/>
      <c r="AJ141" s="76"/>
      <c r="AK141" s="76"/>
      <c r="AL141" s="76"/>
      <c r="AM141" s="83"/>
      <c r="AN141" s="76"/>
      <c r="AO141" s="76"/>
      <c r="AP141" s="76"/>
    </row>
    <row r="142" spans="2:42" ht="17.399999999999999" x14ac:dyDescent="0.3">
      <c r="B142" s="77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7"/>
      <c r="U142" s="77"/>
      <c r="V142" s="76"/>
      <c r="W142" s="76"/>
      <c r="X142" s="76"/>
      <c r="Y142" s="76"/>
      <c r="Z142" s="76"/>
      <c r="AA142" s="76"/>
      <c r="AB142" s="76"/>
      <c r="AC142" s="76"/>
      <c r="AF142" s="82"/>
      <c r="AG142" s="77"/>
      <c r="AH142" s="76"/>
      <c r="AI142" s="76"/>
      <c r="AJ142" s="76"/>
      <c r="AK142" s="76"/>
      <c r="AL142" s="76"/>
      <c r="AM142" s="83"/>
      <c r="AN142" s="76"/>
      <c r="AO142" s="76"/>
      <c r="AP142" s="76"/>
    </row>
    <row r="143" spans="2:42" ht="17.399999999999999" x14ac:dyDescent="0.3">
      <c r="B143" s="77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7"/>
      <c r="U143" s="77"/>
      <c r="V143" s="76"/>
      <c r="W143" s="76"/>
      <c r="X143" s="76"/>
      <c r="Y143" s="76"/>
      <c r="Z143" s="76"/>
      <c r="AA143" s="76"/>
      <c r="AB143" s="76"/>
      <c r="AC143" s="76"/>
      <c r="AF143" s="82"/>
      <c r="AG143" s="77"/>
      <c r="AH143" s="76"/>
      <c r="AI143" s="76"/>
      <c r="AJ143" s="76"/>
      <c r="AK143" s="76"/>
      <c r="AL143" s="76"/>
      <c r="AM143" s="83"/>
      <c r="AN143" s="76"/>
      <c r="AO143" s="76"/>
      <c r="AP143" s="76"/>
    </row>
    <row r="144" spans="2:42" ht="17.399999999999999" x14ac:dyDescent="0.3">
      <c r="B144" s="77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7"/>
      <c r="U144" s="77"/>
      <c r="V144" s="76"/>
      <c r="W144" s="76"/>
      <c r="X144" s="76"/>
      <c r="Y144" s="76"/>
      <c r="Z144" s="76"/>
      <c r="AA144" s="76"/>
      <c r="AB144" s="76"/>
      <c r="AC144" s="76"/>
      <c r="AF144" s="82"/>
      <c r="AG144" s="77"/>
      <c r="AH144" s="76"/>
      <c r="AI144" s="76"/>
      <c r="AJ144" s="76"/>
      <c r="AK144" s="76"/>
      <c r="AL144" s="76"/>
      <c r="AM144" s="83"/>
      <c r="AN144" s="76"/>
      <c r="AO144" s="76"/>
      <c r="AP144" s="76"/>
    </row>
    <row r="145" spans="2:42" ht="17.399999999999999" x14ac:dyDescent="0.3">
      <c r="B145" s="77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7"/>
      <c r="U145" s="77"/>
      <c r="V145" s="76"/>
      <c r="W145" s="76"/>
      <c r="X145" s="76"/>
      <c r="Y145" s="76"/>
      <c r="Z145" s="76"/>
      <c r="AA145" s="76"/>
      <c r="AB145" s="76"/>
      <c r="AC145" s="76"/>
      <c r="AF145" s="82"/>
      <c r="AG145" s="77"/>
      <c r="AH145" s="76"/>
      <c r="AI145" s="76"/>
      <c r="AJ145" s="76"/>
      <c r="AK145" s="76"/>
      <c r="AL145" s="76"/>
      <c r="AM145" s="83"/>
      <c r="AN145" s="76"/>
      <c r="AO145" s="76"/>
      <c r="AP145" s="76"/>
    </row>
    <row r="146" spans="2:42" ht="17.399999999999999" x14ac:dyDescent="0.3">
      <c r="B146" s="77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7"/>
      <c r="U146" s="77"/>
      <c r="V146" s="76"/>
      <c r="W146" s="76"/>
      <c r="X146" s="76"/>
      <c r="Y146" s="76"/>
      <c r="Z146" s="76"/>
      <c r="AA146" s="76"/>
      <c r="AB146" s="76"/>
      <c r="AC146" s="76"/>
      <c r="AF146" s="82"/>
      <c r="AG146" s="77"/>
      <c r="AH146" s="76"/>
      <c r="AI146" s="76"/>
      <c r="AJ146" s="76"/>
      <c r="AK146" s="76"/>
      <c r="AL146" s="76"/>
      <c r="AM146" s="83"/>
      <c r="AN146" s="76"/>
      <c r="AO146" s="76"/>
      <c r="AP146" s="76"/>
    </row>
    <row r="147" spans="2:42" ht="17.399999999999999" x14ac:dyDescent="0.3">
      <c r="B147" s="77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7"/>
      <c r="U147" s="77"/>
      <c r="V147" s="76"/>
      <c r="W147" s="76"/>
      <c r="X147" s="76"/>
      <c r="Y147" s="76"/>
      <c r="Z147" s="76"/>
      <c r="AA147" s="76"/>
      <c r="AB147" s="76"/>
      <c r="AC147" s="76"/>
      <c r="AF147" s="82"/>
      <c r="AG147" s="77"/>
      <c r="AH147" s="76"/>
      <c r="AI147" s="76"/>
      <c r="AJ147" s="76"/>
      <c r="AK147" s="76"/>
      <c r="AL147" s="76"/>
      <c r="AM147" s="83"/>
      <c r="AN147" s="76"/>
      <c r="AO147" s="76"/>
      <c r="AP147" s="76"/>
    </row>
    <row r="148" spans="2:42" ht="17.399999999999999" x14ac:dyDescent="0.3">
      <c r="B148" s="77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7"/>
      <c r="U148" s="77"/>
      <c r="V148" s="76"/>
      <c r="W148" s="76"/>
      <c r="X148" s="76"/>
      <c r="Y148" s="76"/>
      <c r="Z148" s="76"/>
      <c r="AA148" s="76"/>
      <c r="AB148" s="76"/>
      <c r="AC148" s="76"/>
      <c r="AF148" s="82"/>
      <c r="AG148" s="77"/>
      <c r="AH148" s="76"/>
      <c r="AI148" s="76"/>
      <c r="AJ148" s="76"/>
      <c r="AK148" s="76"/>
      <c r="AL148" s="76"/>
      <c r="AM148" s="83"/>
      <c r="AN148" s="76"/>
      <c r="AO148" s="76"/>
      <c r="AP148" s="76"/>
    </row>
    <row r="149" spans="2:42" ht="17.399999999999999" x14ac:dyDescent="0.3">
      <c r="B149" s="77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7"/>
      <c r="U149" s="77"/>
      <c r="V149" s="76"/>
      <c r="W149" s="76"/>
      <c r="X149" s="76"/>
      <c r="Y149" s="76"/>
      <c r="Z149" s="76"/>
      <c r="AA149" s="76"/>
      <c r="AB149" s="76"/>
      <c r="AC149" s="76"/>
      <c r="AF149" s="82"/>
      <c r="AG149" s="77"/>
      <c r="AH149" s="76"/>
      <c r="AI149" s="76"/>
      <c r="AJ149" s="76"/>
      <c r="AK149" s="76"/>
      <c r="AL149" s="76"/>
      <c r="AM149" s="83"/>
      <c r="AN149" s="76"/>
      <c r="AO149" s="76"/>
      <c r="AP149" s="76"/>
    </row>
    <row r="150" spans="2:42" ht="17.399999999999999" x14ac:dyDescent="0.3">
      <c r="B150" s="77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7"/>
      <c r="U150" s="77"/>
      <c r="V150" s="76"/>
      <c r="W150" s="76"/>
      <c r="X150" s="76"/>
      <c r="Y150" s="76"/>
      <c r="Z150" s="76"/>
      <c r="AA150" s="76"/>
      <c r="AB150" s="76"/>
      <c r="AC150" s="76"/>
      <c r="AF150" s="82"/>
      <c r="AG150" s="77"/>
      <c r="AH150" s="76"/>
      <c r="AI150" s="76"/>
      <c r="AJ150" s="76"/>
      <c r="AK150" s="76"/>
      <c r="AL150" s="76"/>
      <c r="AM150" s="83"/>
      <c r="AN150" s="76"/>
      <c r="AO150" s="76"/>
      <c r="AP150" s="76"/>
    </row>
    <row r="151" spans="2:42" ht="17.399999999999999" x14ac:dyDescent="0.3">
      <c r="B151" s="77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7"/>
      <c r="U151" s="77"/>
      <c r="V151" s="76"/>
      <c r="W151" s="76"/>
      <c r="X151" s="76"/>
      <c r="Y151" s="76"/>
      <c r="Z151" s="76"/>
      <c r="AA151" s="76"/>
      <c r="AB151" s="76"/>
      <c r="AC151" s="76"/>
      <c r="AF151" s="82"/>
      <c r="AG151" s="77"/>
      <c r="AH151" s="76"/>
      <c r="AI151" s="76"/>
      <c r="AJ151" s="76"/>
      <c r="AK151" s="76"/>
      <c r="AL151" s="76"/>
      <c r="AM151" s="83"/>
      <c r="AN151" s="76"/>
      <c r="AO151" s="76"/>
      <c r="AP151" s="76"/>
    </row>
    <row r="152" spans="2:42" ht="17.399999999999999" x14ac:dyDescent="0.3">
      <c r="B152" s="77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7"/>
      <c r="U152" s="77"/>
      <c r="V152" s="76"/>
      <c r="W152" s="76"/>
      <c r="X152" s="76"/>
      <c r="Y152" s="76"/>
      <c r="Z152" s="76"/>
      <c r="AA152" s="76"/>
      <c r="AB152" s="76"/>
      <c r="AC152" s="76"/>
      <c r="AF152" s="82"/>
      <c r="AG152" s="77"/>
      <c r="AH152" s="76"/>
      <c r="AI152" s="76"/>
      <c r="AJ152" s="76"/>
      <c r="AK152" s="76"/>
      <c r="AL152" s="76"/>
      <c r="AM152" s="83"/>
      <c r="AN152" s="76"/>
      <c r="AO152" s="76"/>
      <c r="AP152" s="76"/>
    </row>
    <row r="153" spans="2:42" ht="17.399999999999999" x14ac:dyDescent="0.3">
      <c r="B153" s="77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7"/>
      <c r="U153" s="77"/>
      <c r="V153" s="76"/>
      <c r="W153" s="76"/>
      <c r="X153" s="76"/>
      <c r="Y153" s="76"/>
      <c r="Z153" s="76"/>
      <c r="AA153" s="76"/>
      <c r="AB153" s="76"/>
      <c r="AC153" s="76"/>
      <c r="AF153" s="82"/>
      <c r="AG153" s="77"/>
      <c r="AH153" s="76"/>
      <c r="AI153" s="76"/>
      <c r="AJ153" s="76"/>
      <c r="AK153" s="76"/>
      <c r="AL153" s="76"/>
      <c r="AM153" s="83"/>
      <c r="AN153" s="76"/>
      <c r="AO153" s="76"/>
      <c r="AP153" s="76"/>
    </row>
    <row r="154" spans="2:42" ht="17.399999999999999" x14ac:dyDescent="0.3">
      <c r="B154" s="77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7"/>
      <c r="U154" s="77"/>
      <c r="V154" s="76"/>
      <c r="W154" s="76"/>
      <c r="X154" s="76"/>
      <c r="Y154" s="76"/>
      <c r="Z154" s="76"/>
      <c r="AA154" s="76"/>
      <c r="AB154" s="76"/>
      <c r="AC154" s="76"/>
      <c r="AF154" s="82"/>
      <c r="AG154" s="77"/>
      <c r="AH154" s="76"/>
      <c r="AI154" s="76"/>
      <c r="AJ154" s="76"/>
      <c r="AK154" s="76"/>
      <c r="AL154" s="76"/>
      <c r="AM154" s="83"/>
      <c r="AN154" s="76"/>
      <c r="AO154" s="76"/>
      <c r="AP154" s="76"/>
    </row>
    <row r="155" spans="2:42" ht="17.399999999999999" x14ac:dyDescent="0.3">
      <c r="B155" s="77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7"/>
      <c r="U155" s="77"/>
      <c r="V155" s="76"/>
      <c r="W155" s="76"/>
      <c r="X155" s="76"/>
      <c r="Y155" s="76"/>
      <c r="Z155" s="76"/>
      <c r="AA155" s="76"/>
      <c r="AB155" s="76"/>
      <c r="AC155" s="76"/>
      <c r="AF155" s="82"/>
      <c r="AG155" s="77"/>
      <c r="AH155" s="76"/>
      <c r="AI155" s="76"/>
      <c r="AJ155" s="76"/>
      <c r="AK155" s="76"/>
      <c r="AL155" s="76"/>
      <c r="AM155" s="83"/>
      <c r="AN155" s="76"/>
      <c r="AO155" s="76"/>
      <c r="AP155" s="76"/>
    </row>
    <row r="156" spans="2:42" ht="17.399999999999999" x14ac:dyDescent="0.3">
      <c r="B156" s="77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7"/>
      <c r="U156" s="77"/>
      <c r="V156" s="76"/>
      <c r="W156" s="76"/>
      <c r="X156" s="76"/>
      <c r="Y156" s="76"/>
      <c r="Z156" s="76"/>
      <c r="AA156" s="76"/>
      <c r="AB156" s="76"/>
      <c r="AC156" s="76"/>
      <c r="AF156" s="82"/>
      <c r="AG156" s="77"/>
      <c r="AH156" s="76"/>
      <c r="AI156" s="76"/>
      <c r="AJ156" s="76"/>
      <c r="AK156" s="76"/>
      <c r="AL156" s="76"/>
      <c r="AM156" s="83"/>
      <c r="AN156" s="76"/>
      <c r="AO156" s="76"/>
      <c r="AP156" s="76"/>
    </row>
    <row r="157" spans="2:42" ht="17.399999999999999" x14ac:dyDescent="0.3">
      <c r="B157" s="77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7"/>
      <c r="U157" s="77"/>
      <c r="V157" s="76"/>
      <c r="W157" s="76"/>
      <c r="X157" s="76"/>
      <c r="Y157" s="76"/>
      <c r="Z157" s="76"/>
      <c r="AA157" s="76"/>
      <c r="AB157" s="76"/>
      <c r="AC157" s="76"/>
      <c r="AF157" s="82"/>
      <c r="AG157" s="77"/>
      <c r="AH157" s="76"/>
      <c r="AI157" s="76"/>
      <c r="AJ157" s="76"/>
      <c r="AK157" s="76"/>
      <c r="AL157" s="76"/>
      <c r="AM157" s="83"/>
      <c r="AN157" s="76"/>
      <c r="AO157" s="76"/>
      <c r="AP157" s="76"/>
    </row>
    <row r="158" spans="2:42" ht="17.399999999999999" x14ac:dyDescent="0.3">
      <c r="B158" s="77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7"/>
      <c r="U158" s="77"/>
      <c r="V158" s="76"/>
      <c r="W158" s="76"/>
      <c r="X158" s="76"/>
      <c r="Y158" s="76"/>
      <c r="Z158" s="76"/>
      <c r="AA158" s="76"/>
      <c r="AB158" s="76"/>
      <c r="AC158" s="76"/>
      <c r="AF158" s="82"/>
      <c r="AG158" s="77"/>
      <c r="AH158" s="76"/>
      <c r="AI158" s="76"/>
      <c r="AJ158" s="76"/>
      <c r="AK158" s="76"/>
      <c r="AL158" s="76"/>
      <c r="AM158" s="83"/>
      <c r="AN158" s="76"/>
      <c r="AO158" s="76"/>
      <c r="AP158" s="76"/>
    </row>
    <row r="159" spans="2:42" ht="17.399999999999999" x14ac:dyDescent="0.3">
      <c r="B159" s="77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7"/>
      <c r="U159" s="77"/>
      <c r="V159" s="76"/>
      <c r="W159" s="76"/>
      <c r="X159" s="76"/>
      <c r="Y159" s="76"/>
      <c r="Z159" s="76"/>
      <c r="AA159" s="76"/>
      <c r="AB159" s="76"/>
      <c r="AC159" s="76"/>
      <c r="AF159" s="82"/>
      <c r="AG159" s="77"/>
      <c r="AH159" s="76"/>
      <c r="AI159" s="76"/>
      <c r="AJ159" s="76"/>
      <c r="AK159" s="76"/>
      <c r="AL159" s="76"/>
      <c r="AM159" s="83"/>
      <c r="AN159" s="76"/>
      <c r="AO159" s="76"/>
      <c r="AP159" s="76"/>
    </row>
    <row r="160" spans="2:42" ht="17.399999999999999" x14ac:dyDescent="0.3">
      <c r="B160" s="77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7"/>
      <c r="U160" s="77"/>
      <c r="V160" s="76"/>
      <c r="W160" s="76"/>
      <c r="X160" s="76"/>
      <c r="Y160" s="76"/>
      <c r="Z160" s="76"/>
      <c r="AA160" s="76"/>
      <c r="AB160" s="76"/>
      <c r="AC160" s="76"/>
      <c r="AF160" s="82"/>
      <c r="AG160" s="77"/>
      <c r="AH160" s="76"/>
      <c r="AI160" s="76"/>
      <c r="AJ160" s="76"/>
      <c r="AK160" s="76"/>
      <c r="AL160" s="76"/>
      <c r="AM160" s="83"/>
      <c r="AN160" s="76"/>
      <c r="AO160" s="76"/>
      <c r="AP160" s="76"/>
    </row>
    <row r="161" spans="2:42" ht="17.399999999999999" x14ac:dyDescent="0.3">
      <c r="B161" s="77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7"/>
      <c r="U161" s="77"/>
      <c r="V161" s="76"/>
      <c r="W161" s="76"/>
      <c r="X161" s="76"/>
      <c r="Y161" s="76"/>
      <c r="Z161" s="76"/>
      <c r="AA161" s="76"/>
      <c r="AB161" s="76"/>
      <c r="AC161" s="76"/>
      <c r="AF161" s="82"/>
      <c r="AG161" s="77"/>
      <c r="AH161" s="76"/>
      <c r="AI161" s="76"/>
      <c r="AJ161" s="76"/>
      <c r="AK161" s="76"/>
      <c r="AL161" s="76"/>
      <c r="AM161" s="83"/>
      <c r="AN161" s="76"/>
      <c r="AO161" s="76"/>
      <c r="AP161" s="76"/>
    </row>
    <row r="162" spans="2:42" ht="17.399999999999999" x14ac:dyDescent="0.3">
      <c r="B162" s="77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7"/>
      <c r="U162" s="77"/>
      <c r="V162" s="76"/>
      <c r="W162" s="76"/>
      <c r="X162" s="76"/>
      <c r="Y162" s="76"/>
      <c r="Z162" s="76"/>
      <c r="AA162" s="76"/>
      <c r="AB162" s="76"/>
      <c r="AC162" s="76"/>
      <c r="AF162" s="82"/>
      <c r="AG162" s="77"/>
      <c r="AH162" s="76"/>
      <c r="AI162" s="76"/>
      <c r="AJ162" s="76"/>
      <c r="AK162" s="76"/>
      <c r="AL162" s="76"/>
      <c r="AM162" s="83"/>
      <c r="AN162" s="76"/>
      <c r="AO162" s="76"/>
      <c r="AP162" s="76"/>
    </row>
    <row r="163" spans="2:42" ht="17.399999999999999" x14ac:dyDescent="0.3">
      <c r="B163" s="77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7"/>
      <c r="U163" s="77"/>
      <c r="V163" s="76"/>
      <c r="W163" s="76"/>
      <c r="X163" s="76"/>
      <c r="Y163" s="76"/>
      <c r="Z163" s="76"/>
      <c r="AA163" s="76"/>
      <c r="AB163" s="76"/>
      <c r="AC163" s="76"/>
      <c r="AF163" s="82"/>
      <c r="AG163" s="77"/>
      <c r="AH163" s="76"/>
      <c r="AI163" s="76"/>
      <c r="AJ163" s="76"/>
      <c r="AK163" s="76"/>
      <c r="AL163" s="76"/>
      <c r="AM163" s="83"/>
      <c r="AN163" s="76"/>
      <c r="AO163" s="76"/>
      <c r="AP163" s="76"/>
    </row>
    <row r="164" spans="2:42" ht="17.399999999999999" x14ac:dyDescent="0.3">
      <c r="B164" s="77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7"/>
      <c r="U164" s="77"/>
      <c r="V164" s="76"/>
      <c r="W164" s="76"/>
      <c r="X164" s="76"/>
      <c r="Y164" s="76"/>
      <c r="Z164" s="76"/>
      <c r="AA164" s="76"/>
      <c r="AB164" s="76"/>
      <c r="AC164" s="76"/>
      <c r="AF164" s="82"/>
      <c r="AG164" s="77"/>
      <c r="AH164" s="76"/>
      <c r="AI164" s="76"/>
      <c r="AJ164" s="76"/>
      <c r="AK164" s="76"/>
      <c r="AL164" s="76"/>
      <c r="AM164" s="83"/>
      <c r="AN164" s="76"/>
      <c r="AO164" s="76"/>
      <c r="AP164" s="76"/>
    </row>
    <row r="165" spans="2:42" ht="17.399999999999999" x14ac:dyDescent="0.3">
      <c r="B165" s="77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7"/>
      <c r="U165" s="77"/>
      <c r="V165" s="76"/>
      <c r="W165" s="76"/>
      <c r="X165" s="76"/>
      <c r="Y165" s="76"/>
      <c r="Z165" s="76"/>
      <c r="AA165" s="76"/>
      <c r="AB165" s="76"/>
      <c r="AC165" s="76"/>
      <c r="AF165" s="82"/>
      <c r="AG165" s="77"/>
      <c r="AH165" s="76"/>
      <c r="AI165" s="76"/>
      <c r="AJ165" s="76"/>
      <c r="AK165" s="76"/>
      <c r="AL165" s="76"/>
      <c r="AM165" s="83"/>
      <c r="AN165" s="76"/>
      <c r="AO165" s="76"/>
      <c r="AP165" s="76"/>
    </row>
  </sheetData>
  <mergeCells count="90">
    <mergeCell ref="BD22:BD23"/>
    <mergeCell ref="BE22:BE23"/>
    <mergeCell ref="BG22:BG23"/>
    <mergeCell ref="AY22:AY23"/>
    <mergeCell ref="AZ22:AZ23"/>
    <mergeCell ref="BA22:BA23"/>
    <mergeCell ref="BB22:BB23"/>
    <mergeCell ref="BC22:BC23"/>
    <mergeCell ref="AT22:AT23"/>
    <mergeCell ref="AU22:AU23"/>
    <mergeCell ref="AV22:AV23"/>
    <mergeCell ref="AW22:AW23"/>
    <mergeCell ref="AX22:AX23"/>
    <mergeCell ref="AT18:BE19"/>
    <mergeCell ref="BG18:BG21"/>
    <mergeCell ref="AT20:AT21"/>
    <mergeCell ref="AU20:AU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BD20:BD21"/>
    <mergeCell ref="BE20:BE21"/>
    <mergeCell ref="BG13:BG14"/>
    <mergeCell ref="BG9:BG12"/>
    <mergeCell ref="AT9:BE10"/>
    <mergeCell ref="AZ13:AZ14"/>
    <mergeCell ref="BA13:BA14"/>
    <mergeCell ref="BB13:BB14"/>
    <mergeCell ref="BC13:BC14"/>
    <mergeCell ref="BD13:BD14"/>
    <mergeCell ref="BA11:BA12"/>
    <mergeCell ref="BB11:BB12"/>
    <mergeCell ref="BC11:BC12"/>
    <mergeCell ref="BD11:BD12"/>
    <mergeCell ref="AR2:BE2"/>
    <mergeCell ref="BE13:BE14"/>
    <mergeCell ref="AT11:AT12"/>
    <mergeCell ref="AU11:AU12"/>
    <mergeCell ref="AV11:AV12"/>
    <mergeCell ref="AT13:AT14"/>
    <mergeCell ref="AU13:AU14"/>
    <mergeCell ref="AV13:AV14"/>
    <mergeCell ref="AW13:AW14"/>
    <mergeCell ref="AX13:AX14"/>
    <mergeCell ref="AY13:AY14"/>
    <mergeCell ref="BE11:BE12"/>
    <mergeCell ref="AW11:AW12"/>
    <mergeCell ref="AX11:AX12"/>
    <mergeCell ref="AY11:AY12"/>
    <mergeCell ref="AZ11:AZ12"/>
    <mergeCell ref="BE3:BE4"/>
    <mergeCell ref="BG3:BG4"/>
    <mergeCell ref="BH3:BH4"/>
    <mergeCell ref="AY3:AY4"/>
    <mergeCell ref="AX3:AX4"/>
    <mergeCell ref="AW3:AW4"/>
    <mergeCell ref="BD3:BD4"/>
    <mergeCell ref="BC3:BC4"/>
    <mergeCell ref="BB3:BB4"/>
    <mergeCell ref="BA3:BA4"/>
    <mergeCell ref="AZ3:AZ4"/>
    <mergeCell ref="AK4:AK5"/>
    <mergeCell ref="AD4:AD5"/>
    <mergeCell ref="AR3:AR4"/>
    <mergeCell ref="AS3:AS4"/>
    <mergeCell ref="AH3:AK3"/>
    <mergeCell ref="AL3:AL5"/>
    <mergeCell ref="AH4:AI4"/>
    <mergeCell ref="AE4:AE5"/>
    <mergeCell ref="AU3:AU4"/>
    <mergeCell ref="AT3:AT4"/>
    <mergeCell ref="C2:T2"/>
    <mergeCell ref="V2:AD2"/>
    <mergeCell ref="E3:S3"/>
    <mergeCell ref="AM2:AM5"/>
    <mergeCell ref="AN2:AP2"/>
    <mergeCell ref="AN3:AO5"/>
    <mergeCell ref="AP3:AP5"/>
    <mergeCell ref="V3:X3"/>
    <mergeCell ref="AH2:AL2"/>
    <mergeCell ref="Y3:AA3"/>
    <mergeCell ref="AB3:AC3"/>
    <mergeCell ref="AF4:AG4"/>
    <mergeCell ref="T4:T5"/>
    <mergeCell ref="AJ4:AJ5"/>
  </mergeCells>
  <phoneticPr fontId="3" type="noConversion"/>
  <conditionalFormatting sqref="AH6:AP105 AP106 B6:T105">
    <cfRule type="expression" dxfId="11" priority="9">
      <formula>$B6&lt;&gt;""</formula>
    </cfRule>
  </conditionalFormatting>
  <conditionalFormatting sqref="T6:T105">
    <cfRule type="expression" dxfId="10" priority="2">
      <formula>$B6&lt;&gt;""</formula>
    </cfRule>
  </conditionalFormatting>
  <conditionalFormatting sqref="V6:X105">
    <cfRule type="expression" dxfId="9" priority="8">
      <formula>$B6&lt;&gt;""</formula>
    </cfRule>
  </conditionalFormatting>
  <conditionalFormatting sqref="Y6:AA105 AD6:AE105">
    <cfRule type="expression" dxfId="8" priority="7">
      <formula>$B6&lt;&gt;""</formula>
    </cfRule>
  </conditionalFormatting>
  <conditionalFormatting sqref="AB6:AC105">
    <cfRule type="expression" dxfId="7" priority="6">
      <formula>$B6&lt;&gt;""</formula>
    </cfRule>
  </conditionalFormatting>
  <conditionalFormatting sqref="AH6:AM105">
    <cfRule type="expression" dxfId="6" priority="1">
      <formula>OR(AH6&lt;5, AH6="c",AH6="n/a")</formula>
    </cfRule>
  </conditionalFormatting>
  <hyperlinks>
    <hyperlink ref="D6" r:id="rId1" xr:uid="{7FE32268-4DF4-45F4-B5E3-50F5FEE1CA7A}"/>
  </hyperlinks>
  <pageMargins left="0.7" right="0.7" top="0.75" bottom="0.75" header="0.3" footer="0.3"/>
  <pageSetup paperSize="9" orientation="portrait" r:id="rId2"/>
  <ignoredErrors>
    <ignoredError sqref="AD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AQ113"/>
  <sheetViews>
    <sheetView topLeftCell="Q7" zoomScaleNormal="100" workbookViewId="0">
      <selection activeCell="X7" sqref="X7:AM105"/>
    </sheetView>
  </sheetViews>
  <sheetFormatPr defaultRowHeight="15.6" x14ac:dyDescent="0.3"/>
  <cols>
    <col min="1" max="1" width="4.109375" style="40" customWidth="1"/>
    <col min="2" max="2" width="5.77734375" style="45" customWidth="1"/>
    <col min="3" max="3" width="23.6640625" style="43" customWidth="1"/>
    <col min="4" max="4" width="6.33203125" style="43" customWidth="1"/>
    <col min="5" max="19" width="5.21875" style="40" customWidth="1"/>
    <col min="20" max="20" width="6.21875" style="40" customWidth="1"/>
    <col min="21" max="21" width="8.88671875" style="40"/>
    <col min="22" max="22" width="5.44140625" style="44" customWidth="1"/>
    <col min="23" max="23" width="28.109375" style="42" customWidth="1"/>
    <col min="24" max="37" width="6.44140625" style="40" customWidth="1"/>
    <col min="38" max="38" width="7.5546875" style="40" customWidth="1"/>
    <col min="39" max="39" width="8" style="40" customWidth="1"/>
    <col min="40" max="40" width="8.88671875" style="40"/>
    <col min="41" max="41" width="9.21875" style="40" bestFit="1" customWidth="1"/>
    <col min="42" max="16384" width="8.88671875" style="40"/>
  </cols>
  <sheetData>
    <row r="2" spans="2:43" ht="24.6" x14ac:dyDescent="0.25">
      <c r="B2" s="204" t="s">
        <v>87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108"/>
      <c r="V2" s="204" t="s">
        <v>88</v>
      </c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199" t="s">
        <v>172</v>
      </c>
      <c r="AO2" s="199"/>
      <c r="AP2" s="199"/>
      <c r="AQ2" s="199"/>
    </row>
    <row r="3" spans="2:43" ht="18.600000000000001" thickBot="1" x14ac:dyDescent="0.4">
      <c r="B3" s="34"/>
      <c r="C3" s="55"/>
      <c r="D3" s="55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34"/>
      <c r="W3" s="55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199"/>
      <c r="AO3" s="199"/>
      <c r="AP3" s="199"/>
      <c r="AQ3" s="199"/>
    </row>
    <row r="4" spans="2:43" ht="18.75" customHeight="1" thickTop="1" x14ac:dyDescent="0.35">
      <c r="B4" s="34"/>
      <c r="C4" s="130" t="s">
        <v>91</v>
      </c>
      <c r="D4" s="131">
        <v>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9"/>
      <c r="W4" s="60"/>
      <c r="X4" s="195" t="s">
        <v>76</v>
      </c>
      <c r="Y4" s="196"/>
      <c r="Z4" s="195" t="s">
        <v>77</v>
      </c>
      <c r="AA4" s="196"/>
      <c r="AB4" s="195" t="s">
        <v>78</v>
      </c>
      <c r="AC4" s="196"/>
      <c r="AD4" s="195" t="s">
        <v>79</v>
      </c>
      <c r="AE4" s="196"/>
      <c r="AF4" s="195" t="s">
        <v>80</v>
      </c>
      <c r="AG4" s="196"/>
      <c r="AH4" s="195" t="s">
        <v>81</v>
      </c>
      <c r="AI4" s="196"/>
      <c r="AJ4" s="195" t="s">
        <v>82</v>
      </c>
      <c r="AK4" s="196"/>
      <c r="AL4" s="200" t="s">
        <v>84</v>
      </c>
      <c r="AM4" s="201"/>
      <c r="AN4" s="199"/>
      <c r="AO4" s="199"/>
      <c r="AP4" s="199"/>
      <c r="AQ4" s="199"/>
    </row>
    <row r="5" spans="2:43" ht="33.6" customHeight="1" thickBot="1" x14ac:dyDescent="0.4">
      <c r="B5" s="34"/>
      <c r="C5" s="55"/>
      <c r="D5" s="61"/>
      <c r="E5" s="194" t="s">
        <v>76</v>
      </c>
      <c r="F5" s="194"/>
      <c r="G5" s="194" t="s">
        <v>77</v>
      </c>
      <c r="H5" s="194"/>
      <c r="I5" s="194" t="s">
        <v>78</v>
      </c>
      <c r="J5" s="194"/>
      <c r="K5" s="194" t="s">
        <v>79</v>
      </c>
      <c r="L5" s="194"/>
      <c r="M5" s="194" t="s">
        <v>80</v>
      </c>
      <c r="N5" s="194"/>
      <c r="O5" s="194" t="s">
        <v>81</v>
      </c>
      <c r="P5" s="194"/>
      <c r="Q5" s="194" t="s">
        <v>82</v>
      </c>
      <c r="R5" s="194"/>
      <c r="S5" s="34"/>
      <c r="T5" s="58"/>
      <c r="U5" s="58"/>
      <c r="V5" s="62"/>
      <c r="W5" s="63" t="s">
        <v>85</v>
      </c>
      <c r="X5" s="197" t="s">
        <v>165</v>
      </c>
      <c r="Y5" s="198"/>
      <c r="Z5" s="205" t="s">
        <v>166</v>
      </c>
      <c r="AA5" s="206"/>
      <c r="AB5" s="205" t="s">
        <v>167</v>
      </c>
      <c r="AC5" s="206"/>
      <c r="AD5" s="205" t="s">
        <v>168</v>
      </c>
      <c r="AE5" s="206"/>
      <c r="AF5" s="205" t="s">
        <v>169</v>
      </c>
      <c r="AG5" s="206"/>
      <c r="AH5" s="205" t="s">
        <v>170</v>
      </c>
      <c r="AI5" s="206"/>
      <c r="AJ5" s="205" t="s">
        <v>171</v>
      </c>
      <c r="AK5" s="206"/>
      <c r="AL5" s="202"/>
      <c r="AM5" s="203"/>
      <c r="AN5" s="199"/>
      <c r="AO5" s="199"/>
      <c r="AP5" s="199"/>
      <c r="AQ5" s="199"/>
    </row>
    <row r="6" spans="2:43" ht="92.4" customHeight="1" thickTop="1" thickBot="1" x14ac:dyDescent="0.4">
      <c r="B6" s="64" t="s">
        <v>0</v>
      </c>
      <c r="C6" s="65" t="s">
        <v>1</v>
      </c>
      <c r="D6" s="66" t="s">
        <v>83</v>
      </c>
      <c r="E6" s="67" t="s">
        <v>151</v>
      </c>
      <c r="F6" s="67" t="s">
        <v>152</v>
      </c>
      <c r="G6" s="68" t="s">
        <v>153</v>
      </c>
      <c r="H6" s="68" t="s">
        <v>154</v>
      </c>
      <c r="I6" s="68" t="s">
        <v>155</v>
      </c>
      <c r="J6" s="68" t="s">
        <v>156</v>
      </c>
      <c r="K6" s="68" t="s">
        <v>157</v>
      </c>
      <c r="L6" s="68" t="s">
        <v>158</v>
      </c>
      <c r="M6" s="68" t="s">
        <v>159</v>
      </c>
      <c r="N6" s="68" t="s">
        <v>160</v>
      </c>
      <c r="O6" s="68" t="s">
        <v>161</v>
      </c>
      <c r="P6" s="68" t="s">
        <v>162</v>
      </c>
      <c r="Q6" s="68" t="s">
        <v>163</v>
      </c>
      <c r="R6" s="68" t="s">
        <v>164</v>
      </c>
      <c r="S6" s="68" t="s">
        <v>177</v>
      </c>
      <c r="T6" s="127" t="s">
        <v>95</v>
      </c>
      <c r="U6" s="58"/>
      <c r="V6" s="64" t="s">
        <v>0</v>
      </c>
      <c r="W6" s="134" t="s">
        <v>1</v>
      </c>
      <c r="X6" s="135" t="s">
        <v>29</v>
      </c>
      <c r="Y6" s="136" t="s">
        <v>89</v>
      </c>
      <c r="Z6" s="135" t="s">
        <v>29</v>
      </c>
      <c r="AA6" s="136" t="s">
        <v>89</v>
      </c>
      <c r="AB6" s="135" t="s">
        <v>29</v>
      </c>
      <c r="AC6" s="136" t="s">
        <v>89</v>
      </c>
      <c r="AD6" s="135" t="s">
        <v>29</v>
      </c>
      <c r="AE6" s="136" t="s">
        <v>89</v>
      </c>
      <c r="AF6" s="135" t="s">
        <v>29</v>
      </c>
      <c r="AG6" s="136" t="s">
        <v>89</v>
      </c>
      <c r="AH6" s="135" t="s">
        <v>29</v>
      </c>
      <c r="AI6" s="136" t="s">
        <v>89</v>
      </c>
      <c r="AJ6" s="135" t="s">
        <v>29</v>
      </c>
      <c r="AK6" s="136" t="s">
        <v>89</v>
      </c>
      <c r="AL6" s="69" t="s">
        <v>90</v>
      </c>
      <c r="AM6" s="70" t="s">
        <v>92</v>
      </c>
      <c r="AN6" s="137" t="s">
        <v>173</v>
      </c>
    </row>
    <row r="7" spans="2:43" ht="21" thickTop="1" x14ac:dyDescent="0.35">
      <c r="B7" s="34">
        <f>IF(NOT(ISBLANK(Curs!B6)),Curs!B6,"")</f>
        <v>1</v>
      </c>
      <c r="C7" s="71" t="str">
        <f>IF(NOT(ISBLANK(Curs!C6)),Curs!C6,"")</f>
        <v>Nume, Prenume</v>
      </c>
      <c r="D7" s="34">
        <v>1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>IF(C7&lt;&gt;"",IF(COUNTIF(E7:S7,"a")&lt;&gt;0,COUNTIF(E7:S7,"a")*2,""),"")</f>
        <v/>
      </c>
      <c r="U7" s="58"/>
      <c r="V7" s="72">
        <f>IF(NOT(ISBLANK(B7)),B7,"")</f>
        <v>1</v>
      </c>
      <c r="W7" s="73" t="str">
        <f>IF(NOT(ISBLANK(C7)),C7,"")</f>
        <v>Nume, Prenume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129" t="str">
        <f>IF(NOT(ISBLANK(Curs!C6)),IF(ABS(Y7+AA7+AC7+AE7+AG7+AI7+AK7)&lt;&gt;0,ABS(Y7+AA7+AC7+AE7+AG7+AI7+AK7),""),"")</f>
        <v/>
      </c>
      <c r="AM7" s="132" t="str">
        <f>IF(NOT(ISBLANK(Curs!C6)),IFERROR(SUM(X7,Z7,AB7,AD7,AF7,AH7,AJ7)/COUNT(X7,Z7,AB7,AD7,AF7,AH7,AJ7),""),"")</f>
        <v/>
      </c>
      <c r="AN7" s="55"/>
    </row>
    <row r="8" spans="2:43" ht="20.399999999999999" x14ac:dyDescent="0.35">
      <c r="B8" s="34" t="str">
        <f>IF(NOT(ISBLANK(Curs!B7)),Curs!B7,"")</f>
        <v/>
      </c>
      <c r="C8" s="71" t="str">
        <f>IF(NOT(ISBLANK(Curs!C7)),Curs!C7,"")</f>
        <v/>
      </c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ref="T8:T71" si="0">IF(C8&lt;&gt;"",IF(COUNTIF(E8:S8,"a")&lt;&gt;0,COUNTIF(E8:S8,"a")*2,""),"")</f>
        <v/>
      </c>
      <c r="U8" s="58"/>
      <c r="V8" s="72" t="str">
        <f t="shared" ref="V8:V71" si="1">IF(NOT(ISBLANK(B8)),B8,"")</f>
        <v/>
      </c>
      <c r="W8" s="73" t="str">
        <f t="shared" ref="W8:W71" si="2">IF(NOT(ISBLANK(C8)),C8,"")</f>
        <v/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129" t="str">
        <f>IF(NOT(ISBLANK(Curs!C7)),IF(ABS(Y8+AA8+AC8+AE8+AG8+AI8+AK8)&lt;&gt;0,ABS(Y8+AA8+AC8+AE8+AG8+AI8+AK8),""),"")</f>
        <v/>
      </c>
      <c r="AM8" s="132" t="str">
        <f>IF(NOT(ISBLANK(Curs!C7)),IFERROR(SUM(X8,Z8,AB8,AD8,AF8,AH8,AJ8)/COUNT(X8,Z8,AB8,AD8,AF8,AH8,AJ8),""),"")</f>
        <v/>
      </c>
      <c r="AN8" s="56"/>
    </row>
    <row r="9" spans="2:43" ht="20.399999999999999" x14ac:dyDescent="0.35">
      <c r="B9" s="34" t="str">
        <f>IF(NOT(ISBLANK(Curs!B8)),Curs!B8,"")</f>
        <v/>
      </c>
      <c r="C9" s="71" t="str">
        <f>IF(NOT(ISBLANK(Curs!C8)),Curs!C8,"")</f>
        <v/>
      </c>
      <c r="D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0"/>
        <v/>
      </c>
      <c r="U9" s="58"/>
      <c r="V9" s="72" t="str">
        <f t="shared" si="1"/>
        <v/>
      </c>
      <c r="W9" s="73" t="str">
        <f t="shared" si="2"/>
        <v/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129" t="str">
        <f>IF(NOT(ISBLANK(Curs!C8)),IF(ABS(Y9+AA9+AC9+AE9+AG9+AI9+AK9)&lt;&gt;0,ABS(Y9+AA9+AC9+AE9+AG9+AI9+AK9),""),"")</f>
        <v/>
      </c>
      <c r="AM9" s="132" t="str">
        <f>IF(NOT(ISBLANK(Curs!C8)),IFERROR(SUM(X9,Z9,AB9,AD9,AF9,AH9,AJ9)/COUNT(X9,Z9,AB9,AD9,AF9,AH9,AJ9),""),"")</f>
        <v/>
      </c>
      <c r="AN9" s="55"/>
    </row>
    <row r="10" spans="2:43" ht="20.399999999999999" x14ac:dyDescent="0.35">
      <c r="B10" s="34" t="str">
        <f>IF(NOT(ISBLANK(Curs!B9)),Curs!B9,"")</f>
        <v/>
      </c>
      <c r="C10" s="71" t="str">
        <f>IF(NOT(ISBLANK(Curs!C9)),Curs!C9,"")</f>
        <v/>
      </c>
      <c r="D10" s="3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0"/>
        <v/>
      </c>
      <c r="U10" s="58"/>
      <c r="V10" s="72" t="str">
        <f t="shared" si="1"/>
        <v/>
      </c>
      <c r="W10" s="73" t="str">
        <f t="shared" si="2"/>
        <v/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129" t="str">
        <f>IF(NOT(ISBLANK(Curs!C9)),IF(ABS(Y10+AA10+AC10+AE10+AG10+AI10+AK10)&lt;&gt;0,ABS(Y10+AA10+AC10+AE10+AG10+AI10+AK10),""),"")</f>
        <v/>
      </c>
      <c r="AM10" s="132" t="str">
        <f>IF(NOT(ISBLANK(Curs!C9)),IFERROR(SUM(X10,Z10,AB10,AD10,AF10,AH10,AJ10)/COUNT(X10,Z10,AB10,AD10,AF10,AH10,AJ10),""),"")</f>
        <v/>
      </c>
      <c r="AN10" s="55"/>
    </row>
    <row r="11" spans="2:43" ht="20.399999999999999" x14ac:dyDescent="0.35">
      <c r="B11" s="34" t="str">
        <f>IF(NOT(ISBLANK(Curs!B10)),Curs!B10,"")</f>
        <v/>
      </c>
      <c r="C11" s="71" t="str">
        <f>IF(NOT(ISBLANK(Curs!C10)),Curs!C10,"")</f>
        <v/>
      </c>
      <c r="D11" s="3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0"/>
        <v/>
      </c>
      <c r="U11" s="58"/>
      <c r="V11" s="72" t="str">
        <f t="shared" si="1"/>
        <v/>
      </c>
      <c r="W11" s="73" t="str">
        <f t="shared" si="2"/>
        <v/>
      </c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129" t="str">
        <f>IF(NOT(ISBLANK(Curs!C10)),IF(ABS(Y11+AA11+AC11+AE11+AG11+AI11+AK11)&lt;&gt;0,ABS(Y11+AA11+AC11+AE11+AG11+AI11+AK11),""),"")</f>
        <v/>
      </c>
      <c r="AM11" s="132" t="str">
        <f>IF(NOT(ISBLANK(Curs!C10)),IFERROR(SUM(X11,Z11,AB11,AD11,AF11,AH11,AJ11)/COUNT(X11,Z11,AB11,AD11,AF11,AH11,AJ11),""),"")</f>
        <v/>
      </c>
      <c r="AN11" s="55"/>
    </row>
    <row r="12" spans="2:43" ht="20.399999999999999" x14ac:dyDescent="0.35">
      <c r="B12" s="34" t="str">
        <f>IF(NOT(ISBLANK(Curs!B11)),Curs!B11,"")</f>
        <v/>
      </c>
      <c r="C12" s="71" t="str">
        <f>IF(NOT(ISBLANK(Curs!C11)),Curs!C11,"")</f>
        <v/>
      </c>
      <c r="D12" s="3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0"/>
        <v/>
      </c>
      <c r="U12" s="58"/>
      <c r="V12" s="72" t="str">
        <f t="shared" si="1"/>
        <v/>
      </c>
      <c r="W12" s="73" t="str">
        <f t="shared" si="2"/>
        <v/>
      </c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129" t="str">
        <f>IF(NOT(ISBLANK(Curs!C11)),IF(ABS(Y12+AA12+AC12+AE12+AG12+AI12+AK12)&lt;&gt;0,ABS(Y12+AA12+AC12+AE12+AG12+AI12+AK12),""),"")</f>
        <v/>
      </c>
      <c r="AM12" s="132" t="str">
        <f>IF(NOT(ISBLANK(Curs!C11)),IFERROR(SUM(X12,Z12,AB12,AD12,AF12,AH12,AJ12)/COUNT(X12,Z12,AB12,AD12,AF12,AH12,AJ12),""),"")</f>
        <v/>
      </c>
      <c r="AN12" s="55"/>
    </row>
    <row r="13" spans="2:43" ht="20.399999999999999" x14ac:dyDescent="0.35">
      <c r="B13" s="34" t="str">
        <f>IF(NOT(ISBLANK(Curs!B12)),Curs!B12,"")</f>
        <v/>
      </c>
      <c r="C13" s="71" t="str">
        <f>IF(NOT(ISBLANK(Curs!C12)),Curs!C12,"")</f>
        <v/>
      </c>
      <c r="D13" s="3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0"/>
        <v/>
      </c>
      <c r="U13" s="58"/>
      <c r="V13" s="72" t="str">
        <f t="shared" si="1"/>
        <v/>
      </c>
      <c r="W13" s="73" t="str">
        <f t="shared" si="2"/>
        <v/>
      </c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129" t="str">
        <f>IF(NOT(ISBLANK(Curs!C12)),IF(ABS(Y13+AA13+AC13+AE13+AG13+AI13+AK13)&lt;&gt;0,ABS(Y13+AA13+AC13+AE13+AG13+AI13+AK13),""),"")</f>
        <v/>
      </c>
      <c r="AM13" s="132" t="str">
        <f>IF(NOT(ISBLANK(Curs!C12)),IFERROR(SUM(X13,Z13,AB13,AD13,AF13,AH13,AJ13)/COUNT(X13,Z13,AB13,AD13,AF13,AH13,AJ13),""),"")</f>
        <v/>
      </c>
      <c r="AN13" s="55"/>
    </row>
    <row r="14" spans="2:43" ht="20.399999999999999" x14ac:dyDescent="0.35">
      <c r="B14" s="34" t="str">
        <f>IF(NOT(ISBLANK(Curs!B13)),Curs!B13,"")</f>
        <v/>
      </c>
      <c r="C14" s="71" t="str">
        <f>IF(NOT(ISBLANK(Curs!C13)),Curs!C13,"")</f>
        <v/>
      </c>
      <c r="D14" s="3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0"/>
        <v/>
      </c>
      <c r="U14" s="58"/>
      <c r="V14" s="72" t="str">
        <f t="shared" si="1"/>
        <v/>
      </c>
      <c r="W14" s="73" t="str">
        <f t="shared" si="2"/>
        <v/>
      </c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129" t="str">
        <f>IF(NOT(ISBLANK(Curs!C13)),IF(ABS(Y14+AA14+AC14+AE14+AG14+AI14+AK14)&lt;&gt;0,ABS(Y14+AA14+AC14+AE14+AG14+AI14+AK14),""),"")</f>
        <v/>
      </c>
      <c r="AM14" s="132" t="str">
        <f>IF(NOT(ISBLANK(Curs!C13)),IFERROR(SUM(X14,Z14,AB14,AD14,AF14,AH14,AJ14)/COUNT(X14,Z14,AB14,AD14,AF14,AH14,AJ14),""),"")</f>
        <v/>
      </c>
      <c r="AN14" s="55"/>
    </row>
    <row r="15" spans="2:43" ht="20.399999999999999" x14ac:dyDescent="0.35">
      <c r="B15" s="34" t="str">
        <f>IF(NOT(ISBLANK(Curs!B14)),Curs!B14,"")</f>
        <v/>
      </c>
      <c r="C15" s="71" t="str">
        <f>IF(NOT(ISBLANK(Curs!C14)),Curs!C14,"")</f>
        <v/>
      </c>
      <c r="D15" s="3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0"/>
        <v/>
      </c>
      <c r="U15" s="58"/>
      <c r="V15" s="72" t="str">
        <f t="shared" si="1"/>
        <v/>
      </c>
      <c r="W15" s="73" t="str">
        <f t="shared" si="2"/>
        <v/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129" t="str">
        <f>IF(NOT(ISBLANK(Curs!C14)),IF(ABS(Y15+AA15+AC15+AE15+AG15+AI15+AK15)&lt;&gt;0,ABS(Y15+AA15+AC15+AE15+AG15+AI15+AK15),""),"")</f>
        <v/>
      </c>
      <c r="AM15" s="132" t="str">
        <f>IF(NOT(ISBLANK(Curs!C14)),IFERROR(SUM(X15,Z15,AB15,AD15,AF15,AH15,AJ15)/COUNT(X15,Z15,AB15,AD15,AF15,AH15,AJ15),""),"")</f>
        <v/>
      </c>
      <c r="AN15" s="55"/>
    </row>
    <row r="16" spans="2:43" ht="20.399999999999999" x14ac:dyDescent="0.35">
      <c r="B16" s="34" t="str">
        <f>IF(NOT(ISBLANK(Curs!B15)),Curs!B15,"")</f>
        <v/>
      </c>
      <c r="C16" s="71" t="str">
        <f>IF(NOT(ISBLANK(Curs!C15)),Curs!C15,"")</f>
        <v/>
      </c>
      <c r="D16" s="3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0"/>
        <v/>
      </c>
      <c r="U16" s="58"/>
      <c r="V16" s="72" t="str">
        <f t="shared" si="1"/>
        <v/>
      </c>
      <c r="W16" s="73" t="str">
        <f t="shared" si="2"/>
        <v/>
      </c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129" t="str">
        <f>IF(NOT(ISBLANK(Curs!C15)),IF(ABS(Y16+AA16+AC16+AE16+AG16+AI16+AK16)&lt;&gt;0,ABS(Y16+AA16+AC16+AE16+AG16+AI16+AK16),""),"")</f>
        <v/>
      </c>
      <c r="AM16" s="132" t="str">
        <f>IF(NOT(ISBLANK(Curs!C15)),IFERROR(SUM(X16,Z16,AB16,AD16,AF16,AH16,AJ16)/COUNT(X16,Z16,AB16,AD16,AF16,AH16,AJ16),""),"")</f>
        <v/>
      </c>
      <c r="AN16" s="55"/>
    </row>
    <row r="17" spans="2:40" ht="20.399999999999999" x14ac:dyDescent="0.35">
      <c r="B17" s="34" t="str">
        <f>IF(NOT(ISBLANK(Curs!B16)),Curs!B16,"")</f>
        <v/>
      </c>
      <c r="C17" s="71" t="str">
        <f>IF(NOT(ISBLANK(Curs!C16)),Curs!C16,"")</f>
        <v/>
      </c>
      <c r="D17" s="3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0"/>
        <v/>
      </c>
      <c r="U17" s="58"/>
      <c r="V17" s="72" t="str">
        <f t="shared" si="1"/>
        <v/>
      </c>
      <c r="W17" s="73" t="str">
        <f t="shared" si="2"/>
        <v/>
      </c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129" t="str">
        <f>IF(NOT(ISBLANK(Curs!C16)),IF(ABS(Y17+AA17+AC17+AE17+AG17+AI17+AK17)&lt;&gt;0,ABS(Y17+AA17+AC17+AE17+AG17+AI17+AK17),""),"")</f>
        <v/>
      </c>
      <c r="AM17" s="132" t="str">
        <f>IF(NOT(ISBLANK(Curs!C16)),IFERROR(SUM(X17,Z17,AB17,AD17,AF17,AH17,AJ17)/COUNT(X17,Z17,AB17,AD17,AF17,AH17,AJ17),""),"")</f>
        <v/>
      </c>
      <c r="AN17" s="55"/>
    </row>
    <row r="18" spans="2:40" ht="20.399999999999999" x14ac:dyDescent="0.35">
      <c r="B18" s="34" t="str">
        <f>IF(NOT(ISBLANK(Curs!B17)),Curs!B17,"")</f>
        <v/>
      </c>
      <c r="C18" s="71" t="str">
        <f>IF(NOT(ISBLANK(Curs!C17)),Curs!C17,"")</f>
        <v/>
      </c>
      <c r="D18" s="3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0"/>
        <v/>
      </c>
      <c r="U18" s="58"/>
      <c r="V18" s="72" t="str">
        <f t="shared" si="1"/>
        <v/>
      </c>
      <c r="W18" s="73" t="str">
        <f t="shared" si="2"/>
        <v/>
      </c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129" t="str">
        <f>IF(NOT(ISBLANK(Curs!C17)),IF(ABS(Y18+AA18+AC18+AE18+AG18+AI18+AK18)&lt;&gt;0,ABS(Y18+AA18+AC18+AE18+AG18+AI18+AK18),""),"")</f>
        <v/>
      </c>
      <c r="AM18" s="132" t="str">
        <f>IF(NOT(ISBLANK(Curs!C17)),IFERROR(SUM(X18,Z18,AB18,AD18,AF18,AH18,AJ18)/COUNT(X18,Z18,AB18,AD18,AF18,AH18,AJ18),""),"")</f>
        <v/>
      </c>
      <c r="AN18" s="55"/>
    </row>
    <row r="19" spans="2:40" ht="20.399999999999999" x14ac:dyDescent="0.35">
      <c r="B19" s="34" t="str">
        <f>IF(NOT(ISBLANK(Curs!B18)),Curs!B18,"")</f>
        <v/>
      </c>
      <c r="C19" s="71" t="str">
        <f>IF(NOT(ISBLANK(Curs!C18)),Curs!C18,"")</f>
        <v/>
      </c>
      <c r="D19" s="3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0"/>
        <v/>
      </c>
      <c r="U19" s="58"/>
      <c r="V19" s="72" t="str">
        <f t="shared" si="1"/>
        <v/>
      </c>
      <c r="W19" s="73" t="str">
        <f t="shared" si="2"/>
        <v/>
      </c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129" t="str">
        <f>IF(NOT(ISBLANK(Curs!C18)),IF(ABS(Y19+AA19+AC19+AE19+AG19+AI19+AK19)&lt;&gt;0,ABS(Y19+AA19+AC19+AE19+AG19+AI19+AK19),""),"")</f>
        <v/>
      </c>
      <c r="AM19" s="132" t="str">
        <f>IF(NOT(ISBLANK(Curs!C18)),IFERROR(SUM(X19,Z19,AB19,AD19,AF19,AH19,AJ19)/COUNT(X19,Z19,AB19,AD19,AF19,AH19,AJ19),""),"")</f>
        <v/>
      </c>
      <c r="AN19" s="55"/>
    </row>
    <row r="20" spans="2:40" ht="20.399999999999999" x14ac:dyDescent="0.35">
      <c r="B20" s="34" t="str">
        <f>IF(NOT(ISBLANK(Curs!B19)),Curs!B19,"")</f>
        <v/>
      </c>
      <c r="C20" s="71" t="str">
        <f>IF(NOT(ISBLANK(Curs!C19)),Curs!C19,"")</f>
        <v/>
      </c>
      <c r="D20" s="3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0"/>
        <v/>
      </c>
      <c r="U20" s="58"/>
      <c r="V20" s="72" t="str">
        <f t="shared" si="1"/>
        <v/>
      </c>
      <c r="W20" s="73" t="str">
        <f t="shared" si="2"/>
        <v/>
      </c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129" t="str">
        <f>IF(NOT(ISBLANK(Curs!C19)),IF(ABS(Y20+AA20+AC20+AE20+AG20+AI20+AK20)&lt;&gt;0,ABS(Y20+AA20+AC20+AE20+AG20+AI20+AK20),""),"")</f>
        <v/>
      </c>
      <c r="AM20" s="132" t="str">
        <f>IF(NOT(ISBLANK(Curs!C19)),IFERROR(SUM(X20,Z20,AB20,AD20,AF20,AH20,AJ20)/COUNT(X20,Z20,AB20,AD20,AF20,AH20,AJ20),""),"")</f>
        <v/>
      </c>
      <c r="AN20" s="55"/>
    </row>
    <row r="21" spans="2:40" ht="20.399999999999999" x14ac:dyDescent="0.35">
      <c r="B21" s="34" t="str">
        <f>IF(NOT(ISBLANK(Curs!B20)),Curs!B20,"")</f>
        <v/>
      </c>
      <c r="C21" s="71" t="str">
        <f>IF(NOT(ISBLANK(Curs!C20)),Curs!C20,"")</f>
        <v/>
      </c>
      <c r="D21" s="3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0"/>
        <v/>
      </c>
      <c r="U21" s="58"/>
      <c r="V21" s="72" t="str">
        <f t="shared" si="1"/>
        <v/>
      </c>
      <c r="W21" s="73" t="str">
        <f t="shared" si="2"/>
        <v/>
      </c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129" t="str">
        <f>IF(NOT(ISBLANK(Curs!C20)),IF(ABS(Y21+AA21+AC21+AE21+AG21+AI21+AK21)&lt;&gt;0,ABS(Y21+AA21+AC21+AE21+AG21+AI21+AK21),""),"")</f>
        <v/>
      </c>
      <c r="AM21" s="132" t="str">
        <f>IF(NOT(ISBLANK(Curs!C20)),IFERROR(SUM(X21,Z21,AB21,AD21,AF21,AH21,AJ21)/COUNT(X21,Z21,AB21,AD21,AF21,AH21,AJ21),""),"")</f>
        <v/>
      </c>
      <c r="AN21" s="55"/>
    </row>
    <row r="22" spans="2:40" ht="20.399999999999999" x14ac:dyDescent="0.35">
      <c r="B22" s="34" t="str">
        <f>IF(NOT(ISBLANK(Curs!B21)),Curs!B21,"")</f>
        <v/>
      </c>
      <c r="C22" s="71" t="str">
        <f>IF(NOT(ISBLANK(Curs!C21)),Curs!C21,"")</f>
        <v/>
      </c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0"/>
        <v/>
      </c>
      <c r="U22" s="58"/>
      <c r="V22" s="72" t="str">
        <f t="shared" si="1"/>
        <v/>
      </c>
      <c r="W22" s="73" t="str">
        <f t="shared" si="2"/>
        <v/>
      </c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129" t="str">
        <f>IF(NOT(ISBLANK(Curs!C21)),IF(ABS(Y22+AA22+AC22+AE22+AG22+AI22+AK22)&lt;&gt;0,ABS(Y22+AA22+AC22+AE22+AG22+AI22+AK22),""),"")</f>
        <v/>
      </c>
      <c r="AM22" s="132" t="str">
        <f>IF(NOT(ISBLANK(Curs!C21)),IFERROR(SUM(X22,Z22,AB22,AD22,AF22,AH22,AJ22)/COUNT(X22,Z22,AB22,AD22,AF22,AH22,AJ22),""),"")</f>
        <v/>
      </c>
      <c r="AN22" s="55"/>
    </row>
    <row r="23" spans="2:40" ht="20.399999999999999" x14ac:dyDescent="0.35">
      <c r="B23" s="34" t="str">
        <f>IF(NOT(ISBLANK(Curs!B22)),Curs!B22,"")</f>
        <v/>
      </c>
      <c r="C23" s="71" t="str">
        <f>IF(NOT(ISBLANK(Curs!C22)),Curs!C22,"")</f>
        <v/>
      </c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0"/>
        <v/>
      </c>
      <c r="U23" s="58"/>
      <c r="V23" s="72" t="str">
        <f t="shared" si="1"/>
        <v/>
      </c>
      <c r="W23" s="73" t="str">
        <f t="shared" si="2"/>
        <v/>
      </c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129" t="str">
        <f>IF(NOT(ISBLANK(Curs!C22)),IF(ABS(Y23+AA23+AC23+AE23+AG23+AI23+AK23)&lt;&gt;0,ABS(Y23+AA23+AC23+AE23+AG23+AI23+AK23),""),"")</f>
        <v/>
      </c>
      <c r="AM23" s="132" t="str">
        <f>IF(NOT(ISBLANK(Curs!C22)),IFERROR(SUM(X23,Z23,AB23,AD23,AF23,AH23,AJ23)/COUNT(X23,Z23,AB23,AD23,AF23,AH23,AJ23),""),"")</f>
        <v/>
      </c>
      <c r="AN23" s="55"/>
    </row>
    <row r="24" spans="2:40" ht="20.399999999999999" x14ac:dyDescent="0.35">
      <c r="B24" s="34" t="str">
        <f>IF(NOT(ISBLANK(Curs!B23)),Curs!B23,"")</f>
        <v/>
      </c>
      <c r="C24" s="71" t="str">
        <f>IF(NOT(ISBLANK(Curs!C23)),Curs!C23,"")</f>
        <v/>
      </c>
      <c r="D24" s="3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0"/>
        <v/>
      </c>
      <c r="U24" s="58"/>
      <c r="V24" s="72" t="str">
        <f t="shared" si="1"/>
        <v/>
      </c>
      <c r="W24" s="73" t="str">
        <f t="shared" si="2"/>
        <v/>
      </c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129" t="str">
        <f>IF(NOT(ISBLANK(Curs!C23)),IF(ABS(Y24+AA24+AC24+AE24+AG24+AI24+AK24)&lt;&gt;0,ABS(Y24+AA24+AC24+AE24+AG24+AI24+AK24),""),"")</f>
        <v/>
      </c>
      <c r="AM24" s="132" t="str">
        <f>IF(NOT(ISBLANK(Curs!C23)),IFERROR(SUM(X24,Z24,AB24,AD24,AF24,AH24,AJ24)/COUNT(X24,Z24,AB24,AD24,AF24,AH24,AJ24),""),"")</f>
        <v/>
      </c>
      <c r="AN24" s="55"/>
    </row>
    <row r="25" spans="2:40" ht="20.399999999999999" x14ac:dyDescent="0.35">
      <c r="B25" s="34" t="str">
        <f>IF(NOT(ISBLANK(Curs!B24)),Curs!B24,"")</f>
        <v/>
      </c>
      <c r="C25" s="71" t="str">
        <f>IF(NOT(ISBLANK(Curs!C24)),Curs!C24,"")</f>
        <v/>
      </c>
      <c r="D25" s="3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0"/>
        <v/>
      </c>
      <c r="U25" s="58"/>
      <c r="V25" s="72" t="str">
        <f t="shared" si="1"/>
        <v/>
      </c>
      <c r="W25" s="73" t="str">
        <f t="shared" si="2"/>
        <v/>
      </c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129" t="str">
        <f>IF(NOT(ISBLANK(Curs!C24)),IF(ABS(Y25+AA25+AC25+AE25+AG25+AI25+AK25)&lt;&gt;0,ABS(Y25+AA25+AC25+AE25+AG25+AI25+AK25),""),"")</f>
        <v/>
      </c>
      <c r="AM25" s="132" t="str">
        <f>IF(NOT(ISBLANK(Curs!C24)),IFERROR(SUM(X25,Z25,AB25,AD25,AF25,AH25,AJ25)/COUNT(X25,Z25,AB25,AD25,AF25,AH25,AJ25),""),"")</f>
        <v/>
      </c>
      <c r="AN25" s="55"/>
    </row>
    <row r="26" spans="2:40" ht="20.399999999999999" x14ac:dyDescent="0.35">
      <c r="B26" s="34" t="str">
        <f>IF(NOT(ISBLANK(Curs!B25)),Curs!B25,"")</f>
        <v/>
      </c>
      <c r="C26" s="71" t="str">
        <f>IF(NOT(ISBLANK(Curs!C25)),Curs!C25,"")</f>
        <v/>
      </c>
      <c r="D26" s="3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0"/>
        <v/>
      </c>
      <c r="U26" s="58"/>
      <c r="V26" s="72" t="str">
        <f t="shared" si="1"/>
        <v/>
      </c>
      <c r="W26" s="73" t="str">
        <f t="shared" si="2"/>
        <v/>
      </c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129" t="str">
        <f>IF(NOT(ISBLANK(Curs!C25)),IF(ABS(Y26+AA26+AC26+AE26+AG26+AI26+AK26)&lt;&gt;0,ABS(Y26+AA26+AC26+AE26+AG26+AI26+AK26),""),"")</f>
        <v/>
      </c>
      <c r="AM26" s="132" t="str">
        <f>IF(NOT(ISBLANK(Curs!C25)),IFERROR(SUM(X26,Z26,AB26,AD26,AF26,AH26,AJ26)/COUNT(X26,Z26,AB26,AD26,AF26,AH26,AJ26),""),"")</f>
        <v/>
      </c>
      <c r="AN26" s="55"/>
    </row>
    <row r="27" spans="2:40" ht="20.399999999999999" x14ac:dyDescent="0.35">
      <c r="B27" s="34" t="str">
        <f>IF(NOT(ISBLANK(Curs!B26)),Curs!B26,"")</f>
        <v/>
      </c>
      <c r="C27" s="71" t="str">
        <f>IF(NOT(ISBLANK(Curs!C26)),Curs!C26,"")</f>
        <v/>
      </c>
      <c r="D27" s="3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0"/>
        <v/>
      </c>
      <c r="U27" s="58"/>
      <c r="V27" s="72" t="str">
        <f t="shared" si="1"/>
        <v/>
      </c>
      <c r="W27" s="73" t="str">
        <f t="shared" si="2"/>
        <v/>
      </c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129" t="str">
        <f>IF(NOT(ISBLANK(Curs!C26)),IF(ABS(Y27+AA27+AC27+AE27+AG27+AI27+AK27)&lt;&gt;0,ABS(Y27+AA27+AC27+AE27+AG27+AI27+AK27),""),"")</f>
        <v/>
      </c>
      <c r="AM27" s="132" t="str">
        <f>IF(NOT(ISBLANK(Curs!C26)),IFERROR(SUM(X27,Z27,AB27,AD27,AF27,AH27,AJ27)/COUNT(X27,Z27,AB27,AD27,AF27,AH27,AJ27),""),"")</f>
        <v/>
      </c>
      <c r="AN27" s="55"/>
    </row>
    <row r="28" spans="2:40" ht="20.399999999999999" x14ac:dyDescent="0.35">
      <c r="B28" s="34" t="str">
        <f>IF(NOT(ISBLANK(Curs!B27)),Curs!B27,"")</f>
        <v/>
      </c>
      <c r="C28" s="71" t="str">
        <f>IF(NOT(ISBLANK(Curs!C27)),Curs!C27,"")</f>
        <v/>
      </c>
      <c r="D28" s="3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0"/>
        <v/>
      </c>
      <c r="U28" s="58"/>
      <c r="V28" s="72" t="str">
        <f t="shared" si="1"/>
        <v/>
      </c>
      <c r="W28" s="73" t="str">
        <f t="shared" si="2"/>
        <v/>
      </c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129" t="str">
        <f>IF(NOT(ISBLANK(Curs!C27)),IF(ABS(Y28+AA28+AC28+AE28+AG28+AI28+AK28)&lt;&gt;0,ABS(Y28+AA28+AC28+AE28+AG28+AI28+AK28),""),"")</f>
        <v/>
      </c>
      <c r="AM28" s="132" t="str">
        <f>IF(NOT(ISBLANK(Curs!C27)),IFERROR(SUM(X28,Z28,AB28,AD28,AF28,AH28,AJ28)/COUNT(X28,Z28,AB28,AD28,AF28,AH28,AJ28),""),"")</f>
        <v/>
      </c>
      <c r="AN28" s="55"/>
    </row>
    <row r="29" spans="2:40" ht="20.399999999999999" x14ac:dyDescent="0.35">
      <c r="B29" s="34" t="str">
        <f>IF(NOT(ISBLANK(Curs!B28)),Curs!B28,"")</f>
        <v/>
      </c>
      <c r="C29" s="71" t="str">
        <f>IF(NOT(ISBLANK(Curs!C28)),Curs!C28,"")</f>
        <v/>
      </c>
      <c r="D29" s="3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0"/>
        <v/>
      </c>
      <c r="U29" s="58"/>
      <c r="V29" s="72" t="str">
        <f t="shared" si="1"/>
        <v/>
      </c>
      <c r="W29" s="73" t="str">
        <f t="shared" si="2"/>
        <v/>
      </c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129" t="str">
        <f>IF(NOT(ISBLANK(Curs!C28)),IF(ABS(Y29+AA29+AC29+AE29+AG29+AI29+AK29)&lt;&gt;0,ABS(Y29+AA29+AC29+AE29+AG29+AI29+AK29),""),"")</f>
        <v/>
      </c>
      <c r="AM29" s="132" t="str">
        <f>IF(NOT(ISBLANK(Curs!C28)),IFERROR(SUM(X29,Z29,AB29,AD29,AF29,AH29,AJ29)/COUNT(X29,Z29,AB29,AD29,AF29,AH29,AJ29),""),"")</f>
        <v/>
      </c>
      <c r="AN29" s="55"/>
    </row>
    <row r="30" spans="2:40" ht="20.399999999999999" x14ac:dyDescent="0.35">
      <c r="B30" s="34" t="str">
        <f>IF(NOT(ISBLANK(Curs!B29)),Curs!B29,"")</f>
        <v/>
      </c>
      <c r="C30" s="71" t="str">
        <f>IF(NOT(ISBLANK(Curs!C29)),Curs!C29,"")</f>
        <v/>
      </c>
      <c r="D30" s="3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0"/>
        <v/>
      </c>
      <c r="U30" s="58"/>
      <c r="V30" s="72" t="str">
        <f t="shared" si="1"/>
        <v/>
      </c>
      <c r="W30" s="73" t="str">
        <f t="shared" si="2"/>
        <v/>
      </c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129" t="str">
        <f>IF(NOT(ISBLANK(Curs!C29)),IF(ABS(Y30+AA30+AC30+AE30+AG30+AI30+AK30)&lt;&gt;0,ABS(Y30+AA30+AC30+AE30+AG30+AI30+AK30),""),"")</f>
        <v/>
      </c>
      <c r="AM30" s="132" t="str">
        <f>IF(NOT(ISBLANK(Curs!C29)),IFERROR(SUM(X30,Z30,AB30,AD30,AF30,AH30,AJ30)/COUNT(X30,Z30,AB30,AD30,AF30,AH30,AJ30),""),"")</f>
        <v/>
      </c>
      <c r="AN30" s="55"/>
    </row>
    <row r="31" spans="2:40" ht="20.399999999999999" x14ac:dyDescent="0.35">
      <c r="B31" s="34" t="str">
        <f>IF(NOT(ISBLANK(Curs!B30)),Curs!B30,"")</f>
        <v/>
      </c>
      <c r="C31" s="71" t="str">
        <f>IF(NOT(ISBLANK(Curs!C30)),Curs!C30,"")</f>
        <v/>
      </c>
      <c r="D31" s="3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0"/>
        <v/>
      </c>
      <c r="U31" s="58"/>
      <c r="V31" s="72" t="str">
        <f t="shared" si="1"/>
        <v/>
      </c>
      <c r="W31" s="73" t="str">
        <f t="shared" si="2"/>
        <v/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129" t="str">
        <f>IF(NOT(ISBLANK(Curs!C30)),IF(ABS(Y31+AA31+AC31+AE31+AG31+AI31+AK31)&lt;&gt;0,ABS(Y31+AA31+AC31+AE31+AG31+AI31+AK31),""),"")</f>
        <v/>
      </c>
      <c r="AM31" s="132" t="str">
        <f>IF(NOT(ISBLANK(Curs!C30)),IFERROR(SUM(X31,Z31,AB31,AD31,AF31,AH31,AJ31)/COUNT(X31,Z31,AB31,AD31,AF31,AH31,AJ31),""),"")</f>
        <v/>
      </c>
      <c r="AN31" s="55"/>
    </row>
    <row r="32" spans="2:40" ht="20.399999999999999" x14ac:dyDescent="0.35">
      <c r="B32" s="34" t="str">
        <f>IF(NOT(ISBLANK(Curs!B31)),Curs!B31,"")</f>
        <v/>
      </c>
      <c r="C32" s="71" t="str">
        <f>IF(NOT(ISBLANK(Curs!C31)),Curs!C31,"")</f>
        <v/>
      </c>
      <c r="D32" s="3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0"/>
        <v/>
      </c>
      <c r="U32" s="58"/>
      <c r="V32" s="72" t="str">
        <f t="shared" si="1"/>
        <v/>
      </c>
      <c r="W32" s="73" t="str">
        <f t="shared" si="2"/>
        <v/>
      </c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129" t="str">
        <f>IF(NOT(ISBLANK(Curs!C31)),IF(ABS(Y32+AA32+AC32+AE32+AG32+AI32+AK32)&lt;&gt;0,ABS(Y32+AA32+AC32+AE32+AG32+AI32+AK32),""),"")</f>
        <v/>
      </c>
      <c r="AM32" s="132" t="str">
        <f>IF(NOT(ISBLANK(Curs!C31)),IFERROR(SUM(X32,Z32,AB32,AD32,AF32,AH32,AJ32)/COUNT(X32,Z32,AB32,AD32,AF32,AH32,AJ32),""),"")</f>
        <v/>
      </c>
      <c r="AN32" s="55"/>
    </row>
    <row r="33" spans="2:42" ht="20.399999999999999" x14ac:dyDescent="0.35">
      <c r="B33" s="34" t="str">
        <f>IF(NOT(ISBLANK(Curs!B32)),Curs!B32,"")</f>
        <v/>
      </c>
      <c r="C33" s="71" t="str">
        <f>IF(NOT(ISBLANK(Curs!C32)),Curs!C32,"")</f>
        <v/>
      </c>
      <c r="D33" s="3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0"/>
        <v/>
      </c>
      <c r="U33" s="58"/>
      <c r="V33" s="72" t="str">
        <f t="shared" si="1"/>
        <v/>
      </c>
      <c r="W33" s="73" t="str">
        <f t="shared" si="2"/>
        <v/>
      </c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129" t="str">
        <f>IF(NOT(ISBLANK(Curs!C32)),IF(ABS(Y33+AA33+AC33+AE33+AG33+AI33+AK33)&lt;&gt;0,ABS(Y33+AA33+AC33+AE33+AG33+AI33+AK33),""),"")</f>
        <v/>
      </c>
      <c r="AM33" s="132" t="str">
        <f>IF(NOT(ISBLANK(Curs!C32)),IFERROR(SUM(X33,Z33,AB33,AD33,AF33,AH33,AJ33)/COUNT(X33,Z33,AB33,AD33,AF33,AH33,AJ33),""),"")</f>
        <v/>
      </c>
      <c r="AN33" s="55"/>
    </row>
    <row r="34" spans="2:42" ht="20.399999999999999" x14ac:dyDescent="0.35">
      <c r="B34" s="34" t="str">
        <f>IF(NOT(ISBLANK(Curs!B33)),Curs!B33,"")</f>
        <v/>
      </c>
      <c r="C34" s="71" t="str">
        <f>IF(NOT(ISBLANK(Curs!C33)),Curs!C33,"")</f>
        <v/>
      </c>
      <c r="D34" s="3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0"/>
        <v/>
      </c>
      <c r="U34" s="58"/>
      <c r="V34" s="72" t="str">
        <f t="shared" si="1"/>
        <v/>
      </c>
      <c r="W34" s="73" t="str">
        <f t="shared" si="2"/>
        <v/>
      </c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129" t="str">
        <f>IF(NOT(ISBLANK(Curs!C33)),IF(ABS(Y34+AA34+AC34+AE34+AG34+AI34+AK34)&lt;&gt;0,ABS(Y34+AA34+AC34+AE34+AG34+AI34+AK34),""),"")</f>
        <v/>
      </c>
      <c r="AM34" s="132" t="str">
        <f>IF(NOT(ISBLANK(Curs!C33)),IFERROR(SUM(X34,Z34,AB34,AD34,AF34,AH34,AJ34)/COUNT(X34,Z34,AB34,AD34,AF34,AH34,AJ34),""),"")</f>
        <v/>
      </c>
      <c r="AN34" s="55"/>
    </row>
    <row r="35" spans="2:42" ht="20.399999999999999" x14ac:dyDescent="0.35">
      <c r="B35" s="34" t="str">
        <f>IF(NOT(ISBLANK(Curs!B34)),Curs!B34,"")</f>
        <v/>
      </c>
      <c r="C35" s="71" t="str">
        <f>IF(NOT(ISBLANK(Curs!C34)),Curs!C34,"")</f>
        <v/>
      </c>
      <c r="D35" s="3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0"/>
        <v/>
      </c>
      <c r="U35" s="58"/>
      <c r="V35" s="72" t="str">
        <f t="shared" si="1"/>
        <v/>
      </c>
      <c r="W35" s="73" t="str">
        <f t="shared" si="2"/>
        <v/>
      </c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129" t="str">
        <f>IF(NOT(ISBLANK(Curs!C34)),IF(ABS(Y35+AA35+AC35+AE35+AG35+AI35+AK35)&lt;&gt;0,ABS(Y35+AA35+AC35+AE35+AG35+AI35+AK35),""),"")</f>
        <v/>
      </c>
      <c r="AM35" s="132" t="str">
        <f>IF(NOT(ISBLANK(Curs!C34)),IFERROR(SUM(X35,Z35,AB35,AD35,AF35,AH35,AJ35)/COUNT(X35,Z35,AB35,AD35,AF35,AH35,AJ35),""),"")</f>
        <v/>
      </c>
      <c r="AN35" s="55"/>
    </row>
    <row r="36" spans="2:42" ht="20.399999999999999" x14ac:dyDescent="0.35">
      <c r="B36" s="34" t="str">
        <f>IF(NOT(ISBLANK(Curs!B35)),Curs!B35,"")</f>
        <v/>
      </c>
      <c r="C36" s="71" t="str">
        <f>IF(NOT(ISBLANK(Curs!C35)),Curs!C35,"")</f>
        <v/>
      </c>
      <c r="D36" s="3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0"/>
        <v/>
      </c>
      <c r="U36" s="58"/>
      <c r="V36" s="72" t="str">
        <f t="shared" si="1"/>
        <v/>
      </c>
      <c r="W36" s="73" t="str">
        <f t="shared" si="2"/>
        <v/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129" t="str">
        <f>IF(NOT(ISBLANK(Curs!C35)),IF(ABS(Y36+AA36+AC36+AE36+AG36+AI36+AK36)&lt;&gt;0,ABS(Y36+AA36+AC36+AE36+AG36+AI36+AK36),""),"")</f>
        <v/>
      </c>
      <c r="AM36" s="132" t="str">
        <f>IF(NOT(ISBLANK(Curs!C35)),IFERROR(SUM(X36,Z36,AB36,AD36,AF36,AH36,AJ36)/COUNT(X36,Z36,AB36,AD36,AF36,AH36,AJ36),""),"")</f>
        <v/>
      </c>
      <c r="AN36" s="55"/>
    </row>
    <row r="37" spans="2:42" ht="20.399999999999999" x14ac:dyDescent="0.35">
      <c r="B37" s="34" t="str">
        <f>IF(NOT(ISBLANK(Curs!B36)),Curs!B36,"")</f>
        <v/>
      </c>
      <c r="C37" s="71" t="str">
        <f>IF(NOT(ISBLANK(Curs!C36)),Curs!C36,"")</f>
        <v/>
      </c>
      <c r="D37" s="3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0"/>
        <v/>
      </c>
      <c r="U37" s="58"/>
      <c r="V37" s="72" t="str">
        <f t="shared" si="1"/>
        <v/>
      </c>
      <c r="W37" s="73" t="str">
        <f t="shared" si="2"/>
        <v/>
      </c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129" t="str">
        <f>IF(NOT(ISBLANK(Curs!C36)),IF(ABS(Y37+AA37+AC37+AE37+AG37+AI37+AK37)&lt;&gt;0,ABS(Y37+AA37+AC37+AE37+AG37+AI37+AK37),""),"")</f>
        <v/>
      </c>
      <c r="AM37" s="132" t="str">
        <f>IF(NOT(ISBLANK(Curs!C36)),IFERROR(SUM(X37,Z37,AB37,AD37,AF37,AH37,AJ37)/COUNT(X37,Z37,AB37,AD37,AF37,AH37,AJ37),""),"")</f>
        <v/>
      </c>
      <c r="AN37" s="55"/>
    </row>
    <row r="38" spans="2:42" ht="20.399999999999999" x14ac:dyDescent="0.35">
      <c r="B38" s="34" t="str">
        <f>IF(NOT(ISBLANK(Curs!B37)),Curs!B37,"")</f>
        <v/>
      </c>
      <c r="C38" s="71" t="str">
        <f>IF(NOT(ISBLANK(Curs!C37)),Curs!C37,"")</f>
        <v/>
      </c>
      <c r="D38" s="3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0"/>
        <v/>
      </c>
      <c r="U38" s="58"/>
      <c r="V38" s="72" t="str">
        <f t="shared" si="1"/>
        <v/>
      </c>
      <c r="W38" s="73" t="str">
        <f t="shared" si="2"/>
        <v/>
      </c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129" t="str">
        <f>IF(NOT(ISBLANK(Curs!C37)),IF(ABS(Y38+AA38+AC38+AE38+AG38+AI38+AK38)&lt;&gt;0,ABS(Y38+AA38+AC38+AE38+AG38+AI38+AK38),""),"")</f>
        <v/>
      </c>
      <c r="AM38" s="132" t="str">
        <f>IF(NOT(ISBLANK(Curs!C37)),IFERROR(SUM(X38,Z38,AB38,AD38,AF38,AH38,AJ38)/COUNT(X38,Z38,AB38,AD38,AF38,AH38,AJ38),""),"")</f>
        <v/>
      </c>
      <c r="AN38" s="55"/>
    </row>
    <row r="39" spans="2:42" ht="20.399999999999999" x14ac:dyDescent="0.35">
      <c r="B39" s="34" t="str">
        <f>IF(NOT(ISBLANK(Curs!B38)),Curs!B38,"")</f>
        <v/>
      </c>
      <c r="C39" s="71" t="str">
        <f>IF(NOT(ISBLANK(Curs!C38)),Curs!C38,"")</f>
        <v/>
      </c>
      <c r="D39" s="3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0"/>
        <v/>
      </c>
      <c r="U39" s="58"/>
      <c r="V39" s="72" t="str">
        <f t="shared" si="1"/>
        <v/>
      </c>
      <c r="W39" s="73" t="str">
        <f t="shared" si="2"/>
        <v/>
      </c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129" t="str">
        <f>IF(NOT(ISBLANK(Curs!C38)),IF(ABS(Y39+AA39+AC39+AE39+AG39+AI39+AK39)&lt;&gt;0,ABS(Y39+AA39+AC39+AE39+AG39+AI39+AK39),""),"")</f>
        <v/>
      </c>
      <c r="AM39" s="132" t="str">
        <f>IF(NOT(ISBLANK(Curs!C38)),IFERROR(SUM(X39,Z39,AB39,AD39,AF39,AH39,AJ39)/COUNT(X39,Z39,AB39,AD39,AF39,AH39,AJ39),""),"")</f>
        <v/>
      </c>
      <c r="AN39" s="55"/>
    </row>
    <row r="40" spans="2:42" ht="20.399999999999999" x14ac:dyDescent="0.35">
      <c r="B40" s="34" t="str">
        <f>IF(NOT(ISBLANK(Curs!B39)),Curs!B39,"")</f>
        <v/>
      </c>
      <c r="C40" s="71" t="str">
        <f>IF(NOT(ISBLANK(Curs!C39)),Curs!C39,"")</f>
        <v/>
      </c>
      <c r="D40" s="3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0"/>
        <v/>
      </c>
      <c r="U40" s="58"/>
      <c r="V40" s="72" t="str">
        <f t="shared" si="1"/>
        <v/>
      </c>
      <c r="W40" s="73" t="str">
        <f t="shared" si="2"/>
        <v/>
      </c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129" t="str">
        <f>IF(NOT(ISBLANK(Curs!C39)),IF(ABS(Y40+AA40+AC40+AE40+AG40+AI40+AK40)&lt;&gt;0,ABS(Y40+AA40+AC40+AE40+AG40+AI40+AK40),""),"")</f>
        <v/>
      </c>
      <c r="AM40" s="132" t="str">
        <f>IF(NOT(ISBLANK(Curs!C39)),IFERROR(SUM(X40,Z40,AB40,AD40,AF40,AH40,AJ40)/COUNT(X40,Z40,AB40,AD40,AF40,AH40,AJ40),""),"")</f>
        <v/>
      </c>
      <c r="AN40" s="55"/>
    </row>
    <row r="41" spans="2:42" ht="20.399999999999999" x14ac:dyDescent="0.35">
      <c r="B41" s="34" t="str">
        <f>IF(NOT(ISBLANK(Curs!B40)),Curs!B40,"")</f>
        <v/>
      </c>
      <c r="C41" s="71" t="str">
        <f>IF(NOT(ISBLANK(Curs!C40)),Curs!C40,"")</f>
        <v/>
      </c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0"/>
        <v/>
      </c>
      <c r="U41" s="58"/>
      <c r="V41" s="72" t="str">
        <f t="shared" si="1"/>
        <v/>
      </c>
      <c r="W41" s="73" t="str">
        <f t="shared" si="2"/>
        <v/>
      </c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129" t="str">
        <f>IF(NOT(ISBLANK(Curs!C40)),IF(ABS(Y41+AA41+AC41+AE41+AG41+AI41+AK41)&lt;&gt;0,ABS(Y41+AA41+AC41+AE41+AG41+AI41+AK41),""),"")</f>
        <v/>
      </c>
      <c r="AM41" s="132" t="str">
        <f>IF(NOT(ISBLANK(Curs!C40)),IFERROR(SUM(X41,Z41,AB41,AD41,AF41,AH41,AJ41)/COUNT(X41,Z41,AB41,AD41,AF41,AH41,AJ41),""),"")</f>
        <v/>
      </c>
      <c r="AN41" s="55"/>
    </row>
    <row r="42" spans="2:42" ht="20.399999999999999" x14ac:dyDescent="0.35">
      <c r="B42" s="34" t="str">
        <f>IF(NOT(ISBLANK(Curs!B41)),Curs!B41,"")</f>
        <v/>
      </c>
      <c r="C42" s="71" t="str">
        <f>IF(NOT(ISBLANK(Curs!C41)),Curs!C41,"")</f>
        <v/>
      </c>
      <c r="D42" s="3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0"/>
        <v/>
      </c>
      <c r="U42" s="58"/>
      <c r="V42" s="72" t="str">
        <f t="shared" si="1"/>
        <v/>
      </c>
      <c r="W42" s="73" t="str">
        <f t="shared" si="2"/>
        <v/>
      </c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129" t="str">
        <f>IF(NOT(ISBLANK(Curs!C41)),IF(ABS(Y42+AA42+AC42+AE42+AG42+AI42+AK42)&lt;&gt;0,ABS(Y42+AA42+AC42+AE42+AG42+AI42+AK42),""),"")</f>
        <v/>
      </c>
      <c r="AM42" s="132" t="str">
        <f>IF(NOT(ISBLANK(Curs!C41)),IFERROR(SUM(X42,Z42,AB42,AD42,AF42,AH42,AJ42)/COUNT(X42,Z42,AB42,AD42,AF42,AH42,AJ42),""),"")</f>
        <v/>
      </c>
      <c r="AN42" s="55"/>
    </row>
    <row r="43" spans="2:42" ht="20.399999999999999" x14ac:dyDescent="0.35">
      <c r="B43" s="34" t="str">
        <f>IF(NOT(ISBLANK(Curs!B42)),Curs!B42,"")</f>
        <v/>
      </c>
      <c r="C43" s="71" t="str">
        <f>IF(NOT(ISBLANK(Curs!C42)),Curs!C42,"")</f>
        <v/>
      </c>
      <c r="D43" s="3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0"/>
        <v/>
      </c>
      <c r="U43" s="58"/>
      <c r="V43" s="72" t="str">
        <f t="shared" si="1"/>
        <v/>
      </c>
      <c r="W43" s="73" t="str">
        <f t="shared" si="2"/>
        <v/>
      </c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129" t="str">
        <f>IF(NOT(ISBLANK(Curs!C42)),IF(ABS(Y43+AA43+AC43+AE43+AG43+AI43+AK43)&lt;&gt;0,ABS(Y43+AA43+AC43+AE43+AG43+AI43+AK43),""),"")</f>
        <v/>
      </c>
      <c r="AM43" s="132" t="str">
        <f>IF(NOT(ISBLANK(Curs!C42)),IFERROR(SUM(X43,Z43,AB43,AD43,AF43,AH43,AJ43)/COUNT(X43,Z43,AB43,AD43,AF43,AH43,AJ43),""),"")</f>
        <v/>
      </c>
      <c r="AN43" s="55"/>
    </row>
    <row r="44" spans="2:42" ht="20.399999999999999" x14ac:dyDescent="0.35">
      <c r="B44" s="34" t="str">
        <f>IF(NOT(ISBLANK(Curs!B43)),Curs!B43,"")</f>
        <v/>
      </c>
      <c r="C44" s="71" t="str">
        <f>IF(NOT(ISBLANK(Curs!C43)),Curs!C43,"")</f>
        <v/>
      </c>
      <c r="D44" s="3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0"/>
        <v/>
      </c>
      <c r="U44" s="58"/>
      <c r="V44" s="72" t="str">
        <f t="shared" si="1"/>
        <v/>
      </c>
      <c r="W44" s="73" t="str">
        <f t="shared" si="2"/>
        <v/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129" t="str">
        <f>IF(NOT(ISBLANK(Curs!C43)),IF(ABS(Y44+AA44+AC44+AE44+AG44+AI44+AK44)&lt;&gt;0,ABS(Y44+AA44+AC44+AE44+AG44+AI44+AK44),""),"")</f>
        <v/>
      </c>
      <c r="AM44" s="132" t="str">
        <f>IF(NOT(ISBLANK(Curs!C43)),IFERROR(SUM(X44,Z44,AB44,AD44,AF44,AH44,AJ44)/COUNT(X44,Z44,AB44,AD44,AF44,AH44,AJ44),""),"")</f>
        <v/>
      </c>
      <c r="AN44" s="55"/>
    </row>
    <row r="45" spans="2:42" ht="20.399999999999999" x14ac:dyDescent="0.35">
      <c r="B45" s="34" t="str">
        <f>IF(NOT(ISBLANK(Curs!B44)),Curs!B44,"")</f>
        <v/>
      </c>
      <c r="C45" s="71" t="str">
        <f>IF(NOT(ISBLANK(Curs!C44)),Curs!C44,"")</f>
        <v/>
      </c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0"/>
        <v/>
      </c>
      <c r="U45" s="58"/>
      <c r="V45" s="72" t="str">
        <f t="shared" si="1"/>
        <v/>
      </c>
      <c r="W45" s="73" t="str">
        <f t="shared" si="2"/>
        <v/>
      </c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129" t="str">
        <f>IF(NOT(ISBLANK(Curs!C44)),IF(ABS(Y45+AA45+AC45+AE45+AG45+AI45+AK45)&lt;&gt;0,ABS(Y45+AA45+AC45+AE45+AG45+AI45+AK45),""),"")</f>
        <v/>
      </c>
      <c r="AM45" s="132" t="str">
        <f>IF(NOT(ISBLANK(Curs!C44)),IFERROR(SUM(X45,Z45,AB45,AD45,AF45,AH45,AJ45)/COUNT(X45,Z45,AB45,AD45,AF45,AH45,AJ45),""),"")</f>
        <v/>
      </c>
      <c r="AN45" s="55"/>
    </row>
    <row r="46" spans="2:42" ht="20.399999999999999" x14ac:dyDescent="0.35">
      <c r="B46" s="34" t="str">
        <f>IF(NOT(ISBLANK(Curs!B45)),Curs!B45,"")</f>
        <v/>
      </c>
      <c r="C46" s="71" t="str">
        <f>IF(NOT(ISBLANK(Curs!C45)),Curs!C45,"")</f>
        <v/>
      </c>
      <c r="D46" s="3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0"/>
        <v/>
      </c>
      <c r="U46" s="58"/>
      <c r="V46" s="72" t="str">
        <f t="shared" si="1"/>
        <v/>
      </c>
      <c r="W46" s="73" t="str">
        <f t="shared" si="2"/>
        <v/>
      </c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129" t="str">
        <f>IF(NOT(ISBLANK(Curs!C45)),IF(ABS(Y46+AA46+AC46+AE46+AG46+AI46+AK46)&lt;&gt;0,ABS(Y46+AA46+AC46+AE46+AG46+AI46+AK46),""),"")</f>
        <v/>
      </c>
      <c r="AM46" s="132" t="str">
        <f>IF(NOT(ISBLANK(Curs!C45)),IFERROR(SUM(X46,Z46,AB46,AD46,AF46,AH46,AJ46)/COUNT(X46,Z46,AB46,AD46,AF46,AH46,AJ46),""),"")</f>
        <v/>
      </c>
      <c r="AN46" s="55"/>
    </row>
    <row r="47" spans="2:42" ht="20.399999999999999" x14ac:dyDescent="0.35">
      <c r="B47" s="34" t="str">
        <f>IF(NOT(ISBLANK(Curs!B46)),Curs!B46,"")</f>
        <v/>
      </c>
      <c r="C47" s="71" t="str">
        <f>IF(NOT(ISBLANK(Curs!C46)),Curs!C46,"")</f>
        <v/>
      </c>
      <c r="D47" s="3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0"/>
        <v/>
      </c>
      <c r="U47" s="58"/>
      <c r="V47" s="72" t="str">
        <f t="shared" si="1"/>
        <v/>
      </c>
      <c r="W47" s="73" t="str">
        <f t="shared" si="2"/>
        <v/>
      </c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129" t="str">
        <f>IF(NOT(ISBLANK(Curs!C46)),IF(ABS(Y47+AA47+AC47+AE47+AG47+AI47+AK47)&lt;&gt;0,ABS(Y47+AA47+AC47+AE47+AG47+AI47+AK47),""),"")</f>
        <v/>
      </c>
      <c r="AM47" s="132" t="str">
        <f>IF(NOT(ISBLANK(Curs!C46)),IFERROR(SUM(X47,Z47,AB47,AD47,AF47,AH47,AJ47)/COUNT(X47,Z47,AB47,AD47,AF47,AH47,AJ47),""),"")</f>
        <v/>
      </c>
      <c r="AN47" s="55"/>
    </row>
    <row r="48" spans="2:42" ht="15" customHeight="1" x14ac:dyDescent="0.35">
      <c r="B48" s="34" t="str">
        <f>IF(NOT(ISBLANK(Curs!B47)),Curs!B47,"")</f>
        <v/>
      </c>
      <c r="C48" s="71" t="str">
        <f>IF(NOT(ISBLANK(Curs!C47)),Curs!C47,"")</f>
        <v/>
      </c>
      <c r="D48" s="3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0"/>
        <v/>
      </c>
      <c r="U48" s="58"/>
      <c r="V48" s="72" t="str">
        <f t="shared" si="1"/>
        <v/>
      </c>
      <c r="W48" s="73" t="str">
        <f t="shared" si="2"/>
        <v/>
      </c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129" t="str">
        <f>IF(NOT(ISBLANK(Curs!C47)),IF(ABS(Y48+AA48+AC48+AE48+AG48+AI48+AK48)&lt;&gt;0,ABS(Y48+AA48+AC48+AE48+AG48+AI48+AK48),""),"")</f>
        <v/>
      </c>
      <c r="AM48" s="132" t="str">
        <f>IF(NOT(ISBLANK(Curs!C47)),IFERROR(SUM(X48,Z48,AB48,AD48,AF48,AH48,AJ48)/COUNT(X48,Z48,AB48,AD48,AF48,AH48,AJ48),""),"")</f>
        <v/>
      </c>
      <c r="AN48" s="57"/>
      <c r="AO48" s="41"/>
      <c r="AP48" s="41"/>
    </row>
    <row r="49" spans="2:42" ht="15" customHeight="1" x14ac:dyDescent="0.35">
      <c r="B49" s="34" t="str">
        <f>IF(NOT(ISBLANK(Curs!B48)),Curs!B48,"")</f>
        <v/>
      </c>
      <c r="C49" s="71" t="str">
        <f>IF(NOT(ISBLANK(Curs!C48)),Curs!C48,"")</f>
        <v/>
      </c>
      <c r="D49" s="3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0"/>
        <v/>
      </c>
      <c r="U49" s="58"/>
      <c r="V49" s="72" t="str">
        <f t="shared" si="1"/>
        <v/>
      </c>
      <c r="W49" s="73" t="str">
        <f t="shared" si="2"/>
        <v/>
      </c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129" t="str">
        <f>IF(NOT(ISBLANK(Curs!C48)),IF(ABS(Y49+AA49+AC49+AE49+AG49+AI49+AK49)&lt;&gt;0,ABS(Y49+AA49+AC49+AE49+AG49+AI49+AK49),""),"")</f>
        <v/>
      </c>
      <c r="AM49" s="132" t="str">
        <f>IF(NOT(ISBLANK(Curs!C48)),IFERROR(SUM(X49,Z49,AB49,AD49,AF49,AH49,AJ49)/COUNT(X49,Z49,AB49,AD49,AF49,AH49,AJ49),""),"")</f>
        <v/>
      </c>
      <c r="AN49" s="57"/>
      <c r="AO49" s="41"/>
      <c r="AP49" s="41"/>
    </row>
    <row r="50" spans="2:42" ht="15" customHeight="1" x14ac:dyDescent="0.35">
      <c r="B50" s="34" t="str">
        <f>IF(NOT(ISBLANK(Curs!B49)),Curs!B49,"")</f>
        <v/>
      </c>
      <c r="C50" s="71" t="str">
        <f>IF(NOT(ISBLANK(Curs!C49)),Curs!C49,"")</f>
        <v/>
      </c>
      <c r="D50" s="3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0"/>
        <v/>
      </c>
      <c r="U50" s="58"/>
      <c r="V50" s="72" t="str">
        <f t="shared" si="1"/>
        <v/>
      </c>
      <c r="W50" s="73" t="str">
        <f t="shared" si="2"/>
        <v/>
      </c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129" t="str">
        <f>IF(NOT(ISBLANK(Curs!C49)),IF(ABS(Y50+AA50+AC50+AE50+AG50+AI50+AK50)&lt;&gt;0,ABS(Y50+AA50+AC50+AE50+AG50+AI50+AK50),""),"")</f>
        <v/>
      </c>
      <c r="AM50" s="132" t="str">
        <f>IF(NOT(ISBLANK(Curs!C49)),IFERROR(SUM(X50,Z50,AB50,AD50,AF50,AH50,AJ50)/COUNT(X50,Z50,AB50,AD50,AF50,AH50,AJ50),""),"")</f>
        <v/>
      </c>
      <c r="AN50" s="57"/>
      <c r="AO50" s="41"/>
      <c r="AP50" s="41"/>
    </row>
    <row r="51" spans="2:42" ht="15" customHeight="1" x14ac:dyDescent="0.35">
      <c r="B51" s="34" t="str">
        <f>IF(NOT(ISBLANK(Curs!B50)),Curs!B50,"")</f>
        <v/>
      </c>
      <c r="C51" s="71" t="str">
        <f>IF(NOT(ISBLANK(Curs!C50)),Curs!C50,"")</f>
        <v/>
      </c>
      <c r="D51" s="3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0"/>
        <v/>
      </c>
      <c r="U51" s="58"/>
      <c r="V51" s="72" t="str">
        <f t="shared" si="1"/>
        <v/>
      </c>
      <c r="W51" s="73" t="str">
        <f t="shared" si="2"/>
        <v/>
      </c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129" t="str">
        <f>IF(NOT(ISBLANK(Curs!C50)),IF(ABS(Y51+AA51+AC51+AE51+AG51+AI51+AK51)&lt;&gt;0,ABS(Y51+AA51+AC51+AE51+AG51+AI51+AK51),""),"")</f>
        <v/>
      </c>
      <c r="AM51" s="132" t="str">
        <f>IF(NOT(ISBLANK(Curs!C50)),IFERROR(SUM(X51,Z51,AB51,AD51,AF51,AH51,AJ51)/COUNT(X51,Z51,AB51,AD51,AF51,AH51,AJ51),""),"")</f>
        <v/>
      </c>
      <c r="AN51" s="57"/>
      <c r="AO51" s="41"/>
      <c r="AP51" s="41"/>
    </row>
    <row r="52" spans="2:42" ht="15" customHeight="1" x14ac:dyDescent="0.35">
      <c r="B52" s="34" t="str">
        <f>IF(NOT(ISBLANK(Curs!B51)),Curs!B51,"")</f>
        <v/>
      </c>
      <c r="C52" s="71" t="str">
        <f>IF(NOT(ISBLANK(Curs!C51)),Curs!C51,"")</f>
        <v/>
      </c>
      <c r="D52" s="3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0"/>
        <v/>
      </c>
      <c r="U52" s="58"/>
      <c r="V52" s="72" t="str">
        <f t="shared" si="1"/>
        <v/>
      </c>
      <c r="W52" s="73" t="str">
        <f t="shared" si="2"/>
        <v/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129" t="str">
        <f>IF(NOT(ISBLANK(Curs!C51)),IF(ABS(Y52+AA52+AC52+AE52+AG52+AI52+AK52)&lt;&gt;0,ABS(Y52+AA52+AC52+AE52+AG52+AI52+AK52),""),"")</f>
        <v/>
      </c>
      <c r="AM52" s="132" t="str">
        <f>IF(NOT(ISBLANK(Curs!C51)),IFERROR(SUM(X52,Z52,AB52,AD52,AF52,AH52,AJ52)/COUNT(X52,Z52,AB52,AD52,AF52,AH52,AJ52),""),"")</f>
        <v/>
      </c>
      <c r="AN52" s="57"/>
      <c r="AO52" s="41"/>
      <c r="AP52" s="41"/>
    </row>
    <row r="53" spans="2:42" ht="15" customHeight="1" x14ac:dyDescent="0.35">
      <c r="B53" s="34" t="str">
        <f>IF(NOT(ISBLANK(Curs!B52)),Curs!B52,"")</f>
        <v/>
      </c>
      <c r="C53" s="71" t="str">
        <f>IF(NOT(ISBLANK(Curs!C52)),Curs!C52,"")</f>
        <v/>
      </c>
      <c r="D53" s="3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0"/>
        <v/>
      </c>
      <c r="U53" s="58"/>
      <c r="V53" s="72" t="str">
        <f t="shared" si="1"/>
        <v/>
      </c>
      <c r="W53" s="73" t="str">
        <f t="shared" si="2"/>
        <v/>
      </c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129" t="str">
        <f>IF(NOT(ISBLANK(Curs!C52)),IF(ABS(Y53+AA53+AC53+AE53+AG53+AI53+AK53)&lt;&gt;0,ABS(Y53+AA53+AC53+AE53+AG53+AI53+AK53),""),"")</f>
        <v/>
      </c>
      <c r="AM53" s="132" t="str">
        <f>IF(NOT(ISBLANK(Curs!C52)),IFERROR(SUM(X53,Z53,AB53,AD53,AF53,AH53,AJ53)/COUNT(X53,Z53,AB53,AD53,AF53,AH53,AJ53),""),"")</f>
        <v/>
      </c>
      <c r="AN53" s="57"/>
      <c r="AO53" s="41"/>
      <c r="AP53" s="41"/>
    </row>
    <row r="54" spans="2:42" ht="15" customHeight="1" x14ac:dyDescent="0.35">
      <c r="B54" s="34" t="str">
        <f>IF(NOT(ISBLANK(Curs!B53)),Curs!B53,"")</f>
        <v/>
      </c>
      <c r="C54" s="71" t="str">
        <f>IF(NOT(ISBLANK(Curs!C53)),Curs!C53,"")</f>
        <v/>
      </c>
      <c r="D54" s="3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0"/>
        <v/>
      </c>
      <c r="U54" s="58"/>
      <c r="V54" s="72" t="str">
        <f t="shared" si="1"/>
        <v/>
      </c>
      <c r="W54" s="73" t="str">
        <f t="shared" si="2"/>
        <v/>
      </c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129" t="str">
        <f>IF(NOT(ISBLANK(Curs!C53)),IF(ABS(Y54+AA54+AC54+AE54+AG54+AI54+AK54)&lt;&gt;0,ABS(Y54+AA54+AC54+AE54+AG54+AI54+AK54),""),"")</f>
        <v/>
      </c>
      <c r="AM54" s="132" t="str">
        <f>IF(NOT(ISBLANK(Curs!C53)),IFERROR(SUM(X54,Z54,AB54,AD54,AF54,AH54,AJ54)/COUNT(X54,Z54,AB54,AD54,AF54,AH54,AJ54),""),"")</f>
        <v/>
      </c>
      <c r="AN54" s="57"/>
      <c r="AO54" s="41"/>
      <c r="AP54" s="41"/>
    </row>
    <row r="55" spans="2:42" ht="15" customHeight="1" x14ac:dyDescent="0.35">
      <c r="B55" s="34" t="str">
        <f>IF(NOT(ISBLANK(Curs!B54)),Curs!B54,"")</f>
        <v/>
      </c>
      <c r="C55" s="71" t="str">
        <f>IF(NOT(ISBLANK(Curs!C54)),Curs!C54,"")</f>
        <v/>
      </c>
      <c r="D55" s="3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0"/>
        <v/>
      </c>
      <c r="U55" s="58"/>
      <c r="V55" s="72" t="str">
        <f t="shared" si="1"/>
        <v/>
      </c>
      <c r="W55" s="73" t="str">
        <f t="shared" si="2"/>
        <v/>
      </c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129" t="str">
        <f>IF(NOT(ISBLANK(Curs!C54)),IF(ABS(Y55+AA55+AC55+AE55+AG55+AI55+AK55)&lt;&gt;0,ABS(Y55+AA55+AC55+AE55+AG55+AI55+AK55),""),"")</f>
        <v/>
      </c>
      <c r="AM55" s="132" t="str">
        <f>IF(NOT(ISBLANK(Curs!C54)),IFERROR(SUM(X55,Z55,AB55,AD55,AF55,AH55,AJ55)/COUNT(X55,Z55,AB55,AD55,AF55,AH55,AJ55),""),"")</f>
        <v/>
      </c>
      <c r="AN55" s="57"/>
      <c r="AO55" s="41"/>
      <c r="AP55" s="41"/>
    </row>
    <row r="56" spans="2:42" ht="15" customHeight="1" x14ac:dyDescent="0.35">
      <c r="B56" s="34" t="str">
        <f>IF(NOT(ISBLANK(Curs!B55)),Curs!B55,"")</f>
        <v/>
      </c>
      <c r="C56" s="71" t="str">
        <f>IF(NOT(ISBLANK(Curs!C55)),Curs!C55,"")</f>
        <v/>
      </c>
      <c r="D56" s="3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0"/>
        <v/>
      </c>
      <c r="U56" s="58"/>
      <c r="V56" s="72" t="str">
        <f t="shared" si="1"/>
        <v/>
      </c>
      <c r="W56" s="73" t="str">
        <f t="shared" si="2"/>
        <v/>
      </c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129" t="str">
        <f>IF(NOT(ISBLANK(Curs!C55)),IF(ABS(Y56+AA56+AC56+AE56+AG56+AI56+AK56)&lt;&gt;0,ABS(Y56+AA56+AC56+AE56+AG56+AI56+AK56),""),"")</f>
        <v/>
      </c>
      <c r="AM56" s="132" t="str">
        <f>IF(NOT(ISBLANK(Curs!C55)),IFERROR(SUM(X56,Z56,AB56,AD56,AF56,AH56,AJ56)/COUNT(X56,Z56,AB56,AD56,AF56,AH56,AJ56),""),"")</f>
        <v/>
      </c>
      <c r="AN56" s="57"/>
      <c r="AO56" s="41"/>
      <c r="AP56" s="41"/>
    </row>
    <row r="57" spans="2:42" ht="15" customHeight="1" x14ac:dyDescent="0.35">
      <c r="B57" s="34" t="str">
        <f>IF(NOT(ISBLANK(Curs!B56)),Curs!B56,"")</f>
        <v/>
      </c>
      <c r="C57" s="71" t="str">
        <f>IF(NOT(ISBLANK(Curs!C56)),Curs!C56,"")</f>
        <v/>
      </c>
      <c r="D57" s="3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0"/>
        <v/>
      </c>
      <c r="U57" s="58"/>
      <c r="V57" s="72" t="str">
        <f t="shared" si="1"/>
        <v/>
      </c>
      <c r="W57" s="73" t="str">
        <f t="shared" si="2"/>
        <v/>
      </c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129" t="str">
        <f>IF(NOT(ISBLANK(Curs!C56)),IF(ABS(Y57+AA57+AC57+AE57+AG57+AI57+AK57)&lt;&gt;0,ABS(Y57+AA57+AC57+AE57+AG57+AI57+AK57),""),"")</f>
        <v/>
      </c>
      <c r="AM57" s="132" t="str">
        <f>IF(NOT(ISBLANK(Curs!C56)),IFERROR(SUM(X57,Z57,AB57,AD57,AF57,AH57,AJ57)/COUNT(X57,Z57,AB57,AD57,AF57,AH57,AJ57),""),"")</f>
        <v/>
      </c>
      <c r="AN57" s="57"/>
      <c r="AO57" s="41"/>
      <c r="AP57" s="41"/>
    </row>
    <row r="58" spans="2:42" ht="15" customHeight="1" x14ac:dyDescent="0.35">
      <c r="B58" s="34" t="str">
        <f>IF(NOT(ISBLANK(Curs!B57)),Curs!B57,"")</f>
        <v/>
      </c>
      <c r="C58" s="71" t="str">
        <f>IF(NOT(ISBLANK(Curs!C57)),Curs!C57,"")</f>
        <v/>
      </c>
      <c r="D58" s="3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0"/>
        <v/>
      </c>
      <c r="U58" s="58"/>
      <c r="V58" s="72" t="str">
        <f t="shared" si="1"/>
        <v/>
      </c>
      <c r="W58" s="73" t="str">
        <f t="shared" si="2"/>
        <v/>
      </c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129" t="str">
        <f>IF(NOT(ISBLANK(Curs!C57)),IF(ABS(Y58+AA58+AC58+AE58+AG58+AI58+AK58)&lt;&gt;0,ABS(Y58+AA58+AC58+AE58+AG58+AI58+AK58),""),"")</f>
        <v/>
      </c>
      <c r="AM58" s="132" t="str">
        <f>IF(NOT(ISBLANK(Curs!C57)),IFERROR(SUM(X58,Z58,AB58,AD58,AF58,AH58,AJ58)/COUNT(X58,Z58,AB58,AD58,AF58,AH58,AJ58),""),"")</f>
        <v/>
      </c>
      <c r="AN58" s="57"/>
      <c r="AO58" s="41"/>
      <c r="AP58" s="41"/>
    </row>
    <row r="59" spans="2:42" ht="15" customHeight="1" x14ac:dyDescent="0.35">
      <c r="B59" s="34" t="str">
        <f>IF(NOT(ISBLANK(Curs!B58)),Curs!B58,"")</f>
        <v/>
      </c>
      <c r="C59" s="71" t="str">
        <f>IF(NOT(ISBLANK(Curs!C58)),Curs!C58,"")</f>
        <v/>
      </c>
      <c r="D59" s="3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0"/>
        <v/>
      </c>
      <c r="U59" s="58"/>
      <c r="V59" s="72" t="str">
        <f t="shared" si="1"/>
        <v/>
      </c>
      <c r="W59" s="73" t="str">
        <f t="shared" si="2"/>
        <v/>
      </c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129" t="str">
        <f>IF(NOT(ISBLANK(Curs!C58)),IF(ABS(Y59+AA59+AC59+AE59+AG59+AI59+AK59)&lt;&gt;0,ABS(Y59+AA59+AC59+AE59+AG59+AI59+AK59),""),"")</f>
        <v/>
      </c>
      <c r="AM59" s="132" t="str">
        <f>IF(NOT(ISBLANK(Curs!C58)),IFERROR(SUM(X59,Z59,AB59,AD59,AF59,AH59,AJ59)/COUNT(X59,Z59,AB59,AD59,AF59,AH59,AJ59),""),"")</f>
        <v/>
      </c>
      <c r="AN59" s="57"/>
      <c r="AO59" s="41"/>
      <c r="AP59" s="41"/>
    </row>
    <row r="60" spans="2:42" ht="15" customHeight="1" x14ac:dyDescent="0.35">
      <c r="B60" s="34" t="str">
        <f>IF(NOT(ISBLANK(Curs!B59)),Curs!B59,"")</f>
        <v/>
      </c>
      <c r="C60" s="71" t="str">
        <f>IF(NOT(ISBLANK(Curs!C59)),Curs!C59,"")</f>
        <v/>
      </c>
      <c r="D60" s="3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0"/>
        <v/>
      </c>
      <c r="U60" s="58"/>
      <c r="V60" s="72" t="str">
        <f t="shared" si="1"/>
        <v/>
      </c>
      <c r="W60" s="73" t="str">
        <f t="shared" si="2"/>
        <v/>
      </c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129" t="str">
        <f>IF(NOT(ISBLANK(Curs!C59)),IF(ABS(Y60+AA60+AC60+AE60+AG60+AI60+AK60)&lt;&gt;0,ABS(Y60+AA60+AC60+AE60+AG60+AI60+AK60),""),"")</f>
        <v/>
      </c>
      <c r="AM60" s="132" t="str">
        <f>IF(NOT(ISBLANK(Curs!C59)),IFERROR(SUM(X60,Z60,AB60,AD60,AF60,AH60,AJ60)/COUNT(X60,Z60,AB60,AD60,AF60,AH60,AJ60),""),"")</f>
        <v/>
      </c>
      <c r="AN60" s="57"/>
      <c r="AO60" s="41"/>
      <c r="AP60" s="41"/>
    </row>
    <row r="61" spans="2:42" ht="15" customHeight="1" x14ac:dyDescent="0.35">
      <c r="B61" s="34" t="str">
        <f>IF(NOT(ISBLANK(Curs!B60)),Curs!B60,"")</f>
        <v/>
      </c>
      <c r="C61" s="71" t="str">
        <f>IF(NOT(ISBLANK(Curs!C60)),Curs!C60,"")</f>
        <v/>
      </c>
      <c r="D61" s="3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0"/>
        <v/>
      </c>
      <c r="U61" s="58"/>
      <c r="V61" s="72" t="str">
        <f t="shared" si="1"/>
        <v/>
      </c>
      <c r="W61" s="73" t="str">
        <f t="shared" si="2"/>
        <v/>
      </c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129" t="str">
        <f>IF(NOT(ISBLANK(Curs!C60)),IF(ABS(Y61+AA61+AC61+AE61+AG61+AI61+AK61)&lt;&gt;0,ABS(Y61+AA61+AC61+AE61+AG61+AI61+AK61),""),"")</f>
        <v/>
      </c>
      <c r="AM61" s="132" t="str">
        <f>IF(NOT(ISBLANK(Curs!C60)),IFERROR(SUM(X61,Z61,AB61,AD61,AF61,AH61,AJ61)/COUNT(X61,Z61,AB61,AD61,AF61,AH61,AJ61),""),"")</f>
        <v/>
      </c>
      <c r="AN61" s="57"/>
      <c r="AO61" s="41"/>
      <c r="AP61" s="41"/>
    </row>
    <row r="62" spans="2:42" ht="15" customHeight="1" x14ac:dyDescent="0.35">
      <c r="B62" s="34" t="str">
        <f>IF(NOT(ISBLANK(Curs!B61)),Curs!B61,"")</f>
        <v/>
      </c>
      <c r="C62" s="71" t="str">
        <f>IF(NOT(ISBLANK(Curs!C61)),Curs!C61,"")</f>
        <v/>
      </c>
      <c r="D62" s="3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0"/>
        <v/>
      </c>
      <c r="U62" s="58"/>
      <c r="V62" s="72" t="str">
        <f t="shared" si="1"/>
        <v/>
      </c>
      <c r="W62" s="73" t="str">
        <f t="shared" si="2"/>
        <v/>
      </c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129" t="str">
        <f>IF(NOT(ISBLANK(Curs!C61)),IF(ABS(Y62+AA62+AC62+AE62+AG62+AI62+AK62)&lt;&gt;0,ABS(Y62+AA62+AC62+AE62+AG62+AI62+AK62),""),"")</f>
        <v/>
      </c>
      <c r="AM62" s="132" t="str">
        <f>IF(NOT(ISBLANK(Curs!C61)),IFERROR(SUM(X62,Z62,AB62,AD62,AF62,AH62,AJ62)/COUNT(X62,Z62,AB62,AD62,AF62,AH62,AJ62),""),"")</f>
        <v/>
      </c>
      <c r="AN62" s="57"/>
      <c r="AO62" s="41"/>
      <c r="AP62" s="41"/>
    </row>
    <row r="63" spans="2:42" ht="15" customHeight="1" x14ac:dyDescent="0.35">
      <c r="B63" s="34" t="str">
        <f>IF(NOT(ISBLANK(Curs!B62)),Curs!B62,"")</f>
        <v/>
      </c>
      <c r="C63" s="71" t="str">
        <f>IF(NOT(ISBLANK(Curs!C62)),Curs!C62,"")</f>
        <v/>
      </c>
      <c r="D63" s="3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0"/>
        <v/>
      </c>
      <c r="U63" s="58"/>
      <c r="V63" s="72" t="str">
        <f t="shared" si="1"/>
        <v/>
      </c>
      <c r="W63" s="73" t="str">
        <f t="shared" si="2"/>
        <v/>
      </c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129" t="str">
        <f>IF(NOT(ISBLANK(Curs!C62)),IF(ABS(Y63+AA63+AC63+AE63+AG63+AI63+AK63)&lt;&gt;0,ABS(Y63+AA63+AC63+AE63+AG63+AI63+AK63),""),"")</f>
        <v/>
      </c>
      <c r="AM63" s="132" t="str">
        <f>IF(NOT(ISBLANK(Curs!C62)),IFERROR(SUM(X63,Z63,AB63,AD63,AF63,AH63,AJ63)/COUNT(X63,Z63,AB63,AD63,AF63,AH63,AJ63),""),"")</f>
        <v/>
      </c>
      <c r="AN63" s="57"/>
      <c r="AO63" s="41"/>
      <c r="AP63" s="41"/>
    </row>
    <row r="64" spans="2:42" ht="15" customHeight="1" x14ac:dyDescent="0.35">
      <c r="B64" s="34" t="str">
        <f>IF(NOT(ISBLANK(Curs!B63)),Curs!B63,"")</f>
        <v/>
      </c>
      <c r="C64" s="71" t="str">
        <f>IF(NOT(ISBLANK(Curs!C63)),Curs!C63,"")</f>
        <v/>
      </c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0"/>
        <v/>
      </c>
      <c r="U64" s="58"/>
      <c r="V64" s="72" t="str">
        <f t="shared" si="1"/>
        <v/>
      </c>
      <c r="W64" s="73" t="str">
        <f t="shared" si="2"/>
        <v/>
      </c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129" t="str">
        <f>IF(NOT(ISBLANK(Curs!C63)),IF(ABS(Y64+AA64+AC64+AE64+AG64+AI64+AK64)&lt;&gt;0,ABS(Y64+AA64+AC64+AE64+AG64+AI64+AK64),""),"")</f>
        <v/>
      </c>
      <c r="AM64" s="132" t="str">
        <f>IF(NOT(ISBLANK(Curs!C63)),IFERROR(SUM(X64,Z64,AB64,AD64,AF64,AH64,AJ64)/COUNT(X64,Z64,AB64,AD64,AF64,AH64,AJ64),""),"")</f>
        <v/>
      </c>
      <c r="AN64" s="57"/>
      <c r="AO64" s="41"/>
      <c r="AP64" s="41"/>
    </row>
    <row r="65" spans="2:42" ht="15" customHeight="1" x14ac:dyDescent="0.35">
      <c r="B65" s="34" t="str">
        <f>IF(NOT(ISBLANK(Curs!B64)),Curs!B64,"")</f>
        <v/>
      </c>
      <c r="C65" s="71" t="str">
        <f>IF(NOT(ISBLANK(Curs!C64)),Curs!C64,"")</f>
        <v/>
      </c>
      <c r="D65" s="3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0"/>
        <v/>
      </c>
      <c r="U65" s="58"/>
      <c r="V65" s="72" t="str">
        <f t="shared" si="1"/>
        <v/>
      </c>
      <c r="W65" s="73" t="str">
        <f t="shared" si="2"/>
        <v/>
      </c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129" t="str">
        <f>IF(NOT(ISBLANK(Curs!C64)),IF(ABS(Y65+AA65+AC65+AE65+AG65+AI65+AK65)&lt;&gt;0,ABS(Y65+AA65+AC65+AE65+AG65+AI65+AK65),""),"")</f>
        <v/>
      </c>
      <c r="AM65" s="132" t="str">
        <f>IF(NOT(ISBLANK(Curs!C64)),IFERROR(SUM(X65,Z65,AB65,AD65,AF65,AH65,AJ65)/COUNT(X65,Z65,AB65,AD65,AF65,AH65,AJ65),""),"")</f>
        <v/>
      </c>
      <c r="AN65" s="57"/>
      <c r="AO65" s="41"/>
      <c r="AP65" s="41"/>
    </row>
    <row r="66" spans="2:42" ht="15" customHeight="1" x14ac:dyDescent="0.35">
      <c r="B66" s="34" t="str">
        <f>IF(NOT(ISBLANK(Curs!B65)),Curs!B65,"")</f>
        <v/>
      </c>
      <c r="C66" s="71" t="str">
        <f>IF(NOT(ISBLANK(Curs!C65)),Curs!C65,"")</f>
        <v/>
      </c>
      <c r="D66" s="3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0"/>
        <v/>
      </c>
      <c r="U66" s="58"/>
      <c r="V66" s="72" t="str">
        <f t="shared" si="1"/>
        <v/>
      </c>
      <c r="W66" s="73" t="str">
        <f t="shared" si="2"/>
        <v/>
      </c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129" t="str">
        <f>IF(NOT(ISBLANK(Curs!C65)),IF(ABS(Y66+AA66+AC66+AE66+AG66+AI66+AK66)&lt;&gt;0,ABS(Y66+AA66+AC66+AE66+AG66+AI66+AK66),""),"")</f>
        <v/>
      </c>
      <c r="AM66" s="132" t="str">
        <f>IF(NOT(ISBLANK(Curs!C65)),IFERROR(SUM(X66,Z66,AB66,AD66,AF66,AH66,AJ66)/COUNT(X66,Z66,AB66,AD66,AF66,AH66,AJ66),""),"")</f>
        <v/>
      </c>
      <c r="AN66" s="57"/>
      <c r="AO66" s="41"/>
      <c r="AP66" s="41"/>
    </row>
    <row r="67" spans="2:42" ht="15" customHeight="1" x14ac:dyDescent="0.35">
      <c r="B67" s="34" t="str">
        <f>IF(NOT(ISBLANK(Curs!B66)),Curs!B66,"")</f>
        <v/>
      </c>
      <c r="C67" s="71" t="str">
        <f>IF(NOT(ISBLANK(Curs!C66)),Curs!C66,"")</f>
        <v/>
      </c>
      <c r="D67" s="3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0"/>
        <v/>
      </c>
      <c r="U67" s="58"/>
      <c r="V67" s="72" t="str">
        <f t="shared" si="1"/>
        <v/>
      </c>
      <c r="W67" s="73" t="str">
        <f t="shared" si="2"/>
        <v/>
      </c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129" t="str">
        <f>IF(NOT(ISBLANK(Curs!C66)),IF(ABS(Y67+AA67+AC67+AE67+AG67+AI67+AK67)&lt;&gt;0,ABS(Y67+AA67+AC67+AE67+AG67+AI67+AK67),""),"")</f>
        <v/>
      </c>
      <c r="AM67" s="132" t="str">
        <f>IF(NOT(ISBLANK(Curs!C66)),IFERROR(SUM(X67,Z67,AB67,AD67,AF67,AH67,AJ67)/COUNT(X67,Z67,AB67,AD67,AF67,AH67,AJ67),""),"")</f>
        <v/>
      </c>
      <c r="AN67" s="57"/>
      <c r="AO67" s="41"/>
      <c r="AP67" s="41"/>
    </row>
    <row r="68" spans="2:42" ht="20.399999999999999" x14ac:dyDescent="0.35">
      <c r="B68" s="34" t="str">
        <f>IF(NOT(ISBLANK(Curs!B67)),Curs!B67,"")</f>
        <v/>
      </c>
      <c r="C68" s="71" t="str">
        <f>IF(NOT(ISBLANK(Curs!C67)),Curs!C67,"")</f>
        <v/>
      </c>
      <c r="D68" s="3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0"/>
        <v/>
      </c>
      <c r="U68" s="58"/>
      <c r="V68" s="72" t="str">
        <f t="shared" si="1"/>
        <v/>
      </c>
      <c r="W68" s="73" t="str">
        <f t="shared" si="2"/>
        <v/>
      </c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129" t="str">
        <f>IF(NOT(ISBLANK(Curs!C67)),IF(ABS(Y68+AA68+AC68+AE68+AG68+AI68+AK68)&lt;&gt;0,ABS(Y68+AA68+AC68+AE68+AG68+AI68+AK68),""),"")</f>
        <v/>
      </c>
      <c r="AM68" s="132" t="str">
        <f>IF(NOT(ISBLANK(Curs!C67)),IFERROR(SUM(X68,Z68,AB68,AD68,AF68,AH68,AJ68)/COUNT(X68,Z68,AB68,AD68,AF68,AH68,AJ68),""),"")</f>
        <v/>
      </c>
      <c r="AN68" s="55"/>
    </row>
    <row r="69" spans="2:42" ht="20.399999999999999" x14ac:dyDescent="0.35">
      <c r="B69" s="34" t="str">
        <f>IF(NOT(ISBLANK(Curs!B68)),Curs!B68,"")</f>
        <v/>
      </c>
      <c r="C69" s="71" t="str">
        <f>IF(NOT(ISBLANK(Curs!C68)),Curs!C68,"")</f>
        <v/>
      </c>
      <c r="D69" s="3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0"/>
        <v/>
      </c>
      <c r="U69" s="58"/>
      <c r="V69" s="72" t="str">
        <f t="shared" si="1"/>
        <v/>
      </c>
      <c r="W69" s="73" t="str">
        <f t="shared" si="2"/>
        <v/>
      </c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129" t="str">
        <f>IF(NOT(ISBLANK(Curs!C68)),IF(ABS(Y69+AA69+AC69+AE69+AG69+AI69+AK69)&lt;&gt;0,ABS(Y69+AA69+AC69+AE69+AG69+AI69+AK69),""),"")</f>
        <v/>
      </c>
      <c r="AM69" s="132" t="str">
        <f>IF(NOT(ISBLANK(Curs!C68)),IFERROR(SUM(X69,Z69,AB69,AD69,AF69,AH69,AJ69)/COUNT(X69,Z69,AB69,AD69,AF69,AH69,AJ69),""),"")</f>
        <v/>
      </c>
      <c r="AN69" s="55"/>
    </row>
    <row r="70" spans="2:42" ht="20.399999999999999" x14ac:dyDescent="0.35">
      <c r="B70" s="34" t="str">
        <f>IF(NOT(ISBLANK(Curs!B69)),Curs!B69,"")</f>
        <v/>
      </c>
      <c r="C70" s="71" t="str">
        <f>IF(NOT(ISBLANK(Curs!C69)),Curs!C69,"")</f>
        <v/>
      </c>
      <c r="D70" s="3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0"/>
        <v/>
      </c>
      <c r="U70" s="58"/>
      <c r="V70" s="72" t="str">
        <f t="shared" si="1"/>
        <v/>
      </c>
      <c r="W70" s="73" t="str">
        <f t="shared" si="2"/>
        <v/>
      </c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129" t="str">
        <f>IF(NOT(ISBLANK(Curs!C69)),IF(ABS(Y70+AA70+AC70+AE70+AG70+AI70+AK70)&lt;&gt;0,ABS(Y70+AA70+AC70+AE70+AG70+AI70+AK70),""),"")</f>
        <v/>
      </c>
      <c r="AM70" s="132" t="str">
        <f>IF(NOT(ISBLANK(Curs!C69)),IFERROR(SUM(X70,Z70,AB70,AD70,AF70,AH70,AJ70)/COUNT(X70,Z70,AB70,AD70,AF70,AH70,AJ70),""),"")</f>
        <v/>
      </c>
      <c r="AN70" s="55"/>
    </row>
    <row r="71" spans="2:42" ht="20.399999999999999" x14ac:dyDescent="0.35">
      <c r="B71" s="34" t="str">
        <f>IF(NOT(ISBLANK(Curs!B70)),Curs!B70,"")</f>
        <v/>
      </c>
      <c r="C71" s="71" t="str">
        <f>IF(NOT(ISBLANK(Curs!C70)),Curs!C70,"")</f>
        <v/>
      </c>
      <c r="D71" s="3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si="0"/>
        <v/>
      </c>
      <c r="U71" s="58"/>
      <c r="V71" s="72" t="str">
        <f t="shared" si="1"/>
        <v/>
      </c>
      <c r="W71" s="73" t="str">
        <f t="shared" si="2"/>
        <v/>
      </c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129" t="str">
        <f>IF(NOT(ISBLANK(Curs!C70)),IF(ABS(Y71+AA71+AC71+AE71+AG71+AI71+AK71)&lt;&gt;0,ABS(Y71+AA71+AC71+AE71+AG71+AI71+AK71),""),"")</f>
        <v/>
      </c>
      <c r="AM71" s="132" t="str">
        <f>IF(NOT(ISBLANK(Curs!C70)),IFERROR(SUM(X71,Z71,AB71,AD71,AF71,AH71,AJ71)/COUNT(X71,Z71,AB71,AD71,AF71,AH71,AJ71),""),"")</f>
        <v/>
      </c>
      <c r="AN71" s="55"/>
    </row>
    <row r="72" spans="2:42" ht="20.399999999999999" x14ac:dyDescent="0.35">
      <c r="B72" s="34" t="str">
        <f>IF(NOT(ISBLANK(Curs!B71)),Curs!B71,"")</f>
        <v/>
      </c>
      <c r="C72" s="71" t="str">
        <f>IF(NOT(ISBLANK(Curs!C71)),Curs!C71,"")</f>
        <v/>
      </c>
      <c r="D72" s="3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ref="T72:T105" si="3">IF(C72&lt;&gt;"",IF(COUNTIF(E72:S72,"a")&lt;&gt;0,COUNTIF(E72:S72,"a")*2,""),"")</f>
        <v/>
      </c>
      <c r="U72" s="58"/>
      <c r="V72" s="72" t="str">
        <f t="shared" ref="V72:V105" si="4">IF(NOT(ISBLANK(B72)),B72,"")</f>
        <v/>
      </c>
      <c r="W72" s="73" t="str">
        <f t="shared" ref="W72:W105" si="5">IF(NOT(ISBLANK(C72)),C72,"")</f>
        <v/>
      </c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129" t="str">
        <f>IF(NOT(ISBLANK(Curs!C71)),IF(ABS(Y72+AA72+AC72+AE72+AG72+AI72+AK72)&lt;&gt;0,ABS(Y72+AA72+AC72+AE72+AG72+AI72+AK72),""),"")</f>
        <v/>
      </c>
      <c r="AM72" s="132" t="str">
        <f>IF(NOT(ISBLANK(Curs!C71)),IFERROR(SUM(X72,Z72,AB72,AD72,AF72,AH72,AJ72)/COUNT(X72,Z72,AB72,AD72,AF72,AH72,AJ72),""),"")</f>
        <v/>
      </c>
      <c r="AN72" s="55"/>
    </row>
    <row r="73" spans="2:42" ht="20.399999999999999" x14ac:dyDescent="0.35">
      <c r="B73" s="34" t="str">
        <f>IF(NOT(ISBLANK(Curs!B72)),Curs!B72,"")</f>
        <v/>
      </c>
      <c r="C73" s="71" t="str">
        <f>IF(NOT(ISBLANK(Curs!C72)),Curs!C72,"")</f>
        <v/>
      </c>
      <c r="D73" s="3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3"/>
        <v/>
      </c>
      <c r="U73" s="58"/>
      <c r="V73" s="72" t="str">
        <f t="shared" si="4"/>
        <v/>
      </c>
      <c r="W73" s="73" t="str">
        <f t="shared" si="5"/>
        <v/>
      </c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129" t="str">
        <f>IF(NOT(ISBLANK(Curs!C72)),IF(ABS(Y73+AA73+AC73+AE73+AG73+AI73+AK73)&lt;&gt;0,ABS(Y73+AA73+AC73+AE73+AG73+AI73+AK73),""),"")</f>
        <v/>
      </c>
      <c r="AM73" s="132" t="str">
        <f>IF(NOT(ISBLANK(Curs!C72)),IFERROR(SUM(X73,Z73,AB73,AD73,AF73,AH73,AJ73)/COUNT(X73,Z73,AB73,AD73,AF73,AH73,AJ73),""),"")</f>
        <v/>
      </c>
      <c r="AN73" s="55"/>
    </row>
    <row r="74" spans="2:42" ht="20.399999999999999" x14ac:dyDescent="0.35">
      <c r="B74" s="34" t="str">
        <f>IF(NOT(ISBLANK(Curs!B73)),Curs!B73,"")</f>
        <v/>
      </c>
      <c r="C74" s="71" t="str">
        <f>IF(NOT(ISBLANK(Curs!C73)),Curs!C73,"")</f>
        <v/>
      </c>
      <c r="D74" s="3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3"/>
        <v/>
      </c>
      <c r="U74" s="58"/>
      <c r="V74" s="72" t="str">
        <f t="shared" si="4"/>
        <v/>
      </c>
      <c r="W74" s="73" t="str">
        <f t="shared" si="5"/>
        <v/>
      </c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129" t="str">
        <f>IF(NOT(ISBLANK(Curs!C73)),IF(ABS(Y74+AA74+AC74+AE74+AG74+AI74+AK74)&lt;&gt;0,ABS(Y74+AA74+AC74+AE74+AG74+AI74+AK74),""),"")</f>
        <v/>
      </c>
      <c r="AM74" s="132" t="str">
        <f>IF(NOT(ISBLANK(Curs!C73)),IFERROR(SUM(X74,Z74,AB74,AD74,AF74,AH74,AJ74)/COUNT(X74,Z74,AB74,AD74,AF74,AH74,AJ74),""),"")</f>
        <v/>
      </c>
      <c r="AN74" s="55"/>
    </row>
    <row r="75" spans="2:42" ht="20.399999999999999" x14ac:dyDescent="0.35">
      <c r="B75" s="34" t="str">
        <f>IF(NOT(ISBLANK(Curs!B74)),Curs!B74,"")</f>
        <v/>
      </c>
      <c r="C75" s="71" t="str">
        <f>IF(NOT(ISBLANK(Curs!C74)),Curs!C74,"")</f>
        <v/>
      </c>
      <c r="D75" s="3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3"/>
        <v/>
      </c>
      <c r="U75" s="58"/>
      <c r="V75" s="72" t="str">
        <f t="shared" si="4"/>
        <v/>
      </c>
      <c r="W75" s="73" t="str">
        <f t="shared" si="5"/>
        <v/>
      </c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129" t="str">
        <f>IF(NOT(ISBLANK(Curs!C74)),IF(ABS(Y75+AA75+AC75+AE75+AG75+AI75+AK75)&lt;&gt;0,ABS(Y75+AA75+AC75+AE75+AG75+AI75+AK75),""),"")</f>
        <v/>
      </c>
      <c r="AM75" s="132" t="str">
        <f>IF(NOT(ISBLANK(Curs!C74)),IFERROR(SUM(X75,Z75,AB75,AD75,AF75,AH75,AJ75)/COUNT(X75,Z75,AB75,AD75,AF75,AH75,AJ75),""),"")</f>
        <v/>
      </c>
      <c r="AN75" s="55"/>
    </row>
    <row r="76" spans="2:42" ht="20.399999999999999" x14ac:dyDescent="0.35">
      <c r="B76" s="34" t="str">
        <f>IF(NOT(ISBLANK(Curs!B75)),Curs!B75,"")</f>
        <v/>
      </c>
      <c r="C76" s="71" t="str">
        <f>IF(NOT(ISBLANK(Curs!C75)),Curs!C75,"")</f>
        <v/>
      </c>
      <c r="D76" s="3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3"/>
        <v/>
      </c>
      <c r="U76" s="58"/>
      <c r="V76" s="72" t="str">
        <f t="shared" si="4"/>
        <v/>
      </c>
      <c r="W76" s="73" t="str">
        <f t="shared" si="5"/>
        <v/>
      </c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129" t="str">
        <f>IF(NOT(ISBLANK(Curs!C75)),IF(ABS(Y76+AA76+AC76+AE76+AG76+AI76+AK76)&lt;&gt;0,ABS(Y76+AA76+AC76+AE76+AG76+AI76+AK76),""),"")</f>
        <v/>
      </c>
      <c r="AM76" s="132" t="str">
        <f>IF(NOT(ISBLANK(Curs!C75)),IFERROR(SUM(X76,Z76,AB76,AD76,AF76,AH76,AJ76)/COUNT(X76,Z76,AB76,AD76,AF76,AH76,AJ76),""),"")</f>
        <v/>
      </c>
      <c r="AN76" s="55"/>
    </row>
    <row r="77" spans="2:42" ht="20.399999999999999" x14ac:dyDescent="0.35">
      <c r="B77" s="34" t="str">
        <f>IF(NOT(ISBLANK(Curs!B76)),Curs!B76,"")</f>
        <v/>
      </c>
      <c r="C77" s="71" t="str">
        <f>IF(NOT(ISBLANK(Curs!C76)),Curs!C76,"")</f>
        <v/>
      </c>
      <c r="D77" s="3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3"/>
        <v/>
      </c>
      <c r="U77" s="58"/>
      <c r="V77" s="72" t="str">
        <f t="shared" si="4"/>
        <v/>
      </c>
      <c r="W77" s="73" t="str">
        <f t="shared" si="5"/>
        <v/>
      </c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129" t="str">
        <f>IF(NOT(ISBLANK(Curs!C76)),IF(ABS(Y77+AA77+AC77+AE77+AG77+AI77+AK77)&lt;&gt;0,ABS(Y77+AA77+AC77+AE77+AG77+AI77+AK77),""),"")</f>
        <v/>
      </c>
      <c r="AM77" s="132" t="str">
        <f>IF(NOT(ISBLANK(Curs!C76)),IFERROR(SUM(X77,Z77,AB77,AD77,AF77,AH77,AJ77)/COUNT(X77,Z77,AB77,AD77,AF77,AH77,AJ77),""),"")</f>
        <v/>
      </c>
      <c r="AN77" s="55"/>
    </row>
    <row r="78" spans="2:42" ht="20.399999999999999" x14ac:dyDescent="0.35">
      <c r="B78" s="34" t="str">
        <f>IF(NOT(ISBLANK(Curs!B77)),Curs!B77,"")</f>
        <v/>
      </c>
      <c r="C78" s="71" t="str">
        <f>IF(NOT(ISBLANK(Curs!C77)),Curs!C77,"")</f>
        <v/>
      </c>
      <c r="D78" s="3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3"/>
        <v/>
      </c>
      <c r="U78" s="58"/>
      <c r="V78" s="72" t="str">
        <f t="shared" si="4"/>
        <v/>
      </c>
      <c r="W78" s="73" t="str">
        <f t="shared" si="5"/>
        <v/>
      </c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129" t="str">
        <f>IF(NOT(ISBLANK(Curs!C77)),IF(ABS(Y78+AA78+AC78+AE78+AG78+AI78+AK78)&lt;&gt;0,ABS(Y78+AA78+AC78+AE78+AG78+AI78+AK78),""),"")</f>
        <v/>
      </c>
      <c r="AM78" s="132" t="str">
        <f>IF(NOT(ISBLANK(Curs!C77)),IFERROR(SUM(X78,Z78,AB78,AD78,AF78,AH78,AJ78)/COUNT(X78,Z78,AB78,AD78,AF78,AH78,AJ78),""),"")</f>
        <v/>
      </c>
      <c r="AN78" s="55"/>
    </row>
    <row r="79" spans="2:42" ht="20.399999999999999" x14ac:dyDescent="0.35">
      <c r="B79" s="34" t="str">
        <f>IF(NOT(ISBLANK(Curs!B78)),Curs!B78,"")</f>
        <v/>
      </c>
      <c r="C79" s="71" t="str">
        <f>IF(NOT(ISBLANK(Curs!C78)),Curs!C78,"")</f>
        <v/>
      </c>
      <c r="D79" s="3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3"/>
        <v/>
      </c>
      <c r="U79" s="58"/>
      <c r="V79" s="72" t="str">
        <f t="shared" si="4"/>
        <v/>
      </c>
      <c r="W79" s="73" t="str">
        <f t="shared" si="5"/>
        <v/>
      </c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129" t="str">
        <f>IF(NOT(ISBLANK(Curs!C78)),IF(ABS(Y79+AA79+AC79+AE79+AG79+AI79+AK79)&lt;&gt;0,ABS(Y79+AA79+AC79+AE79+AG79+AI79+AK79),""),"")</f>
        <v/>
      </c>
      <c r="AM79" s="132" t="str">
        <f>IF(NOT(ISBLANK(Curs!C78)),IFERROR(SUM(X79,Z79,AB79,AD79,AF79,AH79,AJ79)/COUNT(X79,Z79,AB79,AD79,AF79,AH79,AJ79),""),"")</f>
        <v/>
      </c>
      <c r="AN79" s="55"/>
    </row>
    <row r="80" spans="2:42" ht="20.399999999999999" x14ac:dyDescent="0.35">
      <c r="B80" s="34" t="str">
        <f>IF(NOT(ISBLANK(Curs!B79)),Curs!B79,"")</f>
        <v/>
      </c>
      <c r="C80" s="71" t="str">
        <f>IF(NOT(ISBLANK(Curs!C79)),Curs!C79,"")</f>
        <v/>
      </c>
      <c r="D80" s="3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3"/>
        <v/>
      </c>
      <c r="U80" s="58"/>
      <c r="V80" s="72" t="str">
        <f t="shared" si="4"/>
        <v/>
      </c>
      <c r="W80" s="73" t="str">
        <f t="shared" si="5"/>
        <v/>
      </c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129" t="str">
        <f>IF(NOT(ISBLANK(Curs!C79)),IF(ABS(Y80+AA80+AC80+AE80+AG80+AI80+AK80)&lt;&gt;0,ABS(Y80+AA80+AC80+AE80+AG80+AI80+AK80),""),"")</f>
        <v/>
      </c>
      <c r="AM80" s="132" t="str">
        <f>IF(NOT(ISBLANK(Curs!C79)),IFERROR(SUM(X80,Z80,AB80,AD80,AF80,AH80,AJ80)/COUNT(X80,Z80,AB80,AD80,AF80,AH80,AJ80),""),"")</f>
        <v/>
      </c>
      <c r="AN80" s="55"/>
    </row>
    <row r="81" spans="2:40" ht="20.399999999999999" x14ac:dyDescent="0.35">
      <c r="B81" s="34" t="str">
        <f>IF(NOT(ISBLANK(Curs!B80)),Curs!B80,"")</f>
        <v/>
      </c>
      <c r="C81" s="71" t="str">
        <f>IF(NOT(ISBLANK(Curs!C80)),Curs!C80,"")</f>
        <v/>
      </c>
      <c r="D81" s="3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3"/>
        <v/>
      </c>
      <c r="U81" s="58"/>
      <c r="V81" s="72" t="str">
        <f t="shared" si="4"/>
        <v/>
      </c>
      <c r="W81" s="73" t="str">
        <f t="shared" si="5"/>
        <v/>
      </c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129" t="str">
        <f>IF(NOT(ISBLANK(Curs!C80)),IF(ABS(Y81+AA81+AC81+AE81+AG81+AI81+AK81)&lt;&gt;0,ABS(Y81+AA81+AC81+AE81+AG81+AI81+AK81),""),"")</f>
        <v/>
      </c>
      <c r="AM81" s="132" t="str">
        <f>IF(NOT(ISBLANK(Curs!C80)),IFERROR(SUM(X81,Z81,AB81,AD81,AF81,AH81,AJ81)/COUNT(X81,Z81,AB81,AD81,AF81,AH81,AJ81),""),"")</f>
        <v/>
      </c>
      <c r="AN81" s="55"/>
    </row>
    <row r="82" spans="2:40" ht="20.399999999999999" x14ac:dyDescent="0.35">
      <c r="B82" s="34" t="str">
        <f>IF(NOT(ISBLANK(Curs!B81)),Curs!B81,"")</f>
        <v/>
      </c>
      <c r="C82" s="71" t="str">
        <f>IF(NOT(ISBLANK(Curs!C81)),Curs!C81,"")</f>
        <v/>
      </c>
      <c r="D82" s="3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3"/>
        <v/>
      </c>
      <c r="U82" s="58"/>
      <c r="V82" s="72" t="str">
        <f t="shared" si="4"/>
        <v/>
      </c>
      <c r="W82" s="73" t="str">
        <f t="shared" si="5"/>
        <v/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129" t="str">
        <f>IF(NOT(ISBLANK(Curs!C81)),IF(ABS(Y82+AA82+AC82+AE82+AG82+AI82+AK82)&lt;&gt;0,ABS(Y82+AA82+AC82+AE82+AG82+AI82+AK82),""),"")</f>
        <v/>
      </c>
      <c r="AM82" s="132" t="str">
        <f>IF(NOT(ISBLANK(Curs!C81)),IFERROR(SUM(X82,Z82,AB82,AD82,AF82,AH82,AJ82)/COUNT(X82,Z82,AB82,AD82,AF82,AH82,AJ82),""),"")</f>
        <v/>
      </c>
      <c r="AN82" s="55"/>
    </row>
    <row r="83" spans="2:40" ht="20.399999999999999" x14ac:dyDescent="0.35">
      <c r="B83" s="34" t="str">
        <f>IF(NOT(ISBLANK(Curs!B82)),Curs!B82,"")</f>
        <v/>
      </c>
      <c r="C83" s="71" t="str">
        <f>IF(NOT(ISBLANK(Curs!C82)),Curs!C82,"")</f>
        <v/>
      </c>
      <c r="D83" s="3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3"/>
        <v/>
      </c>
      <c r="U83" s="58"/>
      <c r="V83" s="72" t="str">
        <f t="shared" si="4"/>
        <v/>
      </c>
      <c r="W83" s="73" t="str">
        <f t="shared" si="5"/>
        <v/>
      </c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129" t="str">
        <f>IF(NOT(ISBLANK(Curs!C82)),IF(ABS(Y83+AA83+AC83+AE83+AG83+AI83+AK83)&lt;&gt;0,ABS(Y83+AA83+AC83+AE83+AG83+AI83+AK83),""),"")</f>
        <v/>
      </c>
      <c r="AM83" s="132" t="str">
        <f>IF(NOT(ISBLANK(Curs!C82)),IFERROR(SUM(X83,Z83,AB83,AD83,AF83,AH83,AJ83)/COUNT(X83,Z83,AB83,AD83,AF83,AH83,AJ83),""),"")</f>
        <v/>
      </c>
      <c r="AN83" s="55"/>
    </row>
    <row r="84" spans="2:40" ht="20.399999999999999" x14ac:dyDescent="0.35">
      <c r="B84" s="34" t="str">
        <f>IF(NOT(ISBLANK(Curs!B83)),Curs!B83,"")</f>
        <v/>
      </c>
      <c r="C84" s="71" t="str">
        <f>IF(NOT(ISBLANK(Curs!C83)),Curs!C83,"")</f>
        <v/>
      </c>
      <c r="D84" s="3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3"/>
        <v/>
      </c>
      <c r="U84" s="58"/>
      <c r="V84" s="72" t="str">
        <f t="shared" si="4"/>
        <v/>
      </c>
      <c r="W84" s="73" t="str">
        <f t="shared" si="5"/>
        <v/>
      </c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129" t="str">
        <f>IF(NOT(ISBLANK(Curs!C83)),IF(ABS(Y84+AA84+AC84+AE84+AG84+AI84+AK84)&lt;&gt;0,ABS(Y84+AA84+AC84+AE84+AG84+AI84+AK84),""),"")</f>
        <v/>
      </c>
      <c r="AM84" s="132" t="str">
        <f>IF(NOT(ISBLANK(Curs!C83)),IFERROR(SUM(X84,Z84,AB84,AD84,AF84,AH84,AJ84)/COUNT(X84,Z84,AB84,AD84,AF84,AH84,AJ84),""),"")</f>
        <v/>
      </c>
      <c r="AN84" s="55"/>
    </row>
    <row r="85" spans="2:40" ht="20.399999999999999" x14ac:dyDescent="0.35">
      <c r="B85" s="34" t="str">
        <f>IF(NOT(ISBLANK(Curs!B84)),Curs!B84,"")</f>
        <v/>
      </c>
      <c r="C85" s="71" t="str">
        <f>IF(NOT(ISBLANK(Curs!C84)),Curs!C84,"")</f>
        <v/>
      </c>
      <c r="D85" s="3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3"/>
        <v/>
      </c>
      <c r="U85" s="58"/>
      <c r="V85" s="72" t="str">
        <f t="shared" si="4"/>
        <v/>
      </c>
      <c r="W85" s="73" t="str">
        <f t="shared" si="5"/>
        <v/>
      </c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129" t="str">
        <f>IF(NOT(ISBLANK(Curs!C84)),IF(ABS(Y85+AA85+AC85+AE85+AG85+AI85+AK85)&lt;&gt;0,ABS(Y85+AA85+AC85+AE85+AG85+AI85+AK85),""),"")</f>
        <v/>
      </c>
      <c r="AM85" s="132" t="str">
        <f>IF(NOT(ISBLANK(Curs!C84)),IFERROR(SUM(X85,Z85,AB85,AD85,AF85,AH85,AJ85)/COUNT(X85,Z85,AB85,AD85,AF85,AH85,AJ85),""),"")</f>
        <v/>
      </c>
      <c r="AN85" s="55"/>
    </row>
    <row r="86" spans="2:40" ht="20.399999999999999" x14ac:dyDescent="0.35">
      <c r="B86" s="34" t="str">
        <f>IF(NOT(ISBLANK(Curs!B85)),Curs!B85,"")</f>
        <v/>
      </c>
      <c r="C86" s="71" t="str">
        <f>IF(NOT(ISBLANK(Curs!C85)),Curs!C85,"")</f>
        <v/>
      </c>
      <c r="D86" s="3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3"/>
        <v/>
      </c>
      <c r="U86" s="58"/>
      <c r="V86" s="72" t="str">
        <f t="shared" si="4"/>
        <v/>
      </c>
      <c r="W86" s="73" t="str">
        <f t="shared" si="5"/>
        <v/>
      </c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129" t="str">
        <f>IF(NOT(ISBLANK(Curs!C85)),IF(ABS(Y86+AA86+AC86+AE86+AG86+AI86+AK86)&lt;&gt;0,ABS(Y86+AA86+AC86+AE86+AG86+AI86+AK86),""),"")</f>
        <v/>
      </c>
      <c r="AM86" s="132" t="str">
        <f>IF(NOT(ISBLANK(Curs!C85)),IFERROR(SUM(X86,Z86,AB86,AD86,AF86,AH86,AJ86)/COUNT(X86,Z86,AB86,AD86,AF86,AH86,AJ86),""),"")</f>
        <v/>
      </c>
      <c r="AN86" s="55"/>
    </row>
    <row r="87" spans="2:40" ht="20.399999999999999" x14ac:dyDescent="0.35">
      <c r="B87" s="34" t="str">
        <f>IF(NOT(ISBLANK(Curs!B86)),Curs!B86,"")</f>
        <v/>
      </c>
      <c r="C87" s="71" t="str">
        <f>IF(NOT(ISBLANK(Curs!C86)),Curs!C86,"")</f>
        <v/>
      </c>
      <c r="D87" s="3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3"/>
        <v/>
      </c>
      <c r="U87" s="58"/>
      <c r="V87" s="72" t="str">
        <f t="shared" si="4"/>
        <v/>
      </c>
      <c r="W87" s="73" t="str">
        <f t="shared" si="5"/>
        <v/>
      </c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129" t="str">
        <f>IF(NOT(ISBLANK(Curs!C86)),IF(ABS(Y87+AA87+AC87+AE87+AG87+AI87+AK87)&lt;&gt;0,ABS(Y87+AA87+AC87+AE87+AG87+AI87+AK87),""),"")</f>
        <v/>
      </c>
      <c r="AM87" s="132" t="str">
        <f>IF(NOT(ISBLANK(Curs!C86)),IFERROR(SUM(X87,Z87,AB87,AD87,AF87,AH87,AJ87)/COUNT(X87,Z87,AB87,AD87,AF87,AH87,AJ87),""),"")</f>
        <v/>
      </c>
      <c r="AN87" s="55"/>
    </row>
    <row r="88" spans="2:40" ht="20.399999999999999" x14ac:dyDescent="0.35">
      <c r="B88" s="34" t="str">
        <f>IF(NOT(ISBLANK(Curs!B87)),Curs!B87,"")</f>
        <v/>
      </c>
      <c r="C88" s="71" t="str">
        <f>IF(NOT(ISBLANK(Curs!C87)),Curs!C87,"")</f>
        <v/>
      </c>
      <c r="D88" s="3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3"/>
        <v/>
      </c>
      <c r="U88" s="58"/>
      <c r="V88" s="72" t="str">
        <f t="shared" si="4"/>
        <v/>
      </c>
      <c r="W88" s="73" t="str">
        <f t="shared" si="5"/>
        <v/>
      </c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129" t="str">
        <f>IF(NOT(ISBLANK(Curs!C87)),IF(ABS(Y88+AA88+AC88+AE88+AG88+AI88+AK88)&lt;&gt;0,ABS(Y88+AA88+AC88+AE88+AG88+AI88+AK88),""),"")</f>
        <v/>
      </c>
      <c r="AM88" s="132" t="str">
        <f>IF(NOT(ISBLANK(Curs!C87)),IFERROR(SUM(X88,Z88,AB88,AD88,AF88,AH88,AJ88)/COUNT(X88,Z88,AB88,AD88,AF88,AH88,AJ88),""),"")</f>
        <v/>
      </c>
      <c r="AN88" s="55"/>
    </row>
    <row r="89" spans="2:40" ht="20.399999999999999" x14ac:dyDescent="0.35">
      <c r="B89" s="34" t="str">
        <f>IF(NOT(ISBLANK(Curs!B88)),Curs!B88,"")</f>
        <v/>
      </c>
      <c r="C89" s="71" t="str">
        <f>IF(NOT(ISBLANK(Curs!C88)),Curs!C88,"")</f>
        <v/>
      </c>
      <c r="D89" s="3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3"/>
        <v/>
      </c>
      <c r="U89" s="58"/>
      <c r="V89" s="72" t="str">
        <f t="shared" si="4"/>
        <v/>
      </c>
      <c r="W89" s="73" t="str">
        <f t="shared" si="5"/>
        <v/>
      </c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129" t="str">
        <f>IF(NOT(ISBLANK(Curs!C88)),IF(ABS(Y89+AA89+AC89+AE89+AG89+AI89+AK89)&lt;&gt;0,ABS(Y89+AA89+AC89+AE89+AG89+AI89+AK89),""),"")</f>
        <v/>
      </c>
      <c r="AM89" s="132" t="str">
        <f>IF(NOT(ISBLANK(Curs!C88)),IFERROR(SUM(X89,Z89,AB89,AD89,AF89,AH89,AJ89)/COUNT(X89,Z89,AB89,AD89,AF89,AH89,AJ89),""),"")</f>
        <v/>
      </c>
      <c r="AN89" s="55"/>
    </row>
    <row r="90" spans="2:40" ht="20.399999999999999" x14ac:dyDescent="0.35">
      <c r="B90" s="34" t="str">
        <f>IF(NOT(ISBLANK(Curs!B89)),Curs!B89,"")</f>
        <v/>
      </c>
      <c r="C90" s="71" t="str">
        <f>IF(NOT(ISBLANK(Curs!C89)),Curs!C89,"")</f>
        <v/>
      </c>
      <c r="D90" s="3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3"/>
        <v/>
      </c>
      <c r="U90" s="58"/>
      <c r="V90" s="72" t="str">
        <f t="shared" si="4"/>
        <v/>
      </c>
      <c r="W90" s="73" t="str">
        <f t="shared" si="5"/>
        <v/>
      </c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129" t="str">
        <f>IF(NOT(ISBLANK(Curs!C89)),IF(ABS(Y90+AA90+AC90+AE90+AG90+AI90+AK90)&lt;&gt;0,ABS(Y90+AA90+AC90+AE90+AG90+AI90+AK90),""),"")</f>
        <v/>
      </c>
      <c r="AM90" s="132" t="str">
        <f>IF(NOT(ISBLANK(Curs!C89)),IFERROR(SUM(X90,Z90,AB90,AD90,AF90,AH90,AJ90)/COUNT(X90,Z90,AB90,AD90,AF90,AH90,AJ90),""),"")</f>
        <v/>
      </c>
      <c r="AN90" s="55"/>
    </row>
    <row r="91" spans="2:40" ht="20.399999999999999" x14ac:dyDescent="0.35">
      <c r="B91" s="34" t="str">
        <f>IF(NOT(ISBLANK(Curs!B90)),Curs!B90,"")</f>
        <v/>
      </c>
      <c r="C91" s="71" t="str">
        <f>IF(NOT(ISBLANK(Curs!C90)),Curs!C90,"")</f>
        <v/>
      </c>
      <c r="D91" s="3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3"/>
        <v/>
      </c>
      <c r="U91" s="58"/>
      <c r="V91" s="72" t="str">
        <f t="shared" si="4"/>
        <v/>
      </c>
      <c r="W91" s="73" t="str">
        <f t="shared" si="5"/>
        <v/>
      </c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129" t="str">
        <f>IF(NOT(ISBLANK(Curs!C90)),IF(ABS(Y91+AA91+AC91+AE91+AG91+AI91+AK91)&lt;&gt;0,ABS(Y91+AA91+AC91+AE91+AG91+AI91+AK91),""),"")</f>
        <v/>
      </c>
      <c r="AM91" s="132" t="str">
        <f>IF(NOT(ISBLANK(Curs!C90)),IFERROR(SUM(X91,Z91,AB91,AD91,AF91,AH91,AJ91)/COUNT(X91,Z91,AB91,AD91,AF91,AH91,AJ91),""),"")</f>
        <v/>
      </c>
      <c r="AN91" s="55"/>
    </row>
    <row r="92" spans="2:40" ht="20.399999999999999" x14ac:dyDescent="0.35">
      <c r="B92" s="34" t="str">
        <f>IF(NOT(ISBLANK(Curs!B91)),Curs!B91,"")</f>
        <v/>
      </c>
      <c r="C92" s="71" t="str">
        <f>IF(NOT(ISBLANK(Curs!C91)),Curs!C91,"")</f>
        <v/>
      </c>
      <c r="D92" s="3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3"/>
        <v/>
      </c>
      <c r="U92" s="58"/>
      <c r="V92" s="72" t="str">
        <f t="shared" si="4"/>
        <v/>
      </c>
      <c r="W92" s="73" t="str">
        <f t="shared" si="5"/>
        <v/>
      </c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129" t="str">
        <f>IF(NOT(ISBLANK(Curs!C91)),IF(ABS(Y92+AA92+AC92+AE92+AG92+AI92+AK92)&lt;&gt;0,ABS(Y92+AA92+AC92+AE92+AG92+AI92+AK92),""),"")</f>
        <v/>
      </c>
      <c r="AM92" s="132" t="str">
        <f>IF(NOT(ISBLANK(Curs!C91)),IFERROR(SUM(X92,Z92,AB92,AD92,AF92,AH92,AJ92)/COUNT(X92,Z92,AB92,AD92,AF92,AH92,AJ92),""),"")</f>
        <v/>
      </c>
      <c r="AN92" s="55"/>
    </row>
    <row r="93" spans="2:40" ht="20.399999999999999" x14ac:dyDescent="0.35">
      <c r="B93" s="34" t="str">
        <f>IF(NOT(ISBLANK(Curs!B92)),Curs!B92,"")</f>
        <v/>
      </c>
      <c r="C93" s="71" t="str">
        <f>IF(NOT(ISBLANK(Curs!C92)),Curs!C92,"")</f>
        <v/>
      </c>
      <c r="D93" s="3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3"/>
        <v/>
      </c>
      <c r="U93" s="58"/>
      <c r="V93" s="72" t="str">
        <f t="shared" si="4"/>
        <v/>
      </c>
      <c r="W93" s="73" t="str">
        <f t="shared" si="5"/>
        <v/>
      </c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129" t="str">
        <f>IF(NOT(ISBLANK(Curs!C92)),IF(ABS(Y93+AA93+AC93+AE93+AG93+AI93+AK93)&lt;&gt;0,ABS(Y93+AA93+AC93+AE93+AG93+AI93+AK93),""),"")</f>
        <v/>
      </c>
      <c r="AM93" s="132" t="str">
        <f>IF(NOT(ISBLANK(Curs!C92)),IFERROR(SUM(X93,Z93,AB93,AD93,AF93,AH93,AJ93)/COUNT(X93,Z93,AB93,AD93,AF93,AH93,AJ93),""),"")</f>
        <v/>
      </c>
      <c r="AN93" s="55"/>
    </row>
    <row r="94" spans="2:40" ht="20.399999999999999" x14ac:dyDescent="0.35">
      <c r="B94" s="34" t="str">
        <f>IF(NOT(ISBLANK(Curs!B93)),Curs!B93,"")</f>
        <v/>
      </c>
      <c r="C94" s="71" t="str">
        <f>IF(NOT(ISBLANK(Curs!C93)),Curs!C93,"")</f>
        <v/>
      </c>
      <c r="D94" s="3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3"/>
        <v/>
      </c>
      <c r="U94" s="58"/>
      <c r="V94" s="72" t="str">
        <f t="shared" si="4"/>
        <v/>
      </c>
      <c r="W94" s="73" t="str">
        <f t="shared" si="5"/>
        <v/>
      </c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129" t="str">
        <f>IF(NOT(ISBLANK(Curs!C93)),IF(ABS(Y94+AA94+AC94+AE94+AG94+AI94+AK94)&lt;&gt;0,ABS(Y94+AA94+AC94+AE94+AG94+AI94+AK94),""),"")</f>
        <v/>
      </c>
      <c r="AM94" s="132" t="str">
        <f>IF(NOT(ISBLANK(Curs!C93)),IFERROR(SUM(X94,Z94,AB94,AD94,AF94,AH94,AJ94)/COUNT(X94,Z94,AB94,AD94,AF94,AH94,AJ94),""),"")</f>
        <v/>
      </c>
      <c r="AN94" s="55"/>
    </row>
    <row r="95" spans="2:40" ht="20.399999999999999" x14ac:dyDescent="0.35">
      <c r="B95" s="34" t="str">
        <f>IF(NOT(ISBLANK(Curs!B94)),Curs!B94,"")</f>
        <v/>
      </c>
      <c r="C95" s="71" t="str">
        <f>IF(NOT(ISBLANK(Curs!C94)),Curs!C94,"")</f>
        <v/>
      </c>
      <c r="D95" s="3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3"/>
        <v/>
      </c>
      <c r="U95" s="58"/>
      <c r="V95" s="72" t="str">
        <f t="shared" si="4"/>
        <v/>
      </c>
      <c r="W95" s="73" t="str">
        <f t="shared" si="5"/>
        <v/>
      </c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129" t="str">
        <f>IF(NOT(ISBLANK(Curs!C94)),IF(ABS(Y95+AA95+AC95+AE95+AG95+AI95+AK95)&lt;&gt;0,ABS(Y95+AA95+AC95+AE95+AG95+AI95+AK95),""),"")</f>
        <v/>
      </c>
      <c r="AM95" s="132" t="str">
        <f>IF(NOT(ISBLANK(Curs!C94)),IFERROR(SUM(X95,Z95,AB95,AD95,AF95,AH95,AJ95)/COUNT(X95,Z95,AB95,AD95,AF95,AH95,AJ95),""),"")</f>
        <v/>
      </c>
      <c r="AN95" s="55"/>
    </row>
    <row r="96" spans="2:40" ht="20.399999999999999" x14ac:dyDescent="0.35">
      <c r="B96" s="34" t="str">
        <f>IF(NOT(ISBLANK(Curs!B95)),Curs!B95,"")</f>
        <v/>
      </c>
      <c r="C96" s="71" t="str">
        <f>IF(NOT(ISBLANK(Curs!C95)),Curs!C95,"")</f>
        <v/>
      </c>
      <c r="D96" s="3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3"/>
        <v/>
      </c>
      <c r="U96" s="58"/>
      <c r="V96" s="72" t="str">
        <f t="shared" si="4"/>
        <v/>
      </c>
      <c r="W96" s="73" t="str">
        <f t="shared" si="5"/>
        <v/>
      </c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129" t="str">
        <f>IF(NOT(ISBLANK(Curs!C95)),IF(ABS(Y96+AA96+AC96+AE96+AG96+AI96+AK96)&lt;&gt;0,ABS(Y96+AA96+AC96+AE96+AG96+AI96+AK96),""),"")</f>
        <v/>
      </c>
      <c r="AM96" s="132" t="str">
        <f>IF(NOT(ISBLANK(Curs!C95)),IFERROR(SUM(X96,Z96,AB96,AD96,AF96,AH96,AJ96)/COUNT(X96,Z96,AB96,AD96,AF96,AH96,AJ96),""),"")</f>
        <v/>
      </c>
      <c r="AN96" s="55"/>
    </row>
    <row r="97" spans="2:40" ht="20.399999999999999" x14ac:dyDescent="0.35">
      <c r="B97" s="34" t="str">
        <f>IF(NOT(ISBLANK(Curs!B96)),Curs!B96,"")</f>
        <v/>
      </c>
      <c r="C97" s="71" t="str">
        <f>IF(NOT(ISBLANK(Curs!C96)),Curs!C96,"")</f>
        <v/>
      </c>
      <c r="D97" s="3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3"/>
        <v/>
      </c>
      <c r="U97" s="58"/>
      <c r="V97" s="72" t="str">
        <f t="shared" si="4"/>
        <v/>
      </c>
      <c r="W97" s="73" t="str">
        <f t="shared" si="5"/>
        <v/>
      </c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129" t="str">
        <f>IF(NOT(ISBLANK(Curs!C96)),IF(ABS(Y97+AA97+AC97+AE97+AG97+AI97+AK97)&lt;&gt;0,ABS(Y97+AA97+AC97+AE97+AG97+AI97+AK97),""),"")</f>
        <v/>
      </c>
      <c r="AM97" s="132" t="str">
        <f>IF(NOT(ISBLANK(Curs!C96)),IFERROR(SUM(X97,Z97,AB97,AD97,AF97,AH97,AJ97)/COUNT(X97,Z97,AB97,AD97,AF97,AH97,AJ97),""),"")</f>
        <v/>
      </c>
      <c r="AN97" s="55"/>
    </row>
    <row r="98" spans="2:40" ht="20.399999999999999" x14ac:dyDescent="0.35">
      <c r="B98" s="34" t="str">
        <f>IF(NOT(ISBLANK(Curs!B97)),Curs!B97,"")</f>
        <v/>
      </c>
      <c r="C98" s="71" t="str">
        <f>IF(NOT(ISBLANK(Curs!C97)),Curs!C97,"")</f>
        <v/>
      </c>
      <c r="D98" s="3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3"/>
        <v/>
      </c>
      <c r="U98" s="58"/>
      <c r="V98" s="72" t="str">
        <f t="shared" si="4"/>
        <v/>
      </c>
      <c r="W98" s="73" t="str">
        <f t="shared" si="5"/>
        <v/>
      </c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129" t="str">
        <f>IF(NOT(ISBLANK(Curs!C97)),IF(ABS(Y98+AA98+AC98+AE98+AG98+AI98+AK98)&lt;&gt;0,ABS(Y98+AA98+AC98+AE98+AG98+AI98+AK98),""),"")</f>
        <v/>
      </c>
      <c r="AM98" s="132" t="str">
        <f>IF(NOT(ISBLANK(Curs!C97)),IFERROR(SUM(X98,Z98,AB98,AD98,AF98,AH98,AJ98)/COUNT(X98,Z98,AB98,AD98,AF98,AH98,AJ98),""),"")</f>
        <v/>
      </c>
      <c r="AN98" s="55"/>
    </row>
    <row r="99" spans="2:40" ht="20.399999999999999" x14ac:dyDescent="0.35">
      <c r="B99" s="34" t="str">
        <f>IF(NOT(ISBLANK(Curs!B98)),Curs!B98,"")</f>
        <v/>
      </c>
      <c r="C99" s="71" t="str">
        <f>IF(NOT(ISBLANK(Curs!C98)),Curs!C98,"")</f>
        <v/>
      </c>
      <c r="D99" s="3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3"/>
        <v/>
      </c>
      <c r="U99" s="58"/>
      <c r="V99" s="72" t="str">
        <f t="shared" si="4"/>
        <v/>
      </c>
      <c r="W99" s="73" t="str">
        <f t="shared" si="5"/>
        <v/>
      </c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129" t="str">
        <f>IF(NOT(ISBLANK(Curs!C98)),IF(ABS(Y99+AA99+AC99+AE99+AG99+AI99+AK99)&lt;&gt;0,ABS(Y99+AA99+AC99+AE99+AG99+AI99+AK99),""),"")</f>
        <v/>
      </c>
      <c r="AM99" s="132" t="str">
        <f>IF(NOT(ISBLANK(Curs!C98)),IFERROR(SUM(X99,Z99,AB99,AD99,AF99,AH99,AJ99)/COUNT(X99,Z99,AB99,AD99,AF99,AH99,AJ99),""),"")</f>
        <v/>
      </c>
      <c r="AN99" s="55"/>
    </row>
    <row r="100" spans="2:40" ht="20.399999999999999" x14ac:dyDescent="0.35">
      <c r="B100" s="34" t="str">
        <f>IF(NOT(ISBLANK(Curs!B99)),Curs!B99,"")</f>
        <v/>
      </c>
      <c r="C100" s="71" t="str">
        <f>IF(NOT(ISBLANK(Curs!C99)),Curs!C99,"")</f>
        <v/>
      </c>
      <c r="D100" s="3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3"/>
        <v/>
      </c>
      <c r="U100" s="58"/>
      <c r="V100" s="72" t="str">
        <f t="shared" si="4"/>
        <v/>
      </c>
      <c r="W100" s="73" t="str">
        <f t="shared" si="5"/>
        <v/>
      </c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129" t="str">
        <f>IF(NOT(ISBLANK(Curs!C99)),IF(ABS(Y100+AA100+AC100+AE100+AG100+AI100+AK100)&lt;&gt;0,ABS(Y100+AA100+AC100+AE100+AG100+AI100+AK100),""),"")</f>
        <v/>
      </c>
      <c r="AM100" s="132" t="str">
        <f>IF(NOT(ISBLANK(Curs!C99)),IFERROR(SUM(X100,Z100,AB100,AD100,AF100,AH100,AJ100)/COUNT(X100,Z100,AB100,AD100,AF100,AH100,AJ100),""),"")</f>
        <v/>
      </c>
      <c r="AN100" s="55"/>
    </row>
    <row r="101" spans="2:40" ht="20.399999999999999" x14ac:dyDescent="0.35">
      <c r="B101" s="34" t="str">
        <f>IF(NOT(ISBLANK(Curs!B100)),Curs!B100,"")</f>
        <v/>
      </c>
      <c r="C101" s="71" t="str">
        <f>IF(NOT(ISBLANK(Curs!C100)),Curs!C100,"")</f>
        <v/>
      </c>
      <c r="D101" s="34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3"/>
        <v/>
      </c>
      <c r="U101" s="58"/>
      <c r="V101" s="72" t="str">
        <f t="shared" si="4"/>
        <v/>
      </c>
      <c r="W101" s="73" t="str">
        <f t="shared" si="5"/>
        <v/>
      </c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129" t="str">
        <f>IF(NOT(ISBLANK(Curs!C100)),IF(ABS(Y101+AA101+AC101+AE101+AG101+AI101+AK101)&lt;&gt;0,ABS(Y101+AA101+AC101+AE101+AG101+AI101+AK101),""),"")</f>
        <v/>
      </c>
      <c r="AM101" s="132" t="str">
        <f>IF(NOT(ISBLANK(Curs!C100)),IFERROR(SUM(X101,Z101,AB101,AD101,AF101,AH101,AJ101)/COUNT(X101,Z101,AB101,AD101,AF101,AH101,AJ101),""),"")</f>
        <v/>
      </c>
      <c r="AN101" s="55"/>
    </row>
    <row r="102" spans="2:40" ht="20.399999999999999" x14ac:dyDescent="0.35">
      <c r="B102" s="34" t="str">
        <f>IF(NOT(ISBLANK(Curs!B101)),Curs!B101,"")</f>
        <v/>
      </c>
      <c r="C102" s="71" t="str">
        <f>IF(NOT(ISBLANK(Curs!C101)),Curs!C101,"")</f>
        <v/>
      </c>
      <c r="D102" s="34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3"/>
        <v/>
      </c>
      <c r="U102" s="58"/>
      <c r="V102" s="72" t="str">
        <f t="shared" si="4"/>
        <v/>
      </c>
      <c r="W102" s="73" t="str">
        <f t="shared" si="5"/>
        <v/>
      </c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129" t="str">
        <f>IF(NOT(ISBLANK(Curs!C101)),IF(ABS(Y102+AA102+AC102+AE102+AG102+AI102+AK102)&lt;&gt;0,ABS(Y102+AA102+AC102+AE102+AG102+AI102+AK102),""),"")</f>
        <v/>
      </c>
      <c r="AM102" s="132" t="str">
        <f>IF(NOT(ISBLANK(Curs!C101)),IFERROR(SUM(X102,Z102,AB102,AD102,AF102,AH102,AJ102)/COUNT(X102,Z102,AB102,AD102,AF102,AH102,AJ102),""),"")</f>
        <v/>
      </c>
      <c r="AN102" s="55"/>
    </row>
    <row r="103" spans="2:40" ht="20.399999999999999" x14ac:dyDescent="0.35">
      <c r="B103" s="34" t="str">
        <f>IF(NOT(ISBLANK(Curs!B102)),Curs!B102,"")</f>
        <v/>
      </c>
      <c r="C103" s="71" t="str">
        <f>IF(NOT(ISBLANK(Curs!C102)),Curs!C102,"")</f>
        <v/>
      </c>
      <c r="D103" s="34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3"/>
        <v/>
      </c>
      <c r="U103" s="58"/>
      <c r="V103" s="72" t="str">
        <f t="shared" si="4"/>
        <v/>
      </c>
      <c r="W103" s="73" t="str">
        <f t="shared" si="5"/>
        <v/>
      </c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129" t="str">
        <f>IF(NOT(ISBLANK(Curs!C102)),IF(ABS(Y103+AA103+AC103+AE103+AG103+AI103+AK103)&lt;&gt;0,ABS(Y103+AA103+AC103+AE103+AG103+AI103+AK103),""),"")</f>
        <v/>
      </c>
      <c r="AM103" s="132" t="str">
        <f>IF(NOT(ISBLANK(Curs!C102)),IFERROR(SUM(X103,Z103,AB103,AD103,AF103,AH103,AJ103)/COUNT(X103,Z103,AB103,AD103,AF103,AH103,AJ103),""),"")</f>
        <v/>
      </c>
      <c r="AN103" s="55"/>
    </row>
    <row r="104" spans="2:40" ht="20.399999999999999" x14ac:dyDescent="0.35">
      <c r="B104" s="34" t="str">
        <f>IF(NOT(ISBLANK(Curs!B103)),Curs!B103,"")</f>
        <v/>
      </c>
      <c r="C104" s="71" t="str">
        <f>IF(NOT(ISBLANK(Curs!C103)),Curs!C103,"")</f>
        <v/>
      </c>
      <c r="D104" s="34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3"/>
        <v/>
      </c>
      <c r="U104" s="58"/>
      <c r="V104" s="72" t="str">
        <f t="shared" si="4"/>
        <v/>
      </c>
      <c r="W104" s="73" t="str">
        <f t="shared" si="5"/>
        <v/>
      </c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129" t="str">
        <f>IF(NOT(ISBLANK(Curs!C103)),IF(ABS(Y104+AA104+AC104+AE104+AG104+AI104+AK104)&lt;&gt;0,ABS(Y104+AA104+AC104+AE104+AG104+AI104+AK104),""),"")</f>
        <v/>
      </c>
      <c r="AM104" s="132" t="str">
        <f>IF(NOT(ISBLANK(Curs!C103)),IFERROR(SUM(X104,Z104,AB104,AD104,AF104,AH104,AJ104)/COUNT(X104,Z104,AB104,AD104,AF104,AH104,AJ104),""),"")</f>
        <v/>
      </c>
      <c r="AN104" s="55"/>
    </row>
    <row r="105" spans="2:40" ht="20.399999999999999" x14ac:dyDescent="0.35">
      <c r="B105" s="34" t="str">
        <f>IF(NOT(ISBLANK(Curs!B104)),Curs!B104,"")</f>
        <v/>
      </c>
      <c r="C105" s="71" t="str">
        <f>IF(NOT(ISBLANK(Curs!C104)),Curs!C104,"")</f>
        <v/>
      </c>
      <c r="D105" s="34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3"/>
        <v/>
      </c>
      <c r="U105" s="58"/>
      <c r="V105" s="72" t="str">
        <f t="shared" si="4"/>
        <v/>
      </c>
      <c r="W105" s="73" t="str">
        <f t="shared" si="5"/>
        <v/>
      </c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129" t="str">
        <f>IF(NOT(ISBLANK(Curs!C104)),IF(ABS(Y105+AA105+AC105+AE105+AG105+AI105+AK105)&lt;&gt;0,ABS(Y105+AA105+AC105+AE105+AG105+AI105+AK105),""),"")</f>
        <v/>
      </c>
      <c r="AM105" s="132" t="str">
        <f>IF(NOT(ISBLANK(Curs!C104)),IFERROR(SUM(X105,Z105,AB105,AD105,AF105,AH105,AJ105)/COUNT(X105,Z105,AB105,AD105,AF105,AH105,AJ105),""),"")</f>
        <v/>
      </c>
    </row>
    <row r="106" spans="2:40" s="58" customFormat="1" ht="20.399999999999999" x14ac:dyDescent="0.35">
      <c r="B106" s="34" t="str">
        <f>IF(NOT(ISBLANK(Curs!B105)),Curs!B105,"")</f>
        <v/>
      </c>
      <c r="C106" s="71" t="str">
        <f>IF(NOT(ISBLANK(Curs!C105)),Curs!C105,"")</f>
        <v/>
      </c>
      <c r="D106" s="55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34" t="str">
        <f t="shared" ref="T106" si="6">IF(C106&lt;&gt;"",IF(COUNTIF(E106:S106,"a")&lt;&gt;0,COUNTIF(E106:S106,"a")*2,""),"")</f>
        <v/>
      </c>
      <c r="V106" s="72" t="str">
        <f t="shared" ref="V106" si="7">IF(NOT(ISBLANK(B106)),B106,"")</f>
        <v/>
      </c>
      <c r="W106" s="73" t="str">
        <f t="shared" ref="W106" si="8">IF(NOT(ISBLANK(C106)),C106,"")</f>
        <v/>
      </c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129" t="str">
        <f>IF(NOT(ISBLANK(Curs!C105)),IF(ABS(Y106+AA106+AC106+AE106+AG106+AI106+AK106)&lt;&gt;0,ABS(Y106+AA106+AC106+AE106+AG106+AI106+AK106),""),"")</f>
        <v/>
      </c>
      <c r="AM106" s="132" t="str">
        <f>IF(NOT(ISBLANK(Curs!C105)),IFERROR(SUM(X106,Z106,AB106,AD106,AF106,AH106,AJ106)/COUNT(X106,Z106,AB106,AD106,AF106,AH106,AJ106),""),"")</f>
        <v/>
      </c>
    </row>
    <row r="107" spans="2:40" ht="21" x14ac:dyDescent="0.4">
      <c r="AM107" s="133"/>
    </row>
    <row r="108" spans="2:40" ht="21" x14ac:dyDescent="0.4">
      <c r="AM108" s="133"/>
    </row>
    <row r="109" spans="2:40" ht="21" x14ac:dyDescent="0.4">
      <c r="AM109" s="133"/>
    </row>
    <row r="110" spans="2:40" ht="21" x14ac:dyDescent="0.4">
      <c r="AM110" s="133"/>
    </row>
    <row r="111" spans="2:40" ht="21" x14ac:dyDescent="0.4">
      <c r="AM111" s="133"/>
    </row>
    <row r="112" spans="2:40" x14ac:dyDescent="0.3">
      <c r="AM112" s="75"/>
    </row>
    <row r="113" spans="39:39" x14ac:dyDescent="0.3">
      <c r="AM113" s="75"/>
    </row>
  </sheetData>
  <mergeCells count="25">
    <mergeCell ref="AN2:AQ5"/>
    <mergeCell ref="AL4:AM5"/>
    <mergeCell ref="V2:AM2"/>
    <mergeCell ref="B2:R2"/>
    <mergeCell ref="Z5:AA5"/>
    <mergeCell ref="AB5:AC5"/>
    <mergeCell ref="AD5:AE5"/>
    <mergeCell ref="AF5:AG5"/>
    <mergeCell ref="AH5:AI5"/>
    <mergeCell ref="AJ5:AK5"/>
    <mergeCell ref="AJ4:AK4"/>
    <mergeCell ref="E5:F5"/>
    <mergeCell ref="G5:H5"/>
    <mergeCell ref="I5:J5"/>
    <mergeCell ref="K5:L5"/>
    <mergeCell ref="M5:N5"/>
    <mergeCell ref="O5:P5"/>
    <mergeCell ref="AD4:AE4"/>
    <mergeCell ref="AF4:AG4"/>
    <mergeCell ref="AH4:AI4"/>
    <mergeCell ref="Q5:R5"/>
    <mergeCell ref="X5:Y5"/>
    <mergeCell ref="X4:Y4"/>
    <mergeCell ref="Z4:AA4"/>
    <mergeCell ref="AB4:AC4"/>
  </mergeCells>
  <conditionalFormatting sqref="B7:D106">
    <cfRule type="expression" dxfId="5" priority="5">
      <formula>IF(ISNUMBER($B7),$B7&gt;COUNT($B$7:$B$106)/$D$4,"")</formula>
    </cfRule>
    <cfRule type="expression" dxfId="4" priority="11">
      <formula>IF(ISNUMBER($B7),$B7&lt;=COUNT($B$7:$B$106)/$D$4,"")</formula>
    </cfRule>
  </conditionalFormatting>
  <conditionalFormatting sqref="B7:T106">
    <cfRule type="expression" dxfId="3" priority="2">
      <formula>$B7&lt;&gt;""</formula>
    </cfRule>
  </conditionalFormatting>
  <conditionalFormatting sqref="T7:T106">
    <cfRule type="expression" dxfId="2" priority="1">
      <formula>$B7&lt;&gt;""</formula>
    </cfRule>
  </conditionalFormatting>
  <conditionalFormatting sqref="V7:AM106">
    <cfRule type="expression" dxfId="1" priority="4">
      <formula>$B7&lt;&gt;""</formula>
    </cfRule>
  </conditionalFormatting>
  <conditionalFormatting sqref="AL7:AL106">
    <cfRule type="expression" dxfId="0" priority="3">
      <formula>$AL7&lt;&gt;""</formula>
    </cfRule>
  </conditionalFormatting>
  <dataValidations disablePrompts="1" count="1">
    <dataValidation type="list" allowBlank="1" showInputMessage="1" showErrorMessage="1" sqref="D4" xr:uid="{00000000-0002-0000-0100-000000000000}">
      <formula1>"1,2"</formula1>
    </dataValidation>
  </dataValidations>
  <pageMargins left="0.7" right="0.7" top="0.75" bottom="0.75" header="0.3" footer="0.3"/>
  <pageSetup orientation="portrait" r:id="rId1"/>
  <ignoredErrors>
    <ignoredError sqref="T7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05"/>
  <sheetViews>
    <sheetView zoomScale="70" zoomScaleNormal="70" workbookViewId="0">
      <selection activeCell="F2" sqref="F2"/>
    </sheetView>
  </sheetViews>
  <sheetFormatPr defaultRowHeight="18" x14ac:dyDescent="0.35"/>
  <cols>
    <col min="1" max="1" width="4.44140625" style="18" customWidth="1"/>
    <col min="2" max="2" width="24.6640625" customWidth="1"/>
    <col min="3" max="3" width="8" style="50" customWidth="1"/>
    <col min="4" max="5" width="8.109375" style="53" customWidth="1"/>
    <col min="6" max="6" width="8.109375" style="26" customWidth="1"/>
    <col min="7" max="7" width="11.109375" bestFit="1" customWidth="1"/>
    <col min="9" max="9" width="11.33203125" customWidth="1"/>
  </cols>
  <sheetData>
    <row r="1" spans="1:12" ht="47.4" x14ac:dyDescent="0.35">
      <c r="A1" s="19" t="s">
        <v>0</v>
      </c>
      <c r="B1" s="20" t="s">
        <v>1</v>
      </c>
      <c r="C1" s="48" t="s">
        <v>58</v>
      </c>
      <c r="D1" s="51" t="s">
        <v>136</v>
      </c>
      <c r="E1" s="51" t="s">
        <v>93</v>
      </c>
      <c r="F1" s="46" t="s">
        <v>29</v>
      </c>
      <c r="G1" s="6"/>
      <c r="H1" s="207" t="s">
        <v>67</v>
      </c>
      <c r="I1" s="207"/>
      <c r="J1" s="9"/>
      <c r="K1" s="9"/>
      <c r="L1" s="9"/>
    </row>
    <row r="2" spans="1:12" x14ac:dyDescent="0.35">
      <c r="A2" s="30">
        <f>IF(NOT(ISBLANK(Curs!B6)),Curs!B6,"")</f>
        <v>1</v>
      </c>
      <c r="B2" s="31" t="str">
        <f>IF(NOT(ISBLANK(Curs!C6)),Curs!C6,"")</f>
        <v>Nume, Prenume</v>
      </c>
      <c r="C2" s="49" t="s">
        <v>174</v>
      </c>
      <c r="D2" s="52"/>
      <c r="E2" s="52"/>
      <c r="F2" s="32" t="str">
        <f>IF(B2="","",
IF(AND(NOT(ISBLANK(D2)),NOT(ISBLANK(E2)),D2&gt;=5,E2&gt;=5),ROUND(AVERAGE(D2:E2),0),"n/p"))</f>
        <v>n/p</v>
      </c>
      <c r="G2" s="6"/>
      <c r="H2" s="27" t="s">
        <v>29</v>
      </c>
      <c r="I2" s="27" t="s">
        <v>31</v>
      </c>
      <c r="J2" s="13"/>
      <c r="K2" s="13"/>
      <c r="L2" s="13"/>
    </row>
    <row r="3" spans="1:12" x14ac:dyDescent="0.35">
      <c r="A3" s="30" t="str">
        <f>IF(NOT(ISBLANK(Curs!B7)),Curs!B7,"")</f>
        <v/>
      </c>
      <c r="B3" s="31" t="str">
        <f>IF(NOT(ISBLANK(Curs!C7)),Curs!C7,"")</f>
        <v/>
      </c>
      <c r="C3" s="49"/>
      <c r="D3" s="52"/>
      <c r="E3" s="52"/>
      <c r="F3" s="32" t="str">
        <f t="shared" ref="F3:F66" si="0">IF(B3="","",
IF(AND(NOT(ISBLANK(D3)),NOT(ISBLANK(E3)),D3&gt;=5,E3&gt;=5),ROUND(AVERAGE(D3:E3),0),"n/p"))</f>
        <v/>
      </c>
      <c r="G3" s="22"/>
      <c r="H3" s="29">
        <v>1</v>
      </c>
      <c r="I3" s="27">
        <f>COUNTIF($F$2:$F$101,H3)</f>
        <v>0</v>
      </c>
      <c r="J3" s="13"/>
      <c r="K3" s="13"/>
      <c r="L3" s="13"/>
    </row>
    <row r="4" spans="1:12" x14ac:dyDescent="0.35">
      <c r="A4" s="30" t="str">
        <f>IF(NOT(ISBLANK(Curs!B8)),Curs!B8,"")</f>
        <v/>
      </c>
      <c r="B4" s="31" t="str">
        <f>IF(NOT(ISBLANK(Curs!C8)),Curs!C8,"")</f>
        <v/>
      </c>
      <c r="C4" s="49"/>
      <c r="D4" s="52"/>
      <c r="E4" s="52"/>
      <c r="F4" s="32" t="str">
        <f t="shared" si="0"/>
        <v/>
      </c>
      <c r="G4" s="22"/>
      <c r="H4" s="28">
        <v>2</v>
      </c>
      <c r="I4" s="27">
        <f t="shared" ref="I4:I13" si="1">COUNTIF($F$2:$F$101,H4)</f>
        <v>0</v>
      </c>
      <c r="J4" s="13"/>
      <c r="K4" s="13"/>
      <c r="L4" s="13"/>
    </row>
    <row r="5" spans="1:12" x14ac:dyDescent="0.35">
      <c r="A5" s="30" t="str">
        <f>IF(NOT(ISBLANK(Curs!B9)),Curs!B9,"")</f>
        <v/>
      </c>
      <c r="B5" s="31" t="str">
        <f>IF(NOT(ISBLANK(Curs!C9)),Curs!C9,"")</f>
        <v/>
      </c>
      <c r="C5" s="49"/>
      <c r="D5" s="52"/>
      <c r="E5" s="52"/>
      <c r="F5" s="32" t="str">
        <f t="shared" si="0"/>
        <v/>
      </c>
      <c r="G5" s="22"/>
      <c r="H5" s="28">
        <v>3</v>
      </c>
      <c r="I5" s="27">
        <f t="shared" si="1"/>
        <v>0</v>
      </c>
      <c r="J5" s="13"/>
      <c r="K5" s="13"/>
      <c r="L5" s="13"/>
    </row>
    <row r="6" spans="1:12" x14ac:dyDescent="0.35">
      <c r="A6" s="30" t="str">
        <f>IF(NOT(ISBLANK(Curs!B10)),Curs!B10,"")</f>
        <v/>
      </c>
      <c r="B6" s="31" t="str">
        <f>IF(NOT(ISBLANK(Curs!C10)),Curs!C10,"")</f>
        <v/>
      </c>
      <c r="C6" s="49"/>
      <c r="D6" s="52"/>
      <c r="E6" s="52"/>
      <c r="F6" s="32" t="str">
        <f t="shared" si="0"/>
        <v/>
      </c>
      <c r="G6" s="22"/>
      <c r="H6" s="29">
        <v>4</v>
      </c>
      <c r="I6" s="27">
        <f t="shared" si="1"/>
        <v>0</v>
      </c>
      <c r="J6" s="13"/>
      <c r="K6" s="13"/>
      <c r="L6" s="13"/>
    </row>
    <row r="7" spans="1:12" x14ac:dyDescent="0.35">
      <c r="A7" s="30" t="str">
        <f>IF(NOT(ISBLANK(Curs!B11)),Curs!B11,"")</f>
        <v/>
      </c>
      <c r="B7" s="31" t="str">
        <f>IF(NOT(ISBLANK(Curs!C11)),Curs!C11,"")</f>
        <v/>
      </c>
      <c r="C7" s="49"/>
      <c r="D7" s="52"/>
      <c r="E7" s="52"/>
      <c r="F7" s="32" t="str">
        <f t="shared" si="0"/>
        <v/>
      </c>
      <c r="G7" s="22"/>
      <c r="H7" s="29">
        <v>5</v>
      </c>
      <c r="I7" s="27">
        <f t="shared" si="1"/>
        <v>0</v>
      </c>
      <c r="J7" s="13"/>
      <c r="K7" s="13"/>
      <c r="L7" s="13"/>
    </row>
    <row r="8" spans="1:12" x14ac:dyDescent="0.35">
      <c r="A8" s="30" t="str">
        <f>IF(NOT(ISBLANK(Curs!B12)),Curs!B12,"")</f>
        <v/>
      </c>
      <c r="B8" s="31" t="str">
        <f>IF(NOT(ISBLANK(Curs!C12)),Curs!C12,"")</f>
        <v/>
      </c>
      <c r="C8" s="49"/>
      <c r="D8" s="52"/>
      <c r="E8" s="52"/>
      <c r="F8" s="32" t="str">
        <f t="shared" si="0"/>
        <v/>
      </c>
      <c r="G8" s="22"/>
      <c r="H8" s="29">
        <v>6</v>
      </c>
      <c r="I8" s="27">
        <f t="shared" si="1"/>
        <v>0</v>
      </c>
      <c r="J8" s="13"/>
      <c r="K8" s="13"/>
      <c r="L8" s="13"/>
    </row>
    <row r="9" spans="1:12" x14ac:dyDescent="0.35">
      <c r="A9" s="30" t="str">
        <f>IF(NOT(ISBLANK(Curs!B13)),Curs!B13,"")</f>
        <v/>
      </c>
      <c r="B9" s="31" t="str">
        <f>IF(NOT(ISBLANK(Curs!C13)),Curs!C13,"")</f>
        <v/>
      </c>
      <c r="C9" s="49"/>
      <c r="D9" s="52"/>
      <c r="E9" s="52"/>
      <c r="F9" s="32" t="str">
        <f t="shared" si="0"/>
        <v/>
      </c>
      <c r="G9" s="22"/>
      <c r="H9" s="29">
        <v>7</v>
      </c>
      <c r="I9" s="27">
        <f t="shared" si="1"/>
        <v>0</v>
      </c>
      <c r="J9" s="13"/>
      <c r="K9" s="13"/>
      <c r="L9" s="13"/>
    </row>
    <row r="10" spans="1:12" x14ac:dyDescent="0.35">
      <c r="A10" s="30" t="str">
        <f>IF(NOT(ISBLANK(Curs!B14)),Curs!B14,"")</f>
        <v/>
      </c>
      <c r="B10" s="31" t="str">
        <f>IF(NOT(ISBLANK(Curs!C14)),Curs!C14,"")</f>
        <v/>
      </c>
      <c r="C10" s="49"/>
      <c r="D10" s="52"/>
      <c r="E10" s="52"/>
      <c r="F10" s="32" t="str">
        <f t="shared" si="0"/>
        <v/>
      </c>
      <c r="G10" s="22"/>
      <c r="H10" s="29">
        <v>8</v>
      </c>
      <c r="I10" s="27">
        <f t="shared" si="1"/>
        <v>0</v>
      </c>
      <c r="J10" s="13"/>
      <c r="K10" s="13"/>
      <c r="L10" s="13"/>
    </row>
    <row r="11" spans="1:12" x14ac:dyDescent="0.35">
      <c r="A11" s="30" t="str">
        <f>IF(NOT(ISBLANK(Curs!B15)),Curs!B15,"")</f>
        <v/>
      </c>
      <c r="B11" s="31" t="str">
        <f>IF(NOT(ISBLANK(Curs!C15)),Curs!C15,"")</f>
        <v/>
      </c>
      <c r="C11" s="49"/>
      <c r="D11" s="52"/>
      <c r="E11" s="52"/>
      <c r="F11" s="32" t="str">
        <f t="shared" si="0"/>
        <v/>
      </c>
      <c r="G11" s="22"/>
      <c r="H11" s="29">
        <v>9</v>
      </c>
      <c r="I11" s="27">
        <f t="shared" si="1"/>
        <v>0</v>
      </c>
      <c r="J11" s="13"/>
      <c r="K11" s="13"/>
      <c r="L11" s="13"/>
    </row>
    <row r="12" spans="1:12" x14ac:dyDescent="0.35">
      <c r="A12" s="30" t="str">
        <f>IF(NOT(ISBLANK(Curs!B16)),Curs!B16,"")</f>
        <v/>
      </c>
      <c r="B12" s="31" t="str">
        <f>IF(NOT(ISBLANK(Curs!C16)),Curs!C16,"")</f>
        <v/>
      </c>
      <c r="C12" s="49"/>
      <c r="D12" s="52"/>
      <c r="E12" s="52"/>
      <c r="F12" s="32" t="str">
        <f t="shared" si="0"/>
        <v/>
      </c>
      <c r="G12" s="22"/>
      <c r="H12" s="29">
        <v>10</v>
      </c>
      <c r="I12" s="27">
        <f t="shared" si="1"/>
        <v>0</v>
      </c>
      <c r="J12" s="13"/>
      <c r="K12" s="13"/>
      <c r="L12" s="13"/>
    </row>
    <row r="13" spans="1:12" x14ac:dyDescent="0.35">
      <c r="A13" s="30" t="str">
        <f>IF(NOT(ISBLANK(Curs!B17)),Curs!B17,"")</f>
        <v/>
      </c>
      <c r="B13" s="31" t="str">
        <f>IF(NOT(ISBLANK(Curs!C17)),Curs!C17,"")</f>
        <v/>
      </c>
      <c r="C13" s="49"/>
      <c r="D13" s="52"/>
      <c r="E13" s="52"/>
      <c r="F13" s="32" t="str">
        <f t="shared" si="0"/>
        <v/>
      </c>
      <c r="G13" s="22"/>
      <c r="H13" s="29" t="s">
        <v>33</v>
      </c>
      <c r="I13" s="27">
        <f t="shared" si="1"/>
        <v>1</v>
      </c>
      <c r="J13" s="13"/>
      <c r="K13" s="16"/>
      <c r="L13" s="13"/>
    </row>
    <row r="14" spans="1:12" x14ac:dyDescent="0.35">
      <c r="A14" s="30" t="str">
        <f>IF(NOT(ISBLANK(Curs!B18)),Curs!B18,"")</f>
        <v/>
      </c>
      <c r="B14" s="31" t="str">
        <f>IF(NOT(ISBLANK(Curs!C18)),Curs!C18,"")</f>
        <v/>
      </c>
      <c r="C14" s="49"/>
      <c r="D14" s="52"/>
      <c r="E14" s="52"/>
      <c r="F14" s="32" t="str">
        <f t="shared" si="0"/>
        <v/>
      </c>
      <c r="G14" s="7"/>
      <c r="H14" s="15"/>
      <c r="I14" s="13"/>
      <c r="J14" s="16"/>
      <c r="K14" s="13"/>
      <c r="L14" s="16"/>
    </row>
    <row r="15" spans="1:12" x14ac:dyDescent="0.35">
      <c r="A15" s="30" t="str">
        <f>IF(NOT(ISBLANK(Curs!B19)),Curs!B19,"")</f>
        <v/>
      </c>
      <c r="B15" s="31" t="str">
        <f>IF(NOT(ISBLANK(Curs!C19)),Curs!C19,"")</f>
        <v/>
      </c>
      <c r="C15" s="49"/>
      <c r="D15" s="52"/>
      <c r="E15" s="52"/>
      <c r="F15" s="32" t="str">
        <f t="shared" si="0"/>
        <v/>
      </c>
      <c r="G15" s="7"/>
      <c r="H15" s="17"/>
    </row>
    <row r="16" spans="1:12" x14ac:dyDescent="0.35">
      <c r="A16" s="30" t="str">
        <f>IF(NOT(ISBLANK(Curs!B20)),Curs!B20,"")</f>
        <v/>
      </c>
      <c r="B16" s="31" t="str">
        <f>IF(NOT(ISBLANK(Curs!C20)),Curs!C20,"")</f>
        <v/>
      </c>
      <c r="C16" s="49"/>
      <c r="D16" s="52"/>
      <c r="E16" s="52"/>
      <c r="F16" s="32" t="str">
        <f t="shared" si="0"/>
        <v/>
      </c>
      <c r="G16" s="7"/>
      <c r="H16" s="17"/>
    </row>
    <row r="17" spans="1:10" x14ac:dyDescent="0.35">
      <c r="A17" s="30" t="str">
        <f>IF(NOT(ISBLANK(Curs!B21)),Curs!B21,"")</f>
        <v/>
      </c>
      <c r="B17" s="31" t="str">
        <f>IF(NOT(ISBLANK(Curs!C21)),Curs!C21,"")</f>
        <v/>
      </c>
      <c r="C17" s="49"/>
      <c r="D17" s="52"/>
      <c r="E17" s="52"/>
      <c r="F17" s="32" t="str">
        <f t="shared" si="0"/>
        <v/>
      </c>
      <c r="G17" s="7"/>
      <c r="H17" s="17"/>
    </row>
    <row r="18" spans="1:10" x14ac:dyDescent="0.35">
      <c r="A18" s="30" t="str">
        <f>IF(NOT(ISBLANK(Curs!B22)),Curs!B22,"")</f>
        <v/>
      </c>
      <c r="B18" s="31" t="str">
        <f>IF(NOT(ISBLANK(Curs!C22)),Curs!C22,"")</f>
        <v/>
      </c>
      <c r="C18" s="49"/>
      <c r="D18" s="52"/>
      <c r="E18" s="52"/>
      <c r="F18" s="32" t="str">
        <f t="shared" si="0"/>
        <v/>
      </c>
      <c r="G18" s="7"/>
      <c r="H18" s="17"/>
    </row>
    <row r="19" spans="1:10" x14ac:dyDescent="0.35">
      <c r="A19" s="30" t="str">
        <f>IF(NOT(ISBLANK(Curs!B23)),Curs!B23,"")</f>
        <v/>
      </c>
      <c r="B19" s="31" t="str">
        <f>IF(NOT(ISBLANK(Curs!C23)),Curs!C23,"")</f>
        <v/>
      </c>
      <c r="C19" s="49"/>
      <c r="D19" s="52"/>
      <c r="E19" s="52"/>
      <c r="F19" s="32" t="str">
        <f t="shared" si="0"/>
        <v/>
      </c>
      <c r="G19" s="7"/>
      <c r="H19" s="17"/>
    </row>
    <row r="20" spans="1:10" x14ac:dyDescent="0.35">
      <c r="A20" s="30" t="str">
        <f>IF(NOT(ISBLANK(Curs!B24)),Curs!B24,"")</f>
        <v/>
      </c>
      <c r="B20" s="31" t="str">
        <f>IF(NOT(ISBLANK(Curs!C24)),Curs!C24,"")</f>
        <v/>
      </c>
      <c r="C20" s="49"/>
      <c r="D20" s="52"/>
      <c r="E20" s="52"/>
      <c r="F20" s="32" t="str">
        <f t="shared" si="0"/>
        <v/>
      </c>
      <c r="G20" s="7"/>
      <c r="H20" s="17"/>
    </row>
    <row r="21" spans="1:10" x14ac:dyDescent="0.35">
      <c r="A21" s="30" t="str">
        <f>IF(NOT(ISBLANK(Curs!B25)),Curs!B25,"")</f>
        <v/>
      </c>
      <c r="B21" s="31" t="str">
        <f>IF(NOT(ISBLANK(Curs!C25)),Curs!C25,"")</f>
        <v/>
      </c>
      <c r="C21" s="49"/>
      <c r="D21" s="52"/>
      <c r="E21" s="52"/>
      <c r="F21" s="32" t="str">
        <f t="shared" si="0"/>
        <v/>
      </c>
      <c r="G21" s="7"/>
      <c r="H21" s="17"/>
    </row>
    <row r="22" spans="1:10" x14ac:dyDescent="0.35">
      <c r="A22" s="30" t="str">
        <f>IF(NOT(ISBLANK(Curs!B26)),Curs!B26,"")</f>
        <v/>
      </c>
      <c r="B22" s="31" t="str">
        <f>IF(NOT(ISBLANK(Curs!C26)),Curs!C26,"")</f>
        <v/>
      </c>
      <c r="C22" s="49"/>
      <c r="D22" s="52"/>
      <c r="E22" s="52"/>
      <c r="F22" s="32" t="str">
        <f t="shared" si="0"/>
        <v/>
      </c>
      <c r="G22" s="7"/>
      <c r="H22" s="17"/>
    </row>
    <row r="23" spans="1:10" x14ac:dyDescent="0.35">
      <c r="A23" s="30" t="str">
        <f>IF(NOT(ISBLANK(Curs!B27)),Curs!B27,"")</f>
        <v/>
      </c>
      <c r="B23" s="31" t="str">
        <f>IF(NOT(ISBLANK(Curs!C27)),Curs!C27,"")</f>
        <v/>
      </c>
      <c r="C23" s="49"/>
      <c r="D23" s="52"/>
      <c r="E23" s="52"/>
      <c r="F23" s="32" t="str">
        <f t="shared" si="0"/>
        <v/>
      </c>
      <c r="G23" s="7"/>
      <c r="H23" s="17"/>
    </row>
    <row r="24" spans="1:10" x14ac:dyDescent="0.35">
      <c r="A24" s="30" t="str">
        <f>IF(NOT(ISBLANK(Curs!B28)),Curs!B28,"")</f>
        <v/>
      </c>
      <c r="B24" s="31" t="str">
        <f>IF(NOT(ISBLANK(Curs!C28)),Curs!C28,"")</f>
        <v/>
      </c>
      <c r="C24" s="49"/>
      <c r="D24" s="52"/>
      <c r="E24" s="52"/>
      <c r="F24" s="32" t="str">
        <f t="shared" si="0"/>
        <v/>
      </c>
      <c r="G24" s="7"/>
      <c r="H24" s="17"/>
    </row>
    <row r="25" spans="1:10" x14ac:dyDescent="0.35">
      <c r="A25" s="30" t="str">
        <f>IF(NOT(ISBLANK(Curs!B29)),Curs!B29,"")</f>
        <v/>
      </c>
      <c r="B25" s="31" t="str">
        <f>IF(NOT(ISBLANK(Curs!C29)),Curs!C29,"")</f>
        <v/>
      </c>
      <c r="C25" s="49"/>
      <c r="D25" s="52"/>
      <c r="E25" s="52"/>
      <c r="F25" s="32" t="str">
        <f t="shared" si="0"/>
        <v/>
      </c>
      <c r="G25" s="7"/>
      <c r="H25" s="17"/>
    </row>
    <row r="26" spans="1:10" x14ac:dyDescent="0.35">
      <c r="A26" s="30" t="str">
        <f>IF(NOT(ISBLANK(Curs!B30)),Curs!B30,"")</f>
        <v/>
      </c>
      <c r="B26" s="31" t="str">
        <f>IF(NOT(ISBLANK(Curs!C30)),Curs!C30,"")</f>
        <v/>
      </c>
      <c r="C26" s="49"/>
      <c r="D26" s="52"/>
      <c r="E26" s="52"/>
      <c r="F26" s="32" t="str">
        <f t="shared" si="0"/>
        <v/>
      </c>
      <c r="G26" s="7"/>
      <c r="H26" s="17"/>
    </row>
    <row r="27" spans="1:10" x14ac:dyDescent="0.35">
      <c r="A27" s="30" t="str">
        <f>IF(NOT(ISBLANK(Curs!B31)),Curs!B31,"")</f>
        <v/>
      </c>
      <c r="B27" s="31" t="str">
        <f>IF(NOT(ISBLANK(Curs!C31)),Curs!C31,"")</f>
        <v/>
      </c>
      <c r="C27" s="49"/>
      <c r="D27" s="52"/>
      <c r="E27" s="52"/>
      <c r="F27" s="32" t="str">
        <f t="shared" si="0"/>
        <v/>
      </c>
      <c r="G27" s="10"/>
      <c r="H27" s="14"/>
      <c r="I27" s="7"/>
      <c r="J27" s="1"/>
    </row>
    <row r="28" spans="1:10" x14ac:dyDescent="0.35">
      <c r="A28" s="30" t="str">
        <f>IF(NOT(ISBLANK(Curs!B32)),Curs!B32,"")</f>
        <v/>
      </c>
      <c r="B28" s="31" t="str">
        <f>IF(NOT(ISBLANK(Curs!C32)),Curs!C32,"")</f>
        <v/>
      </c>
      <c r="C28" s="49"/>
      <c r="D28" s="52"/>
      <c r="E28" s="52"/>
      <c r="F28" s="32" t="str">
        <f t="shared" si="0"/>
        <v/>
      </c>
    </row>
    <row r="29" spans="1:10" x14ac:dyDescent="0.35">
      <c r="A29" s="30" t="str">
        <f>IF(NOT(ISBLANK(Curs!B33)),Curs!B33,"")</f>
        <v/>
      </c>
      <c r="B29" s="31" t="str">
        <f>IF(NOT(ISBLANK(Curs!C33)),Curs!C33,"")</f>
        <v/>
      </c>
      <c r="C29" s="49"/>
      <c r="D29" s="52"/>
      <c r="E29" s="52"/>
      <c r="F29" s="32" t="str">
        <f t="shared" si="0"/>
        <v/>
      </c>
    </row>
    <row r="30" spans="1:10" x14ac:dyDescent="0.35">
      <c r="A30" s="30" t="str">
        <f>IF(NOT(ISBLANK(Curs!B34)),Curs!B34,"")</f>
        <v/>
      </c>
      <c r="B30" s="31" t="str">
        <f>IF(NOT(ISBLANK(Curs!C34)),Curs!C34,"")</f>
        <v/>
      </c>
      <c r="C30" s="49"/>
      <c r="D30" s="52"/>
      <c r="E30" s="52"/>
      <c r="F30" s="32" t="str">
        <f t="shared" si="0"/>
        <v/>
      </c>
    </row>
    <row r="31" spans="1:10" x14ac:dyDescent="0.35">
      <c r="A31" s="30" t="str">
        <f>IF(NOT(ISBLANK(Curs!B35)),Curs!B35,"")</f>
        <v/>
      </c>
      <c r="B31" s="31" t="str">
        <f>IF(NOT(ISBLANK(Curs!C35)),Curs!C35,"")</f>
        <v/>
      </c>
      <c r="C31" s="49"/>
      <c r="D31" s="52"/>
      <c r="E31" s="52"/>
      <c r="F31" s="32" t="str">
        <f t="shared" si="0"/>
        <v/>
      </c>
    </row>
    <row r="32" spans="1:10" x14ac:dyDescent="0.35">
      <c r="A32" s="30" t="str">
        <f>IF(NOT(ISBLANK(Curs!B36)),Curs!B36,"")</f>
        <v/>
      </c>
      <c r="B32" s="31" t="str">
        <f>IF(NOT(ISBLANK(Curs!C36)),Curs!C36,"")</f>
        <v/>
      </c>
      <c r="C32" s="49"/>
      <c r="D32" s="52"/>
      <c r="E32" s="52"/>
      <c r="F32" s="32" t="str">
        <f t="shared" si="0"/>
        <v/>
      </c>
    </row>
    <row r="33" spans="1:6" x14ac:dyDescent="0.35">
      <c r="A33" s="30" t="str">
        <f>IF(NOT(ISBLANK(Curs!B37)),Curs!B37,"")</f>
        <v/>
      </c>
      <c r="B33" s="31" t="str">
        <f>IF(NOT(ISBLANK(Curs!C37)),Curs!C37,"")</f>
        <v/>
      </c>
      <c r="C33" s="49"/>
      <c r="D33" s="52"/>
      <c r="E33" s="52"/>
      <c r="F33" s="32" t="str">
        <f t="shared" si="0"/>
        <v/>
      </c>
    </row>
    <row r="34" spans="1:6" x14ac:dyDescent="0.35">
      <c r="A34" s="30" t="str">
        <f>IF(NOT(ISBLANK(Curs!B38)),Curs!B38,"")</f>
        <v/>
      </c>
      <c r="B34" s="31" t="str">
        <f>IF(NOT(ISBLANK(Curs!C38)),Curs!C38,"")</f>
        <v/>
      </c>
      <c r="C34" s="49"/>
      <c r="D34" s="52"/>
      <c r="E34" s="52"/>
      <c r="F34" s="32" t="str">
        <f t="shared" si="0"/>
        <v/>
      </c>
    </row>
    <row r="35" spans="1:6" x14ac:dyDescent="0.35">
      <c r="A35" s="30" t="str">
        <f>IF(NOT(ISBLANK(Curs!B39)),Curs!B39,"")</f>
        <v/>
      </c>
      <c r="B35" s="31" t="str">
        <f>IF(NOT(ISBLANK(Curs!C39)),Curs!C39,"")</f>
        <v/>
      </c>
      <c r="C35" s="49"/>
      <c r="D35" s="52"/>
      <c r="E35" s="52"/>
      <c r="F35" s="32" t="str">
        <f t="shared" si="0"/>
        <v/>
      </c>
    </row>
    <row r="36" spans="1:6" x14ac:dyDescent="0.35">
      <c r="A36" s="30" t="str">
        <f>IF(NOT(ISBLANK(Curs!B40)),Curs!B40,"")</f>
        <v/>
      </c>
      <c r="B36" s="31" t="str">
        <f>IF(NOT(ISBLANK(Curs!C40)),Curs!C40,"")</f>
        <v/>
      </c>
      <c r="C36" s="49"/>
      <c r="D36" s="52"/>
      <c r="E36" s="52"/>
      <c r="F36" s="32" t="str">
        <f t="shared" si="0"/>
        <v/>
      </c>
    </row>
    <row r="37" spans="1:6" x14ac:dyDescent="0.35">
      <c r="A37" s="30" t="str">
        <f>IF(NOT(ISBLANK(Curs!B41)),Curs!B41,"")</f>
        <v/>
      </c>
      <c r="B37" s="31" t="str">
        <f>IF(NOT(ISBLANK(Curs!C41)),Curs!C41,"")</f>
        <v/>
      </c>
      <c r="C37" s="49"/>
      <c r="D37" s="52"/>
      <c r="E37" s="52"/>
      <c r="F37" s="32" t="str">
        <f t="shared" si="0"/>
        <v/>
      </c>
    </row>
    <row r="38" spans="1:6" x14ac:dyDescent="0.35">
      <c r="A38" s="30" t="str">
        <f>IF(NOT(ISBLANK(Curs!B42)),Curs!B42,"")</f>
        <v/>
      </c>
      <c r="B38" s="31" t="str">
        <f>IF(NOT(ISBLANK(Curs!C42)),Curs!C42,"")</f>
        <v/>
      </c>
      <c r="C38" s="49"/>
      <c r="D38" s="52"/>
      <c r="E38" s="52"/>
      <c r="F38" s="32" t="str">
        <f t="shared" si="0"/>
        <v/>
      </c>
    </row>
    <row r="39" spans="1:6" x14ac:dyDescent="0.35">
      <c r="A39" s="30" t="str">
        <f>IF(NOT(ISBLANK(Curs!B43)),Curs!B43,"")</f>
        <v/>
      </c>
      <c r="B39" s="31" t="str">
        <f>IF(NOT(ISBLANK(Curs!C43)),Curs!C43,"")</f>
        <v/>
      </c>
      <c r="C39" s="49"/>
      <c r="D39" s="52"/>
      <c r="E39" s="52"/>
      <c r="F39" s="32" t="str">
        <f t="shared" si="0"/>
        <v/>
      </c>
    </row>
    <row r="40" spans="1:6" x14ac:dyDescent="0.35">
      <c r="A40" s="30" t="str">
        <f>IF(NOT(ISBLANK(Curs!B44)),Curs!B44,"")</f>
        <v/>
      </c>
      <c r="B40" s="31" t="str">
        <f>IF(NOT(ISBLANK(Curs!C44)),Curs!C44,"")</f>
        <v/>
      </c>
      <c r="C40" s="49"/>
      <c r="D40" s="52"/>
      <c r="E40" s="52"/>
      <c r="F40" s="32" t="str">
        <f t="shared" si="0"/>
        <v/>
      </c>
    </row>
    <row r="41" spans="1:6" x14ac:dyDescent="0.35">
      <c r="A41" s="30" t="str">
        <f>IF(NOT(ISBLANK(Curs!B45)),Curs!B45,"")</f>
        <v/>
      </c>
      <c r="B41" s="31" t="str">
        <f>IF(NOT(ISBLANK(Curs!C45)),Curs!C45,"")</f>
        <v/>
      </c>
      <c r="C41" s="49"/>
      <c r="D41" s="52"/>
      <c r="E41" s="52"/>
      <c r="F41" s="32" t="str">
        <f t="shared" si="0"/>
        <v/>
      </c>
    </row>
    <row r="42" spans="1:6" x14ac:dyDescent="0.35">
      <c r="A42" s="30" t="str">
        <f>IF(NOT(ISBLANK(Curs!B46)),Curs!B46,"")</f>
        <v/>
      </c>
      <c r="B42" s="31" t="str">
        <f>IF(NOT(ISBLANK(Curs!C46)),Curs!C46,"")</f>
        <v/>
      </c>
      <c r="C42" s="49"/>
      <c r="D42" s="52"/>
      <c r="E42" s="52"/>
      <c r="F42" s="32" t="str">
        <f t="shared" si="0"/>
        <v/>
      </c>
    </row>
    <row r="43" spans="1:6" x14ac:dyDescent="0.35">
      <c r="A43" s="30" t="str">
        <f>IF(NOT(ISBLANK(Curs!B47)),Curs!B47,"")</f>
        <v/>
      </c>
      <c r="B43" s="31" t="str">
        <f>IF(NOT(ISBLANK(Curs!C47)),Curs!C47,"")</f>
        <v/>
      </c>
      <c r="C43" s="49"/>
      <c r="D43" s="52"/>
      <c r="E43" s="52"/>
      <c r="F43" s="32" t="str">
        <f t="shared" si="0"/>
        <v/>
      </c>
    </row>
    <row r="44" spans="1:6" x14ac:dyDescent="0.35">
      <c r="A44" s="30" t="str">
        <f>IF(NOT(ISBLANK(Curs!B48)),Curs!B48,"")</f>
        <v/>
      </c>
      <c r="B44" s="31" t="str">
        <f>IF(NOT(ISBLANK(Curs!C48)),Curs!C48,"")</f>
        <v/>
      </c>
      <c r="C44" s="49"/>
      <c r="D44" s="52"/>
      <c r="E44" s="52"/>
      <c r="F44" s="32" t="str">
        <f t="shared" si="0"/>
        <v/>
      </c>
    </row>
    <row r="45" spans="1:6" x14ac:dyDescent="0.35">
      <c r="A45" s="30" t="str">
        <f>IF(NOT(ISBLANK(Curs!B49)),Curs!B49,"")</f>
        <v/>
      </c>
      <c r="B45" s="31" t="str">
        <f>IF(NOT(ISBLANK(Curs!C49)),Curs!C49,"")</f>
        <v/>
      </c>
      <c r="C45" s="49"/>
      <c r="D45" s="52"/>
      <c r="E45" s="52"/>
      <c r="F45" s="32" t="str">
        <f t="shared" si="0"/>
        <v/>
      </c>
    </row>
    <row r="46" spans="1:6" x14ac:dyDescent="0.35">
      <c r="A46" s="30" t="str">
        <f>IF(NOT(ISBLANK(Curs!B50)),Curs!B50,"")</f>
        <v/>
      </c>
      <c r="B46" s="31" t="str">
        <f>IF(NOT(ISBLANK(Curs!C50)),Curs!C50,"")</f>
        <v/>
      </c>
      <c r="C46" s="49"/>
      <c r="D46" s="52"/>
      <c r="E46" s="52"/>
      <c r="F46" s="32" t="str">
        <f t="shared" si="0"/>
        <v/>
      </c>
    </row>
    <row r="47" spans="1:6" x14ac:dyDescent="0.35">
      <c r="A47" s="30" t="str">
        <f>IF(NOT(ISBLANK(Curs!B51)),Curs!B51,"")</f>
        <v/>
      </c>
      <c r="B47" s="31" t="str">
        <f>IF(NOT(ISBLANK(Curs!C51)),Curs!C51,"")</f>
        <v/>
      </c>
      <c r="C47" s="49"/>
      <c r="D47" s="52"/>
      <c r="E47" s="52"/>
      <c r="F47" s="32" t="str">
        <f t="shared" si="0"/>
        <v/>
      </c>
    </row>
    <row r="48" spans="1:6" x14ac:dyDescent="0.35">
      <c r="A48" s="30" t="str">
        <f>IF(NOT(ISBLANK(Curs!B52)),Curs!B52,"")</f>
        <v/>
      </c>
      <c r="B48" s="31" t="str">
        <f>IF(NOT(ISBLANK(Curs!C52)),Curs!C52,"")</f>
        <v/>
      </c>
      <c r="C48" s="49"/>
      <c r="D48" s="52"/>
      <c r="E48" s="52"/>
      <c r="F48" s="32" t="str">
        <f t="shared" si="0"/>
        <v/>
      </c>
    </row>
    <row r="49" spans="1:6" x14ac:dyDescent="0.35">
      <c r="A49" s="30" t="str">
        <f>IF(NOT(ISBLANK(Curs!B53)),Curs!B53,"")</f>
        <v/>
      </c>
      <c r="B49" s="31" t="str">
        <f>IF(NOT(ISBLANK(Curs!C53)),Curs!C53,"")</f>
        <v/>
      </c>
      <c r="C49" s="49"/>
      <c r="D49" s="52"/>
      <c r="E49" s="52"/>
      <c r="F49" s="32" t="str">
        <f t="shared" si="0"/>
        <v/>
      </c>
    </row>
    <row r="50" spans="1:6" x14ac:dyDescent="0.35">
      <c r="A50" s="30" t="str">
        <f>IF(NOT(ISBLANK(Curs!B54)),Curs!B54,"")</f>
        <v/>
      </c>
      <c r="B50" s="31" t="str">
        <f>IF(NOT(ISBLANK(Curs!C54)),Curs!C54,"")</f>
        <v/>
      </c>
      <c r="C50" s="49"/>
      <c r="D50" s="52"/>
      <c r="E50" s="52"/>
      <c r="F50" s="32" t="str">
        <f t="shared" si="0"/>
        <v/>
      </c>
    </row>
    <row r="51" spans="1:6" x14ac:dyDescent="0.35">
      <c r="A51" s="30" t="str">
        <f>IF(NOT(ISBLANK(Curs!B55)),Curs!B55,"")</f>
        <v/>
      </c>
      <c r="B51" s="31" t="str">
        <f>IF(NOT(ISBLANK(Curs!C55)),Curs!C55,"")</f>
        <v/>
      </c>
      <c r="C51" s="49"/>
      <c r="D51" s="52"/>
      <c r="E51" s="52"/>
      <c r="F51" s="32" t="str">
        <f t="shared" si="0"/>
        <v/>
      </c>
    </row>
    <row r="52" spans="1:6" x14ac:dyDescent="0.35">
      <c r="A52" s="30" t="str">
        <f>IF(NOT(ISBLANK(Curs!B56)),Curs!B56,"")</f>
        <v/>
      </c>
      <c r="B52" s="31" t="str">
        <f>IF(NOT(ISBLANK(Curs!C56)),Curs!C56,"")</f>
        <v/>
      </c>
      <c r="C52" s="49"/>
      <c r="D52" s="52"/>
      <c r="E52" s="52"/>
      <c r="F52" s="32" t="str">
        <f t="shared" si="0"/>
        <v/>
      </c>
    </row>
    <row r="53" spans="1:6" x14ac:dyDescent="0.35">
      <c r="A53" s="30" t="str">
        <f>IF(NOT(ISBLANK(Curs!B57)),Curs!B57,"")</f>
        <v/>
      </c>
      <c r="B53" s="31" t="str">
        <f>IF(NOT(ISBLANK(Curs!C57)),Curs!C57,"")</f>
        <v/>
      </c>
      <c r="C53" s="49"/>
      <c r="D53" s="52"/>
      <c r="E53" s="52"/>
      <c r="F53" s="32" t="str">
        <f t="shared" si="0"/>
        <v/>
      </c>
    </row>
    <row r="54" spans="1:6" x14ac:dyDescent="0.35">
      <c r="A54" s="30" t="str">
        <f>IF(NOT(ISBLANK(Curs!B58)),Curs!B58,"")</f>
        <v/>
      </c>
      <c r="B54" s="31" t="str">
        <f>IF(NOT(ISBLANK(Curs!C58)),Curs!C58,"")</f>
        <v/>
      </c>
      <c r="C54" s="49"/>
      <c r="D54" s="52"/>
      <c r="E54" s="52"/>
      <c r="F54" s="32" t="str">
        <f t="shared" si="0"/>
        <v/>
      </c>
    </row>
    <row r="55" spans="1:6" x14ac:dyDescent="0.35">
      <c r="A55" s="30" t="str">
        <f>IF(NOT(ISBLANK(Curs!B59)),Curs!B59,"")</f>
        <v/>
      </c>
      <c r="B55" s="31" t="str">
        <f>IF(NOT(ISBLANK(Curs!C59)),Curs!C59,"")</f>
        <v/>
      </c>
      <c r="C55" s="49"/>
      <c r="D55" s="52"/>
      <c r="E55" s="52"/>
      <c r="F55" s="32" t="str">
        <f t="shared" si="0"/>
        <v/>
      </c>
    </row>
    <row r="56" spans="1:6" x14ac:dyDescent="0.35">
      <c r="A56" s="30" t="str">
        <f>IF(NOT(ISBLANK(Curs!B60)),Curs!B60,"")</f>
        <v/>
      </c>
      <c r="B56" s="31" t="str">
        <f>IF(NOT(ISBLANK(Curs!C60)),Curs!C60,"")</f>
        <v/>
      </c>
      <c r="C56" s="49"/>
      <c r="D56" s="52"/>
      <c r="E56" s="52"/>
      <c r="F56" s="32" t="str">
        <f t="shared" si="0"/>
        <v/>
      </c>
    </row>
    <row r="57" spans="1:6" x14ac:dyDescent="0.35">
      <c r="A57" s="30" t="str">
        <f>IF(NOT(ISBLANK(Curs!B61)),Curs!B61,"")</f>
        <v/>
      </c>
      <c r="B57" s="31" t="str">
        <f>IF(NOT(ISBLANK(Curs!C61)),Curs!C61,"")</f>
        <v/>
      </c>
      <c r="C57" s="49"/>
      <c r="D57" s="52"/>
      <c r="E57" s="52"/>
      <c r="F57" s="32" t="str">
        <f t="shared" si="0"/>
        <v/>
      </c>
    </row>
    <row r="58" spans="1:6" x14ac:dyDescent="0.35">
      <c r="A58" s="30" t="str">
        <f>IF(NOT(ISBLANK(Curs!B62)),Curs!B62,"")</f>
        <v/>
      </c>
      <c r="B58" s="31" t="str">
        <f>IF(NOT(ISBLANK(Curs!C62)),Curs!C62,"")</f>
        <v/>
      </c>
      <c r="C58" s="49"/>
      <c r="D58" s="52"/>
      <c r="E58" s="52"/>
      <c r="F58" s="32" t="str">
        <f t="shared" si="0"/>
        <v/>
      </c>
    </row>
    <row r="59" spans="1:6" x14ac:dyDescent="0.35">
      <c r="A59" s="30" t="str">
        <f>IF(NOT(ISBLANK(Curs!B63)),Curs!B63,"")</f>
        <v/>
      </c>
      <c r="B59" s="31" t="str">
        <f>IF(NOT(ISBLANK(Curs!C63)),Curs!C63,"")</f>
        <v/>
      </c>
      <c r="C59" s="49"/>
      <c r="D59" s="52"/>
      <c r="E59" s="52"/>
      <c r="F59" s="32" t="str">
        <f t="shared" si="0"/>
        <v/>
      </c>
    </row>
    <row r="60" spans="1:6" x14ac:dyDescent="0.35">
      <c r="A60" s="30" t="str">
        <f>IF(NOT(ISBLANK(Curs!B64)),Curs!B64,"")</f>
        <v/>
      </c>
      <c r="B60" s="31" t="str">
        <f>IF(NOT(ISBLANK(Curs!C64)),Curs!C64,"")</f>
        <v/>
      </c>
      <c r="C60" s="49"/>
      <c r="D60" s="52"/>
      <c r="E60" s="52"/>
      <c r="F60" s="32" t="str">
        <f t="shared" si="0"/>
        <v/>
      </c>
    </row>
    <row r="61" spans="1:6" x14ac:dyDescent="0.35">
      <c r="A61" s="30" t="str">
        <f>IF(NOT(ISBLANK(Curs!B65)),Curs!B65,"")</f>
        <v/>
      </c>
      <c r="B61" s="31" t="str">
        <f>IF(NOT(ISBLANK(Curs!C65)),Curs!C65,"")</f>
        <v/>
      </c>
      <c r="C61" s="49"/>
      <c r="D61" s="52"/>
      <c r="E61" s="52"/>
      <c r="F61" s="32" t="str">
        <f t="shared" si="0"/>
        <v/>
      </c>
    </row>
    <row r="62" spans="1:6" x14ac:dyDescent="0.35">
      <c r="A62" s="30" t="str">
        <f>IF(NOT(ISBLANK(Curs!B66)),Curs!B66,"")</f>
        <v/>
      </c>
      <c r="B62" s="31" t="str">
        <f>IF(NOT(ISBLANK(Curs!C66)),Curs!C66,"")</f>
        <v/>
      </c>
      <c r="C62" s="49"/>
      <c r="D62" s="52"/>
      <c r="E62" s="52"/>
      <c r="F62" s="32" t="str">
        <f t="shared" si="0"/>
        <v/>
      </c>
    </row>
    <row r="63" spans="1:6" x14ac:dyDescent="0.35">
      <c r="A63" s="30" t="str">
        <f>IF(NOT(ISBLANK(Curs!B67)),Curs!B67,"")</f>
        <v/>
      </c>
      <c r="B63" s="31" t="str">
        <f>IF(NOT(ISBLANK(Curs!C67)),Curs!C67,"")</f>
        <v/>
      </c>
      <c r="C63" s="49"/>
      <c r="D63" s="52"/>
      <c r="E63" s="52"/>
      <c r="F63" s="32" t="str">
        <f t="shared" si="0"/>
        <v/>
      </c>
    </row>
    <row r="64" spans="1:6" x14ac:dyDescent="0.35">
      <c r="A64" s="30" t="str">
        <f>IF(NOT(ISBLANK(Curs!B68)),Curs!B68,"")</f>
        <v/>
      </c>
      <c r="B64" s="31" t="str">
        <f>IF(NOT(ISBLANK(Curs!C68)),Curs!C68,"")</f>
        <v/>
      </c>
      <c r="C64" s="49"/>
      <c r="D64" s="52"/>
      <c r="E64" s="52"/>
      <c r="F64" s="32" t="str">
        <f t="shared" si="0"/>
        <v/>
      </c>
    </row>
    <row r="65" spans="1:6" x14ac:dyDescent="0.35">
      <c r="A65" s="30" t="str">
        <f>IF(NOT(ISBLANK(Curs!B69)),Curs!B69,"")</f>
        <v/>
      </c>
      <c r="B65" s="31" t="str">
        <f>IF(NOT(ISBLANK(Curs!C69)),Curs!C69,"")</f>
        <v/>
      </c>
      <c r="C65" s="49"/>
      <c r="D65" s="52"/>
      <c r="E65" s="52"/>
      <c r="F65" s="32" t="str">
        <f t="shared" si="0"/>
        <v/>
      </c>
    </row>
    <row r="66" spans="1:6" x14ac:dyDescent="0.35">
      <c r="A66" s="30" t="str">
        <f>IF(NOT(ISBLANK(Curs!B70)),Curs!B70,"")</f>
        <v/>
      </c>
      <c r="B66" s="31" t="str">
        <f>IF(NOT(ISBLANK(Curs!C70)),Curs!C70,"")</f>
        <v/>
      </c>
      <c r="C66" s="49"/>
      <c r="D66" s="52"/>
      <c r="E66" s="52"/>
      <c r="F66" s="32" t="str">
        <f t="shared" si="0"/>
        <v/>
      </c>
    </row>
    <row r="67" spans="1:6" x14ac:dyDescent="0.35">
      <c r="A67" s="30" t="str">
        <f>IF(NOT(ISBLANK(Curs!B71)),Curs!B71,"")</f>
        <v/>
      </c>
      <c r="B67" s="31" t="str">
        <f>IF(NOT(ISBLANK(Curs!C71)),Curs!C71,"")</f>
        <v/>
      </c>
      <c r="C67" s="49"/>
      <c r="D67" s="52"/>
      <c r="E67" s="52"/>
      <c r="F67" s="32" t="str">
        <f t="shared" ref="F67:F105" si="2">IF(B67="","",
IF(AND(NOT(ISBLANK(D67)),NOT(ISBLANK(E67)),D67&gt;=5,E67&gt;=5),ROUND(AVERAGE(D67:E67),0),"n/p"))</f>
        <v/>
      </c>
    </row>
    <row r="68" spans="1:6" x14ac:dyDescent="0.35">
      <c r="A68" s="30" t="str">
        <f>IF(NOT(ISBLANK(Curs!B72)),Curs!B72,"")</f>
        <v/>
      </c>
      <c r="B68" s="31" t="str">
        <f>IF(NOT(ISBLANK(Curs!C72)),Curs!C72,"")</f>
        <v/>
      </c>
      <c r="C68" s="49"/>
      <c r="D68" s="52"/>
      <c r="E68" s="52"/>
      <c r="F68" s="32" t="str">
        <f t="shared" si="2"/>
        <v/>
      </c>
    </row>
    <row r="69" spans="1:6" x14ac:dyDescent="0.35">
      <c r="A69" s="30" t="str">
        <f>IF(NOT(ISBLANK(Curs!B73)),Curs!B73,"")</f>
        <v/>
      </c>
      <c r="B69" s="31" t="str">
        <f>IF(NOT(ISBLANK(Curs!C73)),Curs!C73,"")</f>
        <v/>
      </c>
      <c r="C69" s="49"/>
      <c r="D69" s="52"/>
      <c r="E69" s="52"/>
      <c r="F69" s="32" t="str">
        <f t="shared" si="2"/>
        <v/>
      </c>
    </row>
    <row r="70" spans="1:6" x14ac:dyDescent="0.35">
      <c r="A70" s="30" t="str">
        <f>IF(NOT(ISBLANK(Curs!B74)),Curs!B74,"")</f>
        <v/>
      </c>
      <c r="B70" s="31" t="str">
        <f>IF(NOT(ISBLANK(Curs!C74)),Curs!C74,"")</f>
        <v/>
      </c>
      <c r="C70" s="49"/>
      <c r="D70" s="52"/>
      <c r="E70" s="52"/>
      <c r="F70" s="32" t="str">
        <f t="shared" si="2"/>
        <v/>
      </c>
    </row>
    <row r="71" spans="1:6" x14ac:dyDescent="0.35">
      <c r="A71" s="30" t="str">
        <f>IF(NOT(ISBLANK(Curs!B75)),Curs!B75,"")</f>
        <v/>
      </c>
      <c r="B71" s="31" t="str">
        <f>IF(NOT(ISBLANK(Curs!C75)),Curs!C75,"")</f>
        <v/>
      </c>
      <c r="C71" s="49"/>
      <c r="D71" s="52"/>
      <c r="E71" s="52"/>
      <c r="F71" s="32" t="str">
        <f t="shared" si="2"/>
        <v/>
      </c>
    </row>
    <row r="72" spans="1:6" x14ac:dyDescent="0.35">
      <c r="A72" s="30" t="str">
        <f>IF(NOT(ISBLANK(Curs!B76)),Curs!B76,"")</f>
        <v/>
      </c>
      <c r="B72" s="31" t="str">
        <f>IF(NOT(ISBLANK(Curs!C76)),Curs!C76,"")</f>
        <v/>
      </c>
      <c r="C72" s="49"/>
      <c r="D72" s="52"/>
      <c r="E72" s="52"/>
      <c r="F72" s="32" t="str">
        <f t="shared" si="2"/>
        <v/>
      </c>
    </row>
    <row r="73" spans="1:6" x14ac:dyDescent="0.35">
      <c r="A73" s="30" t="str">
        <f>IF(NOT(ISBLANK(Curs!B77)),Curs!B77,"")</f>
        <v/>
      </c>
      <c r="B73" s="31" t="str">
        <f>IF(NOT(ISBLANK(Curs!C77)),Curs!C77,"")</f>
        <v/>
      </c>
      <c r="C73" s="49"/>
      <c r="D73" s="52"/>
      <c r="E73" s="52"/>
      <c r="F73" s="32" t="str">
        <f t="shared" si="2"/>
        <v/>
      </c>
    </row>
    <row r="74" spans="1:6" x14ac:dyDescent="0.35">
      <c r="A74" s="30" t="str">
        <f>IF(NOT(ISBLANK(Curs!B78)),Curs!B78,"")</f>
        <v/>
      </c>
      <c r="B74" s="31" t="str">
        <f>IF(NOT(ISBLANK(Curs!C78)),Curs!C78,"")</f>
        <v/>
      </c>
      <c r="C74" s="49"/>
      <c r="D74" s="52"/>
      <c r="E74" s="52"/>
      <c r="F74" s="32" t="str">
        <f t="shared" si="2"/>
        <v/>
      </c>
    </row>
    <row r="75" spans="1:6" x14ac:dyDescent="0.35">
      <c r="A75" s="30" t="str">
        <f>IF(NOT(ISBLANK(Curs!B79)),Curs!B79,"")</f>
        <v/>
      </c>
      <c r="B75" s="31" t="str">
        <f>IF(NOT(ISBLANK(Curs!C79)),Curs!C79,"")</f>
        <v/>
      </c>
      <c r="C75" s="49"/>
      <c r="D75" s="52"/>
      <c r="E75" s="52"/>
      <c r="F75" s="32" t="str">
        <f t="shared" si="2"/>
        <v/>
      </c>
    </row>
    <row r="76" spans="1:6" x14ac:dyDescent="0.35">
      <c r="A76" s="30" t="str">
        <f>IF(NOT(ISBLANK(Curs!B80)),Curs!B80,"")</f>
        <v/>
      </c>
      <c r="B76" s="31" t="str">
        <f>IF(NOT(ISBLANK(Curs!C80)),Curs!C80,"")</f>
        <v/>
      </c>
      <c r="C76" s="49"/>
      <c r="D76" s="52"/>
      <c r="E76" s="52"/>
      <c r="F76" s="32" t="str">
        <f t="shared" si="2"/>
        <v/>
      </c>
    </row>
    <row r="77" spans="1:6" x14ac:dyDescent="0.35">
      <c r="A77" s="30" t="str">
        <f>IF(NOT(ISBLANK(Curs!B81)),Curs!B81,"")</f>
        <v/>
      </c>
      <c r="B77" s="31" t="str">
        <f>IF(NOT(ISBLANK(Curs!C81)),Curs!C81,"")</f>
        <v/>
      </c>
      <c r="C77" s="49"/>
      <c r="D77" s="52"/>
      <c r="E77" s="52"/>
      <c r="F77" s="32" t="str">
        <f t="shared" si="2"/>
        <v/>
      </c>
    </row>
    <row r="78" spans="1:6" x14ac:dyDescent="0.35">
      <c r="A78" s="30" t="str">
        <f>IF(NOT(ISBLANK(Curs!B82)),Curs!B82,"")</f>
        <v/>
      </c>
      <c r="B78" s="31" t="str">
        <f>IF(NOT(ISBLANK(Curs!C82)),Curs!C82,"")</f>
        <v/>
      </c>
      <c r="C78" s="49"/>
      <c r="D78" s="52"/>
      <c r="E78" s="52"/>
      <c r="F78" s="32" t="str">
        <f t="shared" si="2"/>
        <v/>
      </c>
    </row>
    <row r="79" spans="1:6" x14ac:dyDescent="0.35">
      <c r="A79" s="30" t="str">
        <f>IF(NOT(ISBLANK(Curs!B83)),Curs!B83,"")</f>
        <v/>
      </c>
      <c r="B79" s="31" t="str">
        <f>IF(NOT(ISBLANK(Curs!C83)),Curs!C83,"")</f>
        <v/>
      </c>
      <c r="C79" s="49"/>
      <c r="D79" s="52"/>
      <c r="E79" s="52"/>
      <c r="F79" s="32" t="str">
        <f t="shared" si="2"/>
        <v/>
      </c>
    </row>
    <row r="80" spans="1:6" x14ac:dyDescent="0.35">
      <c r="A80" s="30" t="str">
        <f>IF(NOT(ISBLANK(Curs!B84)),Curs!B84,"")</f>
        <v/>
      </c>
      <c r="B80" s="31" t="str">
        <f>IF(NOT(ISBLANK(Curs!C84)),Curs!C84,"")</f>
        <v/>
      </c>
      <c r="C80" s="49"/>
      <c r="D80" s="52"/>
      <c r="E80" s="52"/>
      <c r="F80" s="32" t="str">
        <f t="shared" si="2"/>
        <v/>
      </c>
    </row>
    <row r="81" spans="1:6" x14ac:dyDescent="0.35">
      <c r="A81" s="30" t="str">
        <f>IF(NOT(ISBLANK(Curs!B85)),Curs!B85,"")</f>
        <v/>
      </c>
      <c r="B81" s="31" t="str">
        <f>IF(NOT(ISBLANK(Curs!C85)),Curs!C85,"")</f>
        <v/>
      </c>
      <c r="C81" s="49"/>
      <c r="D81" s="52"/>
      <c r="E81" s="52"/>
      <c r="F81" s="32" t="str">
        <f t="shared" si="2"/>
        <v/>
      </c>
    </row>
    <row r="82" spans="1:6" x14ac:dyDescent="0.35">
      <c r="A82" s="30" t="str">
        <f>IF(NOT(ISBLANK(Curs!B86)),Curs!B86,"")</f>
        <v/>
      </c>
      <c r="B82" s="31" t="str">
        <f>IF(NOT(ISBLANK(Curs!C86)),Curs!C86,"")</f>
        <v/>
      </c>
      <c r="C82" s="49"/>
      <c r="D82" s="52"/>
      <c r="E82" s="52"/>
      <c r="F82" s="32" t="str">
        <f t="shared" si="2"/>
        <v/>
      </c>
    </row>
    <row r="83" spans="1:6" x14ac:dyDescent="0.35">
      <c r="A83" s="30" t="str">
        <f>IF(NOT(ISBLANK(Curs!B87)),Curs!B87,"")</f>
        <v/>
      </c>
      <c r="B83" s="31" t="str">
        <f>IF(NOT(ISBLANK(Curs!C87)),Curs!C87,"")</f>
        <v/>
      </c>
      <c r="C83" s="49"/>
      <c r="D83" s="52"/>
      <c r="E83" s="52"/>
      <c r="F83" s="32" t="str">
        <f t="shared" si="2"/>
        <v/>
      </c>
    </row>
    <row r="84" spans="1:6" x14ac:dyDescent="0.35">
      <c r="A84" s="30" t="str">
        <f>IF(NOT(ISBLANK(Curs!B88)),Curs!B88,"")</f>
        <v/>
      </c>
      <c r="B84" s="31" t="str">
        <f>IF(NOT(ISBLANK(Curs!C88)),Curs!C88,"")</f>
        <v/>
      </c>
      <c r="C84" s="49"/>
      <c r="D84" s="52"/>
      <c r="E84" s="52"/>
      <c r="F84" s="32" t="str">
        <f t="shared" si="2"/>
        <v/>
      </c>
    </row>
    <row r="85" spans="1:6" x14ac:dyDescent="0.35">
      <c r="A85" s="30" t="str">
        <f>IF(NOT(ISBLANK(Curs!B89)),Curs!B89,"")</f>
        <v/>
      </c>
      <c r="B85" s="31" t="str">
        <f>IF(NOT(ISBLANK(Curs!C89)),Curs!C89,"")</f>
        <v/>
      </c>
      <c r="C85" s="49"/>
      <c r="D85" s="52"/>
      <c r="E85" s="52"/>
      <c r="F85" s="32" t="str">
        <f t="shared" si="2"/>
        <v/>
      </c>
    </row>
    <row r="86" spans="1:6" x14ac:dyDescent="0.35">
      <c r="A86" s="30" t="str">
        <f>IF(NOT(ISBLANK(Curs!B90)),Curs!B90,"")</f>
        <v/>
      </c>
      <c r="B86" s="31" t="str">
        <f>IF(NOT(ISBLANK(Curs!C90)),Curs!C90,"")</f>
        <v/>
      </c>
      <c r="C86" s="49"/>
      <c r="D86" s="52"/>
      <c r="E86" s="52"/>
      <c r="F86" s="32" t="str">
        <f t="shared" si="2"/>
        <v/>
      </c>
    </row>
    <row r="87" spans="1:6" x14ac:dyDescent="0.35">
      <c r="A87" s="30" t="str">
        <f>IF(NOT(ISBLANK(Curs!B91)),Curs!B91,"")</f>
        <v/>
      </c>
      <c r="B87" s="31" t="str">
        <f>IF(NOT(ISBLANK(Curs!C91)),Curs!C91,"")</f>
        <v/>
      </c>
      <c r="C87" s="49"/>
      <c r="D87" s="52"/>
      <c r="E87" s="52"/>
      <c r="F87" s="32" t="str">
        <f t="shared" si="2"/>
        <v/>
      </c>
    </row>
    <row r="88" spans="1:6" x14ac:dyDescent="0.35">
      <c r="A88" s="30" t="str">
        <f>IF(NOT(ISBLANK(Curs!B92)),Curs!B92,"")</f>
        <v/>
      </c>
      <c r="B88" s="31" t="str">
        <f>IF(NOT(ISBLANK(Curs!C92)),Curs!C92,"")</f>
        <v/>
      </c>
      <c r="C88" s="49"/>
      <c r="D88" s="52"/>
      <c r="E88" s="52"/>
      <c r="F88" s="32" t="str">
        <f t="shared" si="2"/>
        <v/>
      </c>
    </row>
    <row r="89" spans="1:6" x14ac:dyDescent="0.35">
      <c r="A89" s="30" t="str">
        <f>IF(NOT(ISBLANK(Curs!B93)),Curs!B93,"")</f>
        <v/>
      </c>
      <c r="B89" s="31" t="str">
        <f>IF(NOT(ISBLANK(Curs!C93)),Curs!C93,"")</f>
        <v/>
      </c>
      <c r="C89" s="49"/>
      <c r="D89" s="52"/>
      <c r="E89" s="52"/>
      <c r="F89" s="32" t="str">
        <f t="shared" si="2"/>
        <v/>
      </c>
    </row>
    <row r="90" spans="1:6" x14ac:dyDescent="0.35">
      <c r="A90" s="30" t="str">
        <f>IF(NOT(ISBLANK(Curs!B94)),Curs!B94,"")</f>
        <v/>
      </c>
      <c r="B90" s="31" t="str">
        <f>IF(NOT(ISBLANK(Curs!C94)),Curs!C94,"")</f>
        <v/>
      </c>
      <c r="C90" s="49"/>
      <c r="D90" s="52"/>
      <c r="E90" s="52"/>
      <c r="F90" s="32" t="str">
        <f t="shared" si="2"/>
        <v/>
      </c>
    </row>
    <row r="91" spans="1:6" x14ac:dyDescent="0.35">
      <c r="A91" s="30" t="str">
        <f>IF(NOT(ISBLANK(Curs!B95)),Curs!B95,"")</f>
        <v/>
      </c>
      <c r="B91" s="31" t="str">
        <f>IF(NOT(ISBLANK(Curs!C95)),Curs!C95,"")</f>
        <v/>
      </c>
      <c r="C91" s="49"/>
      <c r="D91" s="52"/>
      <c r="E91" s="52"/>
      <c r="F91" s="32" t="str">
        <f t="shared" si="2"/>
        <v/>
      </c>
    </row>
    <row r="92" spans="1:6" x14ac:dyDescent="0.35">
      <c r="A92" s="30" t="str">
        <f>IF(NOT(ISBLANK(Curs!B96)),Curs!B96,"")</f>
        <v/>
      </c>
      <c r="B92" s="31" t="str">
        <f>IF(NOT(ISBLANK(Curs!C96)),Curs!C96,"")</f>
        <v/>
      </c>
      <c r="C92" s="49"/>
      <c r="D92" s="52"/>
      <c r="E92" s="52"/>
      <c r="F92" s="32" t="str">
        <f t="shared" si="2"/>
        <v/>
      </c>
    </row>
    <row r="93" spans="1:6" x14ac:dyDescent="0.35">
      <c r="A93" s="30" t="str">
        <f>IF(NOT(ISBLANK(Curs!B97)),Curs!B97,"")</f>
        <v/>
      </c>
      <c r="B93" s="31" t="str">
        <f>IF(NOT(ISBLANK(Curs!C97)),Curs!C97,"")</f>
        <v/>
      </c>
      <c r="C93" s="49"/>
      <c r="D93" s="52"/>
      <c r="E93" s="52"/>
      <c r="F93" s="32" t="str">
        <f t="shared" si="2"/>
        <v/>
      </c>
    </row>
    <row r="94" spans="1:6" x14ac:dyDescent="0.35">
      <c r="A94" s="30" t="str">
        <f>IF(NOT(ISBLANK(Curs!B98)),Curs!B98,"")</f>
        <v/>
      </c>
      <c r="B94" s="31" t="str">
        <f>IF(NOT(ISBLANK(Curs!C98)),Curs!C98,"")</f>
        <v/>
      </c>
      <c r="C94" s="49"/>
      <c r="D94" s="52"/>
      <c r="E94" s="52"/>
      <c r="F94" s="32" t="str">
        <f t="shared" si="2"/>
        <v/>
      </c>
    </row>
    <row r="95" spans="1:6" x14ac:dyDescent="0.35">
      <c r="A95" s="30" t="str">
        <f>IF(NOT(ISBLANK(Curs!B99)),Curs!B99,"")</f>
        <v/>
      </c>
      <c r="B95" s="31" t="str">
        <f>IF(NOT(ISBLANK(Curs!C99)),Curs!C99,"")</f>
        <v/>
      </c>
      <c r="C95" s="49"/>
      <c r="D95" s="52"/>
      <c r="E95" s="52"/>
      <c r="F95" s="32" t="str">
        <f t="shared" si="2"/>
        <v/>
      </c>
    </row>
    <row r="96" spans="1:6" x14ac:dyDescent="0.35">
      <c r="A96" s="30" t="str">
        <f>IF(NOT(ISBLANK(Curs!B100)),Curs!B100,"")</f>
        <v/>
      </c>
      <c r="B96" s="31" t="str">
        <f>IF(NOT(ISBLANK(Curs!C100)),Curs!C100,"")</f>
        <v/>
      </c>
      <c r="C96" s="49"/>
      <c r="D96" s="52"/>
      <c r="E96" s="52"/>
      <c r="F96" s="32" t="str">
        <f t="shared" si="2"/>
        <v/>
      </c>
    </row>
    <row r="97" spans="1:6" x14ac:dyDescent="0.35">
      <c r="A97" s="30" t="str">
        <f>IF(NOT(ISBLANK(Curs!B101)),Curs!B101,"")</f>
        <v/>
      </c>
      <c r="B97" s="31" t="str">
        <f>IF(NOT(ISBLANK(Curs!C101)),Curs!C101,"")</f>
        <v/>
      </c>
      <c r="C97" s="49"/>
      <c r="D97" s="52"/>
      <c r="E97" s="52"/>
      <c r="F97" s="32" t="str">
        <f t="shared" si="2"/>
        <v/>
      </c>
    </row>
    <row r="98" spans="1:6" x14ac:dyDescent="0.35">
      <c r="A98" s="30" t="str">
        <f>IF(NOT(ISBLANK(Curs!B102)),Curs!B102,"")</f>
        <v/>
      </c>
      <c r="B98" s="31" t="str">
        <f>IF(NOT(ISBLANK(Curs!C102)),Curs!C102,"")</f>
        <v/>
      </c>
      <c r="C98" s="49"/>
      <c r="D98" s="52"/>
      <c r="E98" s="52"/>
      <c r="F98" s="32" t="str">
        <f t="shared" si="2"/>
        <v/>
      </c>
    </row>
    <row r="99" spans="1:6" x14ac:dyDescent="0.35">
      <c r="A99" s="30" t="str">
        <f>IF(NOT(ISBLANK(Curs!B103)),Curs!B103,"")</f>
        <v/>
      </c>
      <c r="B99" s="31" t="str">
        <f>IF(NOT(ISBLANK(Curs!C103)),Curs!C103,"")</f>
        <v/>
      </c>
      <c r="C99" s="49"/>
      <c r="D99" s="52"/>
      <c r="E99" s="52"/>
      <c r="F99" s="32" t="str">
        <f t="shared" si="2"/>
        <v/>
      </c>
    </row>
    <row r="100" spans="1:6" x14ac:dyDescent="0.35">
      <c r="A100" s="30" t="str">
        <f>IF(NOT(ISBLANK(Curs!B104)),Curs!B104,"")</f>
        <v/>
      </c>
      <c r="B100" s="31" t="str">
        <f>IF(NOT(ISBLANK(Curs!C104)),Curs!C104,"")</f>
        <v/>
      </c>
      <c r="C100" s="49"/>
      <c r="D100" s="52"/>
      <c r="E100" s="52"/>
      <c r="F100" s="32" t="str">
        <f t="shared" si="2"/>
        <v/>
      </c>
    </row>
    <row r="101" spans="1:6" x14ac:dyDescent="0.35">
      <c r="A101" s="30" t="str">
        <f>IF(NOT(ISBLANK(Curs!B105)),Curs!B105,"")</f>
        <v/>
      </c>
      <c r="B101" s="31" t="str">
        <f>IF(NOT(ISBLANK(Curs!C105)),Curs!C105,"")</f>
        <v/>
      </c>
      <c r="C101" s="49"/>
      <c r="D101" s="52"/>
      <c r="E101" s="52"/>
      <c r="F101" s="32" t="str">
        <f t="shared" si="2"/>
        <v/>
      </c>
    </row>
    <row r="102" spans="1:6" x14ac:dyDescent="0.35">
      <c r="A102" s="30" t="str">
        <f>IF(NOT(ISBLANK(Curs!B106)),Curs!B106,"")</f>
        <v/>
      </c>
      <c r="B102" s="31" t="str">
        <f>IF(NOT(ISBLANK(Curs!C106)),Curs!C106,"")</f>
        <v/>
      </c>
      <c r="C102" s="49"/>
      <c r="D102" s="52"/>
      <c r="E102" s="52"/>
      <c r="F102" s="32" t="str">
        <f t="shared" si="2"/>
        <v/>
      </c>
    </row>
    <row r="103" spans="1:6" x14ac:dyDescent="0.35">
      <c r="A103" s="30" t="str">
        <f>IF(NOT(ISBLANK(Curs!B107)),Curs!B107,"")</f>
        <v/>
      </c>
      <c r="B103" s="31" t="str">
        <f>IF(NOT(ISBLANK(Curs!C107)),Curs!C107,"")</f>
        <v/>
      </c>
      <c r="C103" s="49"/>
      <c r="D103" s="52"/>
      <c r="E103" s="52"/>
      <c r="F103" s="32" t="str">
        <f t="shared" si="2"/>
        <v/>
      </c>
    </row>
    <row r="104" spans="1:6" x14ac:dyDescent="0.35">
      <c r="A104" s="30" t="str">
        <f>IF(NOT(ISBLANK(Curs!B108)),Curs!B108,"")</f>
        <v/>
      </c>
      <c r="B104" s="31" t="str">
        <f>IF(NOT(ISBLANK(Curs!C108)),Curs!C108,"")</f>
        <v/>
      </c>
      <c r="C104" s="49"/>
      <c r="D104" s="52"/>
      <c r="E104" s="52"/>
      <c r="F104" s="32" t="str">
        <f t="shared" si="2"/>
        <v/>
      </c>
    </row>
    <row r="105" spans="1:6" x14ac:dyDescent="0.35">
      <c r="A105" s="30" t="str">
        <f>IF(NOT(ISBLANK(Curs!B109)),Curs!B109,"")</f>
        <v/>
      </c>
      <c r="B105" s="31" t="str">
        <f>IF(NOT(ISBLANK(Curs!C109)),Curs!C109,"")</f>
        <v/>
      </c>
      <c r="C105" s="49"/>
      <c r="D105" s="52"/>
      <c r="E105" s="52"/>
      <c r="F105" s="32" t="str">
        <f t="shared" si="2"/>
        <v/>
      </c>
    </row>
  </sheetData>
  <mergeCells count="1">
    <mergeCell ref="H1:I1"/>
  </mergeCells>
  <phoneticPr fontId="3" type="noConversion"/>
  <pageMargins left="0.7" right="0.7" top="0.75" bottom="0.75" header="0.3" footer="0.3"/>
  <ignoredErrors>
    <ignoredError sqref="C2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T105"/>
  <sheetViews>
    <sheetView topLeftCell="B1" zoomScale="85" zoomScaleNormal="85" workbookViewId="0">
      <selection activeCell="J19" sqref="J19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25</v>
      </c>
      <c r="D1" s="21" t="s">
        <v>26</v>
      </c>
      <c r="E1" s="21" t="s">
        <v>27</v>
      </c>
      <c r="F1" s="21" t="s">
        <v>28</v>
      </c>
      <c r="G1" s="21" t="s">
        <v>175</v>
      </c>
      <c r="H1" s="25" t="s">
        <v>34</v>
      </c>
      <c r="I1" s="5" t="s">
        <v>29</v>
      </c>
      <c r="J1" s="6" t="s">
        <v>30</v>
      </c>
      <c r="K1" s="7"/>
      <c r="L1" s="6"/>
      <c r="M1" s="207" t="s">
        <v>67</v>
      </c>
      <c r="N1" s="207"/>
      <c r="O1" s="8"/>
      <c r="P1" s="9"/>
      <c r="Q1" s="9"/>
      <c r="R1" s="9"/>
      <c r="S1" s="9"/>
      <c r="T1" s="9"/>
    </row>
    <row r="2" spans="1:20" ht="18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24"/>
      <c r="G2" s="10"/>
      <c r="H2" s="24">
        <f>IF(B2="","",ROUND(SUM(C2:G2),0))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IF(AND(H2&gt;=$J$11,H2&lt;=$K$11),$L$11)))))))))))</f>
        <v>n/p</v>
      </c>
      <c r="J2" s="6" t="s">
        <v>32</v>
      </c>
      <c r="K2" s="6"/>
      <c r="L2" s="12" t="s">
        <v>29</v>
      </c>
      <c r="M2" s="27" t="s">
        <v>29</v>
      </c>
      <c r="N2" s="27" t="s">
        <v>31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24"/>
      <c r="G3" s="10"/>
      <c r="H3" s="24" t="str">
        <f t="shared" ref="H3:H66" si="0">IF(B3="","",ROUND(SUM(C3:G3),0))</f>
        <v/>
      </c>
      <c r="I3" s="23" t="str">
        <f t="shared" ref="I3:I66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24"/>
      <c r="G4" s="10"/>
      <c r="H4" s="24" t="str">
        <f t="shared" si="0"/>
        <v/>
      </c>
      <c r="I4" s="23" t="str">
        <f t="shared" si="1"/>
        <v/>
      </c>
      <c r="J4" s="22">
        <v>4</v>
      </c>
      <c r="K4" s="22">
        <v>5</v>
      </c>
      <c r="L4" s="12">
        <v>3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24"/>
      <c r="G5" s="10"/>
      <c r="H5" s="24" t="str">
        <f t="shared" si="0"/>
        <v/>
      </c>
      <c r="I5" s="23" t="str">
        <f t="shared" si="1"/>
        <v/>
      </c>
      <c r="J5" s="22">
        <v>6</v>
      </c>
      <c r="K5" s="22">
        <v>9</v>
      </c>
      <c r="L5" s="12">
        <v>4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24"/>
      <c r="G6" s="10"/>
      <c r="H6" s="24" t="str">
        <f t="shared" si="0"/>
        <v/>
      </c>
      <c r="I6" s="23" t="str">
        <f t="shared" si="1"/>
        <v/>
      </c>
      <c r="J6" s="22">
        <v>10</v>
      </c>
      <c r="K6" s="22">
        <v>13</v>
      </c>
      <c r="L6" s="12">
        <v>5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24"/>
      <c r="G7" s="10"/>
      <c r="H7" s="24" t="str">
        <f t="shared" si="0"/>
        <v/>
      </c>
      <c r="I7" s="23" t="str">
        <f t="shared" si="1"/>
        <v/>
      </c>
      <c r="J7" s="22">
        <v>14</v>
      </c>
      <c r="K7" s="22">
        <v>18</v>
      </c>
      <c r="L7" s="12">
        <v>6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24"/>
      <c r="G8" s="10"/>
      <c r="H8" s="24" t="str">
        <f t="shared" si="0"/>
        <v/>
      </c>
      <c r="I8" s="23" t="str">
        <f t="shared" si="1"/>
        <v/>
      </c>
      <c r="J8" s="22">
        <v>19</v>
      </c>
      <c r="K8" s="22">
        <v>22</v>
      </c>
      <c r="L8" s="12">
        <v>7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24"/>
      <c r="G9" s="10"/>
      <c r="H9" s="24" t="str">
        <f t="shared" si="0"/>
        <v/>
      </c>
      <c r="I9" s="23" t="str">
        <f t="shared" si="1"/>
        <v/>
      </c>
      <c r="J9" s="22">
        <v>23</v>
      </c>
      <c r="K9" s="22">
        <v>26</v>
      </c>
      <c r="L9" s="12">
        <v>8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24"/>
      <c r="G10" s="10"/>
      <c r="H10" s="24" t="str">
        <f t="shared" si="0"/>
        <v/>
      </c>
      <c r="I10" s="23" t="str">
        <f t="shared" si="1"/>
        <v/>
      </c>
      <c r="J10" s="22">
        <v>27</v>
      </c>
      <c r="K10" s="22">
        <v>28</v>
      </c>
      <c r="L10" s="12">
        <v>9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24"/>
      <c r="G11" s="10"/>
      <c r="H11" s="24" t="str">
        <f t="shared" si="0"/>
        <v/>
      </c>
      <c r="I11" s="23" t="str">
        <f t="shared" si="1"/>
        <v/>
      </c>
      <c r="J11" s="22">
        <v>29</v>
      </c>
      <c r="K11" s="22">
        <v>30</v>
      </c>
      <c r="L11" s="12">
        <v>10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24"/>
      <c r="G12" s="10"/>
      <c r="H12" s="24" t="str">
        <f t="shared" si="0"/>
        <v/>
      </c>
      <c r="I12" s="23" t="str">
        <f t="shared" si="1"/>
        <v/>
      </c>
      <c r="J12" s="22"/>
      <c r="K12" s="22"/>
      <c r="L12" s="12"/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24"/>
      <c r="G13" s="10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33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24"/>
      <c r="G14" s="10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24"/>
      <c r="G15" s="10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24"/>
      <c r="G16" s="10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24"/>
      <c r="G17" s="10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24"/>
      <c r="G18" s="10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24"/>
      <c r="G19" s="10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24"/>
      <c r="G20" s="10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24"/>
      <c r="G21" s="10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24"/>
      <c r="G22" s="10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24"/>
      <c r="G23" s="10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24"/>
      <c r="G24" s="10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24"/>
      <c r="G25" s="10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24"/>
      <c r="G26" s="10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24"/>
      <c r="G27" s="10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24"/>
      <c r="G28" s="10"/>
      <c r="H28" s="24" t="str">
        <f t="shared" si="0"/>
        <v/>
      </c>
      <c r="I28" s="23" t="str">
        <f t="shared" si="1"/>
        <v/>
      </c>
    </row>
    <row r="29" spans="1:18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24"/>
      <c r="G29" s="10"/>
      <c r="H29" s="24" t="str">
        <f t="shared" si="0"/>
        <v/>
      </c>
      <c r="I29" s="23" t="str">
        <f t="shared" si="1"/>
        <v/>
      </c>
    </row>
    <row r="30" spans="1:18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24"/>
      <c r="G30" s="10"/>
      <c r="H30" s="24" t="str">
        <f t="shared" si="0"/>
        <v/>
      </c>
      <c r="I30" s="23" t="str">
        <f t="shared" si="1"/>
        <v/>
      </c>
    </row>
    <row r="31" spans="1:18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24"/>
      <c r="G31" s="10"/>
      <c r="H31" s="24" t="str">
        <f t="shared" si="0"/>
        <v/>
      </c>
      <c r="I31" s="23" t="str">
        <f t="shared" si="1"/>
        <v/>
      </c>
    </row>
    <row r="32" spans="1:18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24"/>
      <c r="G32" s="10"/>
      <c r="H32" s="24" t="str">
        <f t="shared" si="0"/>
        <v/>
      </c>
      <c r="I32" s="23" t="str">
        <f t="shared" si="1"/>
        <v/>
      </c>
    </row>
    <row r="33" spans="1:9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24"/>
      <c r="G33" s="10"/>
      <c r="H33" s="24" t="str">
        <f t="shared" si="0"/>
        <v/>
      </c>
      <c r="I33" s="23" t="str">
        <f t="shared" si="1"/>
        <v/>
      </c>
    </row>
    <row r="34" spans="1:9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24"/>
      <c r="G34" s="10"/>
      <c r="H34" s="24" t="str">
        <f t="shared" si="0"/>
        <v/>
      </c>
      <c r="I34" s="23" t="str">
        <f t="shared" si="1"/>
        <v/>
      </c>
    </row>
    <row r="35" spans="1:9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24"/>
      <c r="G35" s="10"/>
      <c r="H35" s="24" t="str">
        <f t="shared" si="0"/>
        <v/>
      </c>
      <c r="I35" s="23" t="str">
        <f t="shared" si="1"/>
        <v/>
      </c>
    </row>
    <row r="36" spans="1:9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24"/>
      <c r="G36" s="10"/>
      <c r="H36" s="24" t="str">
        <f t="shared" si="0"/>
        <v/>
      </c>
      <c r="I36" s="23" t="str">
        <f t="shared" si="1"/>
        <v/>
      </c>
    </row>
    <row r="37" spans="1:9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24"/>
      <c r="G37" s="10"/>
      <c r="H37" s="24" t="str">
        <f t="shared" si="0"/>
        <v/>
      </c>
      <c r="I37" s="23" t="str">
        <f t="shared" si="1"/>
        <v/>
      </c>
    </row>
    <row r="38" spans="1:9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24"/>
      <c r="G38" s="10"/>
      <c r="H38" s="24" t="str">
        <f t="shared" si="0"/>
        <v/>
      </c>
      <c r="I38" s="23" t="str">
        <f t="shared" si="1"/>
        <v/>
      </c>
    </row>
    <row r="39" spans="1:9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24"/>
      <c r="G39" s="10"/>
      <c r="H39" s="24" t="str">
        <f t="shared" si="0"/>
        <v/>
      </c>
      <c r="I39" s="23" t="str">
        <f t="shared" si="1"/>
        <v/>
      </c>
    </row>
    <row r="40" spans="1:9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24"/>
      <c r="G40" s="10"/>
      <c r="H40" s="24" t="str">
        <f t="shared" si="0"/>
        <v/>
      </c>
      <c r="I40" s="23" t="str">
        <f t="shared" si="1"/>
        <v/>
      </c>
    </row>
    <row r="41" spans="1:9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24"/>
      <c r="G41" s="10"/>
      <c r="H41" s="24" t="str">
        <f t="shared" si="0"/>
        <v/>
      </c>
      <c r="I41" s="23" t="str">
        <f t="shared" si="1"/>
        <v/>
      </c>
    </row>
    <row r="42" spans="1:9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24"/>
      <c r="G42" s="10"/>
      <c r="H42" s="24" t="str">
        <f t="shared" si="0"/>
        <v/>
      </c>
      <c r="I42" s="23" t="str">
        <f t="shared" si="1"/>
        <v/>
      </c>
    </row>
    <row r="43" spans="1:9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24"/>
      <c r="G43" s="10"/>
      <c r="H43" s="24" t="str">
        <f t="shared" si="0"/>
        <v/>
      </c>
      <c r="I43" s="23" t="str">
        <f t="shared" si="1"/>
        <v/>
      </c>
    </row>
    <row r="44" spans="1:9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24"/>
      <c r="G44" s="10"/>
      <c r="H44" s="24" t="str">
        <f t="shared" si="0"/>
        <v/>
      </c>
      <c r="I44" s="23" t="str">
        <f t="shared" si="1"/>
        <v/>
      </c>
    </row>
    <row r="45" spans="1:9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24"/>
      <c r="G45" s="10"/>
      <c r="H45" s="24" t="str">
        <f t="shared" si="0"/>
        <v/>
      </c>
      <c r="I45" s="23" t="str">
        <f t="shared" si="1"/>
        <v/>
      </c>
    </row>
    <row r="46" spans="1:9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24"/>
      <c r="G46" s="10"/>
      <c r="H46" s="24" t="str">
        <f t="shared" si="0"/>
        <v/>
      </c>
      <c r="I46" s="23" t="str">
        <f t="shared" si="1"/>
        <v/>
      </c>
    </row>
    <row r="47" spans="1:9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24"/>
      <c r="G47" s="10"/>
      <c r="H47" s="24" t="str">
        <f t="shared" si="0"/>
        <v/>
      </c>
      <c r="I47" s="23" t="str">
        <f t="shared" si="1"/>
        <v/>
      </c>
    </row>
    <row r="48" spans="1:9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24"/>
      <c r="G48" s="10"/>
      <c r="H48" s="24" t="str">
        <f t="shared" si="0"/>
        <v/>
      </c>
      <c r="I48" s="23" t="str">
        <f t="shared" si="1"/>
        <v/>
      </c>
    </row>
    <row r="49" spans="1:9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24"/>
      <c r="G49" s="10"/>
      <c r="H49" s="24" t="str">
        <f t="shared" si="0"/>
        <v/>
      </c>
      <c r="I49" s="23" t="str">
        <f t="shared" si="1"/>
        <v/>
      </c>
    </row>
    <row r="50" spans="1:9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24"/>
      <c r="G50" s="10"/>
      <c r="H50" s="24" t="str">
        <f t="shared" si="0"/>
        <v/>
      </c>
      <c r="I50" s="23" t="str">
        <f t="shared" si="1"/>
        <v/>
      </c>
    </row>
    <row r="51" spans="1:9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24"/>
      <c r="G51" s="10"/>
      <c r="H51" s="24" t="str">
        <f t="shared" si="0"/>
        <v/>
      </c>
      <c r="I51" s="23" t="str">
        <f t="shared" si="1"/>
        <v/>
      </c>
    </row>
    <row r="52" spans="1:9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24"/>
      <c r="G52" s="10"/>
      <c r="H52" s="24" t="str">
        <f t="shared" si="0"/>
        <v/>
      </c>
      <c r="I52" s="23" t="str">
        <f t="shared" si="1"/>
        <v/>
      </c>
    </row>
    <row r="53" spans="1:9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24"/>
      <c r="G53" s="10"/>
      <c r="H53" s="24" t="str">
        <f t="shared" si="0"/>
        <v/>
      </c>
      <c r="I53" s="23" t="str">
        <f t="shared" si="1"/>
        <v/>
      </c>
    </row>
    <row r="54" spans="1:9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24"/>
      <c r="G54" s="10"/>
      <c r="H54" s="24" t="str">
        <f t="shared" si="0"/>
        <v/>
      </c>
      <c r="I54" s="23" t="str">
        <f t="shared" si="1"/>
        <v/>
      </c>
    </row>
    <row r="55" spans="1:9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24"/>
      <c r="G55" s="10"/>
      <c r="H55" s="24" t="str">
        <f t="shared" si="0"/>
        <v/>
      </c>
      <c r="I55" s="23" t="str">
        <f t="shared" si="1"/>
        <v/>
      </c>
    </row>
    <row r="56" spans="1:9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24"/>
      <c r="G56" s="10"/>
      <c r="H56" s="24" t="str">
        <f t="shared" si="0"/>
        <v/>
      </c>
      <c r="I56" s="23" t="str">
        <f t="shared" si="1"/>
        <v/>
      </c>
    </row>
    <row r="57" spans="1:9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24"/>
      <c r="G57" s="10"/>
      <c r="H57" s="24" t="str">
        <f t="shared" si="0"/>
        <v/>
      </c>
      <c r="I57" s="23" t="str">
        <f t="shared" si="1"/>
        <v/>
      </c>
    </row>
    <row r="58" spans="1:9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24"/>
      <c r="G58" s="10"/>
      <c r="H58" s="24" t="str">
        <f t="shared" si="0"/>
        <v/>
      </c>
      <c r="I58" s="23" t="str">
        <f t="shared" si="1"/>
        <v/>
      </c>
    </row>
    <row r="59" spans="1:9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24"/>
      <c r="G59" s="10"/>
      <c r="H59" s="24" t="str">
        <f t="shared" si="0"/>
        <v/>
      </c>
      <c r="I59" s="23" t="str">
        <f t="shared" si="1"/>
        <v/>
      </c>
    </row>
    <row r="60" spans="1:9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24"/>
      <c r="G60" s="10"/>
      <c r="H60" s="24" t="str">
        <f t="shared" si="0"/>
        <v/>
      </c>
      <c r="I60" s="23" t="str">
        <f t="shared" si="1"/>
        <v/>
      </c>
    </row>
    <row r="61" spans="1:9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24"/>
      <c r="G61" s="10"/>
      <c r="H61" s="24" t="str">
        <f t="shared" si="0"/>
        <v/>
      </c>
      <c r="I61" s="23" t="str">
        <f t="shared" si="1"/>
        <v/>
      </c>
    </row>
    <row r="62" spans="1:9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24"/>
      <c r="G62" s="10"/>
      <c r="H62" s="24" t="str">
        <f t="shared" si="0"/>
        <v/>
      </c>
      <c r="I62" s="23" t="str">
        <f t="shared" si="1"/>
        <v/>
      </c>
    </row>
    <row r="63" spans="1:9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24"/>
      <c r="G63" s="10"/>
      <c r="H63" s="24" t="str">
        <f t="shared" si="0"/>
        <v/>
      </c>
      <c r="I63" s="23" t="str">
        <f t="shared" si="1"/>
        <v/>
      </c>
    </row>
    <row r="64" spans="1:9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24"/>
      <c r="G64" s="10"/>
      <c r="H64" s="24" t="str">
        <f t="shared" si="0"/>
        <v/>
      </c>
      <c r="I64" s="23" t="str">
        <f t="shared" si="1"/>
        <v/>
      </c>
    </row>
    <row r="65" spans="1:9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24"/>
      <c r="G65" s="10"/>
      <c r="H65" s="24" t="str">
        <f t="shared" si="0"/>
        <v/>
      </c>
      <c r="I65" s="23" t="str">
        <f t="shared" si="1"/>
        <v/>
      </c>
    </row>
    <row r="66" spans="1:9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24"/>
      <c r="G66" s="10"/>
      <c r="H66" s="24" t="str">
        <f t="shared" si="0"/>
        <v/>
      </c>
      <c r="I66" s="23" t="str">
        <f t="shared" si="1"/>
        <v/>
      </c>
    </row>
    <row r="67" spans="1:9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24"/>
      <c r="G67" s="10"/>
      <c r="H67" s="24" t="str">
        <f t="shared" ref="H67:H105" si="3">IF(B67="","",ROUND(SUM(C67:G67),0))</f>
        <v/>
      </c>
      <c r="I67" s="23" t="str">
        <f t="shared" ref="I67:I105" si="4">IF(B67="","",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IF(AND(H67&gt;=$J$11,H67&lt;=$K$11),$L$11)))))))))))</f>
        <v/>
      </c>
    </row>
    <row r="68" spans="1:9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24"/>
      <c r="G68" s="10"/>
      <c r="H68" s="24" t="str">
        <f t="shared" si="3"/>
        <v/>
      </c>
      <c r="I68" s="23" t="str">
        <f t="shared" si="4"/>
        <v/>
      </c>
    </row>
    <row r="69" spans="1:9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24"/>
      <c r="G69" s="10"/>
      <c r="H69" s="24" t="str">
        <f t="shared" si="3"/>
        <v/>
      </c>
      <c r="I69" s="23" t="str">
        <f t="shared" si="4"/>
        <v/>
      </c>
    </row>
    <row r="70" spans="1:9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24"/>
      <c r="G70" s="10"/>
      <c r="H70" s="24" t="str">
        <f t="shared" si="3"/>
        <v/>
      </c>
      <c r="I70" s="23" t="str">
        <f t="shared" si="4"/>
        <v/>
      </c>
    </row>
    <row r="71" spans="1:9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24"/>
      <c r="G71" s="10"/>
      <c r="H71" s="24" t="str">
        <f t="shared" si="3"/>
        <v/>
      </c>
      <c r="I71" s="23" t="str">
        <f t="shared" si="4"/>
        <v/>
      </c>
    </row>
    <row r="72" spans="1:9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24"/>
      <c r="G72" s="10"/>
      <c r="H72" s="24" t="str">
        <f t="shared" si="3"/>
        <v/>
      </c>
      <c r="I72" s="23" t="str">
        <f t="shared" si="4"/>
        <v/>
      </c>
    </row>
    <row r="73" spans="1:9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24"/>
      <c r="G73" s="10"/>
      <c r="H73" s="24" t="str">
        <f t="shared" si="3"/>
        <v/>
      </c>
      <c r="I73" s="23" t="str">
        <f t="shared" si="4"/>
        <v/>
      </c>
    </row>
    <row r="74" spans="1:9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24"/>
      <c r="G74" s="10"/>
      <c r="H74" s="24" t="str">
        <f t="shared" si="3"/>
        <v/>
      </c>
      <c r="I74" s="23" t="str">
        <f t="shared" si="4"/>
        <v/>
      </c>
    </row>
    <row r="75" spans="1:9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24"/>
      <c r="G75" s="10"/>
      <c r="H75" s="24" t="str">
        <f t="shared" si="3"/>
        <v/>
      </c>
      <c r="I75" s="23" t="str">
        <f t="shared" si="4"/>
        <v/>
      </c>
    </row>
    <row r="76" spans="1:9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24"/>
      <c r="G76" s="10"/>
      <c r="H76" s="24" t="str">
        <f t="shared" si="3"/>
        <v/>
      </c>
      <c r="I76" s="23" t="str">
        <f t="shared" si="4"/>
        <v/>
      </c>
    </row>
    <row r="77" spans="1:9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24"/>
      <c r="G77" s="10"/>
      <c r="H77" s="24" t="str">
        <f t="shared" si="3"/>
        <v/>
      </c>
      <c r="I77" s="23" t="str">
        <f t="shared" si="4"/>
        <v/>
      </c>
    </row>
    <row r="78" spans="1:9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24"/>
      <c r="G78" s="10"/>
      <c r="H78" s="24" t="str">
        <f t="shared" si="3"/>
        <v/>
      </c>
      <c r="I78" s="23" t="str">
        <f t="shared" si="4"/>
        <v/>
      </c>
    </row>
    <row r="79" spans="1:9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24"/>
      <c r="G79" s="10"/>
      <c r="H79" s="24" t="str">
        <f t="shared" si="3"/>
        <v/>
      </c>
      <c r="I79" s="23" t="str">
        <f t="shared" si="4"/>
        <v/>
      </c>
    </row>
    <row r="80" spans="1:9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24"/>
      <c r="G80" s="10"/>
      <c r="H80" s="24" t="str">
        <f t="shared" si="3"/>
        <v/>
      </c>
      <c r="I80" s="23" t="str">
        <f t="shared" si="4"/>
        <v/>
      </c>
    </row>
    <row r="81" spans="1:9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24"/>
      <c r="G81" s="10"/>
      <c r="H81" s="24" t="str">
        <f t="shared" si="3"/>
        <v/>
      </c>
      <c r="I81" s="23" t="str">
        <f t="shared" si="4"/>
        <v/>
      </c>
    </row>
    <row r="82" spans="1:9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24"/>
      <c r="G82" s="10"/>
      <c r="H82" s="24" t="str">
        <f t="shared" si="3"/>
        <v/>
      </c>
      <c r="I82" s="23" t="str">
        <f t="shared" si="4"/>
        <v/>
      </c>
    </row>
    <row r="83" spans="1:9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24"/>
      <c r="G83" s="10"/>
      <c r="H83" s="24" t="str">
        <f t="shared" si="3"/>
        <v/>
      </c>
      <c r="I83" s="23" t="str">
        <f t="shared" si="4"/>
        <v/>
      </c>
    </row>
    <row r="84" spans="1:9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24"/>
      <c r="G84" s="10"/>
      <c r="H84" s="24" t="str">
        <f t="shared" si="3"/>
        <v/>
      </c>
      <c r="I84" s="23" t="str">
        <f t="shared" si="4"/>
        <v/>
      </c>
    </row>
    <row r="85" spans="1:9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24"/>
      <c r="G85" s="10"/>
      <c r="H85" s="24" t="str">
        <f t="shared" si="3"/>
        <v/>
      </c>
      <c r="I85" s="23" t="str">
        <f t="shared" si="4"/>
        <v/>
      </c>
    </row>
    <row r="86" spans="1:9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24"/>
      <c r="G86" s="10"/>
      <c r="H86" s="24" t="str">
        <f t="shared" si="3"/>
        <v/>
      </c>
      <c r="I86" s="23" t="str">
        <f t="shared" si="4"/>
        <v/>
      </c>
    </row>
    <row r="87" spans="1:9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24"/>
      <c r="G87" s="10"/>
      <c r="H87" s="24" t="str">
        <f t="shared" si="3"/>
        <v/>
      </c>
      <c r="I87" s="23" t="str">
        <f t="shared" si="4"/>
        <v/>
      </c>
    </row>
    <row r="88" spans="1:9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24"/>
      <c r="G88" s="10"/>
      <c r="H88" s="24" t="str">
        <f t="shared" si="3"/>
        <v/>
      </c>
      <c r="I88" s="23" t="str">
        <f t="shared" si="4"/>
        <v/>
      </c>
    </row>
    <row r="89" spans="1:9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24"/>
      <c r="G89" s="10"/>
      <c r="H89" s="24" t="str">
        <f t="shared" si="3"/>
        <v/>
      </c>
      <c r="I89" s="23" t="str">
        <f t="shared" si="4"/>
        <v/>
      </c>
    </row>
    <row r="90" spans="1:9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24"/>
      <c r="G90" s="10"/>
      <c r="H90" s="24" t="str">
        <f t="shared" si="3"/>
        <v/>
      </c>
      <c r="I90" s="23" t="str">
        <f t="shared" si="4"/>
        <v/>
      </c>
    </row>
    <row r="91" spans="1:9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24"/>
      <c r="G91" s="10"/>
      <c r="H91" s="24" t="str">
        <f t="shared" si="3"/>
        <v/>
      </c>
      <c r="I91" s="23" t="str">
        <f t="shared" si="4"/>
        <v/>
      </c>
    </row>
    <row r="92" spans="1:9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24"/>
      <c r="G92" s="10"/>
      <c r="H92" s="24" t="str">
        <f t="shared" si="3"/>
        <v/>
      </c>
      <c r="I92" s="23" t="str">
        <f t="shared" si="4"/>
        <v/>
      </c>
    </row>
    <row r="93" spans="1:9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24"/>
      <c r="G93" s="10"/>
      <c r="H93" s="24" t="str">
        <f t="shared" si="3"/>
        <v/>
      </c>
      <c r="I93" s="23" t="str">
        <f t="shared" si="4"/>
        <v/>
      </c>
    </row>
    <row r="94" spans="1:9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24"/>
      <c r="G94" s="10"/>
      <c r="H94" s="24" t="str">
        <f t="shared" si="3"/>
        <v/>
      </c>
      <c r="I94" s="23" t="str">
        <f t="shared" si="4"/>
        <v/>
      </c>
    </row>
    <row r="95" spans="1:9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24"/>
      <c r="G95" s="10"/>
      <c r="H95" s="24" t="str">
        <f t="shared" si="3"/>
        <v/>
      </c>
      <c r="I95" s="23" t="str">
        <f t="shared" si="4"/>
        <v/>
      </c>
    </row>
    <row r="96" spans="1:9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24"/>
      <c r="G96" s="10"/>
      <c r="H96" s="24" t="str">
        <f t="shared" si="3"/>
        <v/>
      </c>
      <c r="I96" s="23" t="str">
        <f t="shared" si="4"/>
        <v/>
      </c>
    </row>
    <row r="97" spans="1:9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24"/>
      <c r="G97" s="10"/>
      <c r="H97" s="24" t="str">
        <f t="shared" si="3"/>
        <v/>
      </c>
      <c r="I97" s="23" t="str">
        <f t="shared" si="4"/>
        <v/>
      </c>
    </row>
    <row r="98" spans="1:9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24"/>
      <c r="G98" s="10"/>
      <c r="H98" s="24" t="str">
        <f t="shared" si="3"/>
        <v/>
      </c>
      <c r="I98" s="23" t="str">
        <f t="shared" si="4"/>
        <v/>
      </c>
    </row>
    <row r="99" spans="1:9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24"/>
      <c r="G99" s="10"/>
      <c r="H99" s="24" t="str">
        <f t="shared" si="3"/>
        <v/>
      </c>
      <c r="I99" s="23" t="str">
        <f t="shared" si="4"/>
        <v/>
      </c>
    </row>
    <row r="100" spans="1:9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24"/>
      <c r="G100" s="10"/>
      <c r="H100" s="24" t="str">
        <f t="shared" si="3"/>
        <v/>
      </c>
      <c r="I100" s="23" t="str">
        <f t="shared" si="4"/>
        <v/>
      </c>
    </row>
    <row r="101" spans="1:9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24"/>
      <c r="G101" s="10"/>
      <c r="H101" s="24" t="str">
        <f t="shared" si="3"/>
        <v/>
      </c>
      <c r="I101" s="23" t="str">
        <f t="shared" si="4"/>
        <v/>
      </c>
    </row>
    <row r="102" spans="1:9" ht="18" x14ac:dyDescent="0.35">
      <c r="B102" s="31" t="str">
        <f>IF(NOT(ISBLANK(Curs!C106)),Curs!C106,"")</f>
        <v/>
      </c>
      <c r="C102" s="10"/>
      <c r="D102" s="10"/>
      <c r="E102" s="10"/>
      <c r="F102" s="24"/>
      <c r="G102" s="10"/>
      <c r="H102" s="24" t="str">
        <f t="shared" si="3"/>
        <v/>
      </c>
      <c r="I102" s="23" t="str">
        <f t="shared" si="4"/>
        <v/>
      </c>
    </row>
    <row r="103" spans="1:9" ht="18" x14ac:dyDescent="0.35">
      <c r="B103" s="31" t="str">
        <f>IF(NOT(ISBLANK(Curs!C107)),Curs!C107,"")</f>
        <v/>
      </c>
      <c r="C103" s="10"/>
      <c r="D103" s="10"/>
      <c r="E103" s="10"/>
      <c r="F103" s="24"/>
      <c r="G103" s="10"/>
      <c r="H103" s="24" t="str">
        <f t="shared" si="3"/>
        <v/>
      </c>
      <c r="I103" s="23" t="str">
        <f t="shared" si="4"/>
        <v/>
      </c>
    </row>
    <row r="104" spans="1:9" ht="18" x14ac:dyDescent="0.35">
      <c r="B104" s="31" t="str">
        <f>IF(NOT(ISBLANK(Curs!C108)),Curs!C108,"")</f>
        <v/>
      </c>
      <c r="C104" s="10"/>
      <c r="D104" s="10"/>
      <c r="E104" s="10"/>
      <c r="F104" s="24"/>
      <c r="G104" s="10"/>
      <c r="H104" s="24" t="str">
        <f t="shared" si="3"/>
        <v/>
      </c>
      <c r="I104" s="23" t="str">
        <f t="shared" si="4"/>
        <v/>
      </c>
    </row>
    <row r="105" spans="1:9" ht="18" x14ac:dyDescent="0.35">
      <c r="B105" s="31" t="str">
        <f>IF(NOT(ISBLANK(Curs!C109)),Curs!C109,"")</f>
        <v/>
      </c>
      <c r="C105" s="10"/>
      <c r="D105" s="10"/>
      <c r="E105" s="10"/>
      <c r="F105" s="24"/>
      <c r="G105" s="10"/>
      <c r="H105" s="24" t="str">
        <f t="shared" si="3"/>
        <v/>
      </c>
      <c r="I105" s="23" t="str">
        <f t="shared" si="4"/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2046-2B6D-4507-B8ED-50C1266791B3}">
  <dimension ref="A1:S105"/>
  <sheetViews>
    <sheetView zoomScale="85" zoomScaleNormal="85" workbookViewId="0">
      <selection activeCell="G2" sqref="G2"/>
    </sheetView>
  </sheetViews>
  <sheetFormatPr defaultRowHeight="14.4" x14ac:dyDescent="0.3"/>
  <cols>
    <col min="1" max="1" width="4.44140625" style="18" customWidth="1"/>
    <col min="2" max="2" width="28" customWidth="1"/>
    <col min="3" max="6" width="6" customWidth="1"/>
    <col min="7" max="8" width="8.109375" customWidth="1"/>
    <col min="9" max="9" width="11.109375" bestFit="1" customWidth="1"/>
    <col min="12" max="12" width="11.6640625" customWidth="1"/>
    <col min="13" max="13" width="11.44140625" customWidth="1"/>
    <col min="14" max="14" width="8.6640625" customWidth="1"/>
  </cols>
  <sheetData>
    <row r="1" spans="1:19" ht="36" x14ac:dyDescent="0.35">
      <c r="A1" s="19" t="s">
        <v>0</v>
      </c>
      <c r="B1" s="20" t="s">
        <v>1</v>
      </c>
      <c r="C1" s="21" t="s">
        <v>25</v>
      </c>
      <c r="D1" s="21" t="s">
        <v>26</v>
      </c>
      <c r="E1" s="21" t="s">
        <v>27</v>
      </c>
      <c r="F1" s="21" t="s">
        <v>28</v>
      </c>
      <c r="G1" s="25" t="s">
        <v>34</v>
      </c>
      <c r="H1" s="5" t="s">
        <v>29</v>
      </c>
      <c r="I1" s="6" t="s">
        <v>30</v>
      </c>
      <c r="J1" s="7"/>
      <c r="K1" s="6"/>
      <c r="L1" s="207" t="s">
        <v>67</v>
      </c>
      <c r="M1" s="207"/>
      <c r="N1" s="8"/>
      <c r="O1" s="9"/>
      <c r="P1" s="9"/>
      <c r="Q1" s="9"/>
      <c r="R1" s="9"/>
      <c r="S1" s="9"/>
    </row>
    <row r="2" spans="1:19" ht="18" x14ac:dyDescent="0.35">
      <c r="A2" s="30">
        <f>IF(NOT(ISBLANK(Curs!B6)),Curs!B6,"")</f>
        <v>1</v>
      </c>
      <c r="B2" s="31" t="str">
        <f>IF(AND(NOT(ISBLANK(Curs!C6)),OR(Curs!V6="n/p",Curs!V6&lt;5)),Curs!C6,"")</f>
        <v>Nume, Prenume</v>
      </c>
      <c r="C2" s="10"/>
      <c r="D2" s="10"/>
      <c r="E2" s="10"/>
      <c r="F2" s="24"/>
      <c r="G2" s="24">
        <f t="shared" ref="G2:G33" si="0">IF(B2="","",ROUND(SUM(C2:F2),0))</f>
        <v>0</v>
      </c>
      <c r="H2" s="23" t="str">
        <f t="shared" ref="H2:H33" si="1">IF(B2="","",
IF(G2=0,"n/p",
IF(AND(G2&gt;=$I$3,G2&lt;=$J$3),$K$3,
IF(AND(G2&gt;=$I$4,G2&lt;=$J$4),$K$4,
IF(AND(G2&gt;=$I$5,G2&lt;=$J$5),$K$5,
IF(AND(G2&gt;=$I$6,G2&lt;=$J$6),$K$6,
IF(AND(G2&gt;=$I$7,G2&lt;=$J$7),$K$7,
IF(AND(G2&gt;=$I$8,G2&lt;=$J$8),$K$8,
IF(AND(G2&gt;=$I$9,G2&lt;=$J$9),$K$9,
IF(AND(G2&gt;=$I$10,G2&lt;=$J$10),$K$10,
IF(AND(G2&gt;=$I$11,G2&lt;=$J$11),$K$11)))))))))))</f>
        <v>n/p</v>
      </c>
      <c r="I2" s="6" t="s">
        <v>32</v>
      </c>
      <c r="J2" s="6"/>
      <c r="K2" s="12" t="s">
        <v>29</v>
      </c>
      <c r="L2" s="27" t="s">
        <v>29</v>
      </c>
      <c r="M2" s="27" t="s">
        <v>31</v>
      </c>
      <c r="N2" s="8"/>
      <c r="O2" s="13"/>
      <c r="P2" s="13"/>
      <c r="Q2" s="13"/>
      <c r="R2" s="13"/>
      <c r="S2" s="13"/>
    </row>
    <row r="3" spans="1:19" ht="18" x14ac:dyDescent="0.35">
      <c r="A3" s="30" t="str">
        <f>IF(NOT(ISBLANK(Curs!B7)),Curs!B7,"")</f>
        <v/>
      </c>
      <c r="B3" s="31" t="str">
        <f>IF(AND(NOT(ISBLANK(Curs!C7)),OR(Curs!V7="n/p",Curs!V7&lt;5)),Curs!C7,"")</f>
        <v/>
      </c>
      <c r="C3" s="10"/>
      <c r="D3" s="10"/>
      <c r="E3" s="10"/>
      <c r="F3" s="24"/>
      <c r="G3" s="24" t="str">
        <f t="shared" si="0"/>
        <v/>
      </c>
      <c r="H3" s="23" t="str">
        <f t="shared" si="1"/>
        <v/>
      </c>
      <c r="I3" s="22">
        <v>0</v>
      </c>
      <c r="J3" s="22">
        <v>3</v>
      </c>
      <c r="K3" s="12">
        <v>2</v>
      </c>
      <c r="L3" s="29">
        <v>1</v>
      </c>
      <c r="M3" s="27">
        <f>COUNTIF($H$2:$H$101,L3)</f>
        <v>0</v>
      </c>
      <c r="N3" s="8"/>
      <c r="O3" s="13"/>
      <c r="P3" s="13"/>
      <c r="Q3" s="13"/>
      <c r="R3" s="13"/>
      <c r="S3" s="13"/>
    </row>
    <row r="4" spans="1:19" ht="18" x14ac:dyDescent="0.35">
      <c r="A4" s="30" t="str">
        <f>IF(NOT(ISBLANK(Curs!B8)),Curs!B8,"")</f>
        <v/>
      </c>
      <c r="B4" s="31" t="str">
        <f>IF(AND(NOT(ISBLANK(Curs!C8)),OR(Curs!V8="n/p",Curs!V8&lt;5)),Curs!C8,"")</f>
        <v/>
      </c>
      <c r="C4" s="10"/>
      <c r="D4" s="10"/>
      <c r="E4" s="10"/>
      <c r="F4" s="24"/>
      <c r="G4" s="24" t="str">
        <f t="shared" si="0"/>
        <v/>
      </c>
      <c r="H4" s="23" t="str">
        <f t="shared" si="1"/>
        <v/>
      </c>
      <c r="I4" s="22">
        <v>4</v>
      </c>
      <c r="J4" s="22">
        <v>5</v>
      </c>
      <c r="K4" s="12">
        <v>3</v>
      </c>
      <c r="L4" s="28">
        <v>2</v>
      </c>
      <c r="M4" s="27">
        <f t="shared" ref="M4:M13" si="2">COUNTIF($H$2:$H$101,L4)</f>
        <v>0</v>
      </c>
      <c r="N4" s="8"/>
      <c r="O4" s="13"/>
      <c r="P4" s="13"/>
      <c r="Q4" s="13"/>
      <c r="R4" s="13"/>
      <c r="S4" s="13"/>
    </row>
    <row r="5" spans="1:19" ht="18" x14ac:dyDescent="0.35">
      <c r="A5" s="30" t="str">
        <f>IF(NOT(ISBLANK(Curs!B9)),Curs!B9,"")</f>
        <v/>
      </c>
      <c r="B5" s="31" t="str">
        <f>IF(AND(NOT(ISBLANK(Curs!C9)),OR(Curs!V9="n/p",Curs!V9&lt;5)),Curs!C9,"")</f>
        <v/>
      </c>
      <c r="C5" s="10"/>
      <c r="D5" s="10"/>
      <c r="E5" s="10"/>
      <c r="F5" s="24"/>
      <c r="G5" s="24" t="str">
        <f t="shared" si="0"/>
        <v/>
      </c>
      <c r="H5" s="23" t="str">
        <f t="shared" si="1"/>
        <v/>
      </c>
      <c r="I5" s="22">
        <v>6</v>
      </c>
      <c r="J5" s="22">
        <v>9</v>
      </c>
      <c r="K5" s="12">
        <v>4</v>
      </c>
      <c r="L5" s="28">
        <v>3</v>
      </c>
      <c r="M5" s="27">
        <f t="shared" si="2"/>
        <v>0</v>
      </c>
      <c r="N5" s="8"/>
      <c r="O5" s="13"/>
      <c r="P5" s="13"/>
      <c r="Q5" s="13"/>
      <c r="R5" s="13"/>
      <c r="S5" s="13"/>
    </row>
    <row r="6" spans="1:19" ht="18" x14ac:dyDescent="0.35">
      <c r="A6" s="30" t="str">
        <f>IF(NOT(ISBLANK(Curs!B10)),Curs!B10,"")</f>
        <v/>
      </c>
      <c r="B6" s="31" t="str">
        <f>IF(AND(NOT(ISBLANK(Curs!C10)),OR(Curs!V10="n/p",Curs!V10&lt;5)),Curs!C10,"")</f>
        <v/>
      </c>
      <c r="C6" s="10"/>
      <c r="D6" s="10"/>
      <c r="E6" s="10"/>
      <c r="F6" s="24"/>
      <c r="G6" s="24" t="str">
        <f t="shared" si="0"/>
        <v/>
      </c>
      <c r="H6" s="23" t="str">
        <f t="shared" si="1"/>
        <v/>
      </c>
      <c r="I6" s="22">
        <v>10</v>
      </c>
      <c r="J6" s="22">
        <v>13</v>
      </c>
      <c r="K6" s="12">
        <v>5</v>
      </c>
      <c r="L6" s="29">
        <v>4</v>
      </c>
      <c r="M6" s="27">
        <f t="shared" si="2"/>
        <v>0</v>
      </c>
      <c r="N6" s="8"/>
      <c r="O6" s="13"/>
      <c r="P6" s="13"/>
      <c r="Q6" s="13"/>
      <c r="R6" s="13"/>
      <c r="S6" s="13"/>
    </row>
    <row r="7" spans="1:19" ht="18" x14ac:dyDescent="0.35">
      <c r="A7" s="30" t="str">
        <f>IF(NOT(ISBLANK(Curs!B11)),Curs!B11,"")</f>
        <v/>
      </c>
      <c r="B7" s="31" t="str">
        <f>IF(AND(NOT(ISBLANK(Curs!C11)),OR(Curs!V11="n/p",Curs!V11&lt;5)),Curs!C11,"")</f>
        <v/>
      </c>
      <c r="C7" s="10"/>
      <c r="D7" s="10"/>
      <c r="E7" s="10"/>
      <c r="F7" s="24"/>
      <c r="G7" s="24" t="str">
        <f t="shared" si="0"/>
        <v/>
      </c>
      <c r="H7" s="23" t="str">
        <f t="shared" si="1"/>
        <v/>
      </c>
      <c r="I7" s="22">
        <v>14</v>
      </c>
      <c r="J7" s="22">
        <v>18</v>
      </c>
      <c r="K7" s="12">
        <v>6</v>
      </c>
      <c r="L7" s="29">
        <v>5</v>
      </c>
      <c r="M7" s="27">
        <f t="shared" si="2"/>
        <v>0</v>
      </c>
      <c r="N7" s="8"/>
      <c r="O7" s="13"/>
      <c r="P7" s="13"/>
      <c r="Q7" s="13"/>
      <c r="R7" s="13"/>
      <c r="S7" s="13"/>
    </row>
    <row r="8" spans="1:19" ht="18" x14ac:dyDescent="0.35">
      <c r="A8" s="30" t="str">
        <f>IF(NOT(ISBLANK(Curs!B12)),Curs!B12,"")</f>
        <v/>
      </c>
      <c r="B8" s="31" t="str">
        <f>IF(AND(NOT(ISBLANK(Curs!C12)),OR(Curs!V12="n/p",Curs!V12&lt;5)),Curs!C12,"")</f>
        <v/>
      </c>
      <c r="C8" s="10"/>
      <c r="D8" s="10"/>
      <c r="E8" s="10"/>
      <c r="F8" s="24"/>
      <c r="G8" s="24" t="str">
        <f t="shared" si="0"/>
        <v/>
      </c>
      <c r="H8" s="23" t="str">
        <f t="shared" si="1"/>
        <v/>
      </c>
      <c r="I8" s="22">
        <v>19</v>
      </c>
      <c r="J8" s="22">
        <v>22</v>
      </c>
      <c r="K8" s="12">
        <v>7</v>
      </c>
      <c r="L8" s="29">
        <v>6</v>
      </c>
      <c r="M8" s="27">
        <f t="shared" si="2"/>
        <v>0</v>
      </c>
      <c r="N8" s="8"/>
      <c r="O8" s="13"/>
      <c r="P8" s="13"/>
      <c r="Q8" s="13"/>
      <c r="R8" s="13"/>
      <c r="S8" s="13"/>
    </row>
    <row r="9" spans="1:19" ht="18" x14ac:dyDescent="0.35">
      <c r="A9" s="30" t="str">
        <f>IF(NOT(ISBLANK(Curs!B13)),Curs!B13,"")</f>
        <v/>
      </c>
      <c r="B9" s="31" t="str">
        <f>IF(AND(NOT(ISBLANK(Curs!C13)),OR(Curs!V13="n/p",Curs!V13&lt;5)),Curs!C13,"")</f>
        <v/>
      </c>
      <c r="C9" s="10"/>
      <c r="D9" s="10"/>
      <c r="E9" s="10"/>
      <c r="F9" s="24"/>
      <c r="G9" s="24" t="str">
        <f t="shared" si="0"/>
        <v/>
      </c>
      <c r="H9" s="23" t="str">
        <f t="shared" si="1"/>
        <v/>
      </c>
      <c r="I9" s="22">
        <v>23</v>
      </c>
      <c r="J9" s="22">
        <v>26</v>
      </c>
      <c r="K9" s="12">
        <v>8</v>
      </c>
      <c r="L9" s="29">
        <v>7</v>
      </c>
      <c r="M9" s="27">
        <f t="shared" si="2"/>
        <v>0</v>
      </c>
      <c r="N9" s="8"/>
      <c r="O9" s="13"/>
      <c r="P9" s="13"/>
      <c r="Q9" s="13"/>
      <c r="R9" s="13"/>
      <c r="S9" s="13"/>
    </row>
    <row r="10" spans="1:19" ht="18" x14ac:dyDescent="0.35">
      <c r="A10" s="30" t="str">
        <f>IF(NOT(ISBLANK(Curs!B14)),Curs!B14,"")</f>
        <v/>
      </c>
      <c r="B10" s="31" t="str">
        <f>IF(AND(NOT(ISBLANK(Curs!C14)),OR(Curs!V14="n/p",Curs!V14&lt;5)),Curs!C14,"")</f>
        <v/>
      </c>
      <c r="C10" s="10"/>
      <c r="D10" s="10"/>
      <c r="E10" s="10"/>
      <c r="F10" s="24"/>
      <c r="G10" s="24" t="str">
        <f t="shared" si="0"/>
        <v/>
      </c>
      <c r="H10" s="23" t="str">
        <f t="shared" si="1"/>
        <v/>
      </c>
      <c r="I10" s="22">
        <v>27</v>
      </c>
      <c r="J10" s="22">
        <v>28</v>
      </c>
      <c r="K10" s="12">
        <v>9</v>
      </c>
      <c r="L10" s="29">
        <v>8</v>
      </c>
      <c r="M10" s="27">
        <f t="shared" si="2"/>
        <v>0</v>
      </c>
      <c r="N10" s="8"/>
      <c r="O10" s="13"/>
      <c r="P10" s="13"/>
      <c r="Q10" s="13"/>
      <c r="R10" s="13"/>
      <c r="S10" s="13"/>
    </row>
    <row r="11" spans="1:19" ht="18" x14ac:dyDescent="0.35">
      <c r="A11" s="30" t="str">
        <f>IF(NOT(ISBLANK(Curs!B15)),Curs!B15,"")</f>
        <v/>
      </c>
      <c r="B11" s="31" t="str">
        <f>IF(AND(NOT(ISBLANK(Curs!C15)),OR(Curs!V15="n/p",Curs!V15&lt;5)),Curs!C15,"")</f>
        <v/>
      </c>
      <c r="C11" s="10"/>
      <c r="D11" s="10"/>
      <c r="E11" s="10"/>
      <c r="F11" s="24"/>
      <c r="G11" s="24" t="str">
        <f t="shared" si="0"/>
        <v/>
      </c>
      <c r="H11" s="23" t="str">
        <f t="shared" si="1"/>
        <v/>
      </c>
      <c r="I11" s="22">
        <v>29</v>
      </c>
      <c r="J11" s="22">
        <v>30</v>
      </c>
      <c r="K11" s="12">
        <v>10</v>
      </c>
      <c r="L11" s="29">
        <v>9</v>
      </c>
      <c r="M11" s="27">
        <f t="shared" si="2"/>
        <v>0</v>
      </c>
      <c r="N11" s="8"/>
      <c r="O11" s="13"/>
      <c r="P11" s="13"/>
      <c r="Q11" s="13"/>
      <c r="R11" s="13"/>
      <c r="S11" s="13"/>
    </row>
    <row r="12" spans="1:19" ht="18" x14ac:dyDescent="0.35">
      <c r="A12" s="30" t="str">
        <f>IF(NOT(ISBLANK(Curs!B16)),Curs!B16,"")</f>
        <v/>
      </c>
      <c r="B12" s="31" t="str">
        <f>IF(AND(NOT(ISBLANK(Curs!C16)),OR(Curs!V16="n/p",Curs!V16&lt;5)),Curs!C16,"")</f>
        <v/>
      </c>
      <c r="C12" s="10"/>
      <c r="D12" s="10"/>
      <c r="E12" s="10"/>
      <c r="F12" s="24"/>
      <c r="G12" s="24" t="str">
        <f t="shared" si="0"/>
        <v/>
      </c>
      <c r="H12" s="23" t="str">
        <f t="shared" si="1"/>
        <v/>
      </c>
      <c r="I12" s="22"/>
      <c r="J12" s="22"/>
      <c r="K12" s="12"/>
      <c r="L12" s="29">
        <v>10</v>
      </c>
      <c r="M12" s="27">
        <f t="shared" si="2"/>
        <v>0</v>
      </c>
      <c r="N12" s="8"/>
      <c r="O12" s="13"/>
      <c r="P12" s="13"/>
      <c r="Q12" s="13"/>
      <c r="R12" s="13"/>
      <c r="S12" s="13"/>
    </row>
    <row r="13" spans="1:19" ht="18" x14ac:dyDescent="0.35">
      <c r="A13" s="30" t="str">
        <f>IF(NOT(ISBLANK(Curs!B17)),Curs!B17,"")</f>
        <v/>
      </c>
      <c r="B13" s="31" t="str">
        <f>IF(AND(NOT(ISBLANK(Curs!C17)),OR(Curs!V17="n/p",Curs!V17&lt;5)),Curs!C17,"")</f>
        <v/>
      </c>
      <c r="C13" s="10"/>
      <c r="D13" s="10"/>
      <c r="E13" s="10"/>
      <c r="F13" s="24"/>
      <c r="G13" s="24" t="str">
        <f t="shared" si="0"/>
        <v/>
      </c>
      <c r="H13" s="23" t="str">
        <f t="shared" si="1"/>
        <v/>
      </c>
      <c r="I13" s="22"/>
      <c r="J13" s="22"/>
      <c r="K13" s="12"/>
      <c r="L13" s="29" t="s">
        <v>33</v>
      </c>
      <c r="M13" s="27">
        <f t="shared" si="2"/>
        <v>1</v>
      </c>
      <c r="N13" s="8"/>
      <c r="O13" s="13"/>
      <c r="P13" s="16"/>
      <c r="Q13" s="13"/>
      <c r="R13" s="16"/>
      <c r="S13" s="13"/>
    </row>
    <row r="14" spans="1:19" ht="18" x14ac:dyDescent="0.35">
      <c r="A14" s="30" t="str">
        <f>IF(NOT(ISBLANK(Curs!B18)),Curs!B18,"")</f>
        <v/>
      </c>
      <c r="B14" s="31" t="str">
        <f>IF(AND(NOT(ISBLANK(Curs!C18)),OR(Curs!V18="n/p",Curs!V18&lt;5)),Curs!C18,"")</f>
        <v/>
      </c>
      <c r="C14" s="10"/>
      <c r="D14" s="10"/>
      <c r="E14" s="10"/>
      <c r="F14" s="24"/>
      <c r="G14" s="24" t="str">
        <f t="shared" si="0"/>
        <v/>
      </c>
      <c r="H14" s="23" t="str">
        <f t="shared" si="1"/>
        <v/>
      </c>
      <c r="I14" s="7"/>
      <c r="J14" s="14"/>
      <c r="K14" s="7"/>
      <c r="O14" s="15"/>
      <c r="P14" s="13"/>
      <c r="Q14" s="16"/>
      <c r="R14" s="13"/>
      <c r="S14" s="16"/>
    </row>
    <row r="15" spans="1:19" ht="18" x14ac:dyDescent="0.35">
      <c r="A15" s="30" t="str">
        <f>IF(NOT(ISBLANK(Curs!B19)),Curs!B19,"")</f>
        <v/>
      </c>
      <c r="B15" s="31" t="str">
        <f>IF(AND(NOT(ISBLANK(Curs!C19)),OR(Curs!V19="n/p",Curs!V19&lt;5)),Curs!C19,"")</f>
        <v/>
      </c>
      <c r="C15" s="10"/>
      <c r="D15" s="10"/>
      <c r="E15" s="10"/>
      <c r="F15" s="24"/>
      <c r="G15" s="24" t="str">
        <f t="shared" si="0"/>
        <v/>
      </c>
      <c r="H15" s="23" t="str">
        <f t="shared" si="1"/>
        <v/>
      </c>
      <c r="I15" s="7"/>
      <c r="J15" s="14"/>
      <c r="K15" s="7"/>
      <c r="L15" s="1"/>
      <c r="O15" s="17"/>
    </row>
    <row r="16" spans="1:19" ht="18" x14ac:dyDescent="0.35">
      <c r="A16" s="30" t="str">
        <f>IF(NOT(ISBLANK(Curs!B20)),Curs!B20,"")</f>
        <v/>
      </c>
      <c r="B16" s="31" t="str">
        <f>IF(AND(NOT(ISBLANK(Curs!C20)),OR(Curs!V20="n/p",Curs!V20&lt;5)),Curs!C20,"")</f>
        <v/>
      </c>
      <c r="C16" s="10"/>
      <c r="D16" s="10"/>
      <c r="E16" s="10"/>
      <c r="F16" s="24"/>
      <c r="G16" s="24" t="str">
        <f t="shared" si="0"/>
        <v/>
      </c>
      <c r="H16" s="23" t="str">
        <f t="shared" si="1"/>
        <v/>
      </c>
      <c r="I16" s="7"/>
      <c r="J16" s="14"/>
      <c r="K16" s="7"/>
      <c r="L16" s="1"/>
      <c r="O16" s="17"/>
    </row>
    <row r="17" spans="1:17" ht="18" x14ac:dyDescent="0.35">
      <c r="A17" s="30" t="str">
        <f>IF(NOT(ISBLANK(Curs!B21)),Curs!B21,"")</f>
        <v/>
      </c>
      <c r="B17" s="31" t="str">
        <f>IF(AND(NOT(ISBLANK(Curs!C21)),OR(Curs!V21="n/p",Curs!V21&lt;5)),Curs!C21,"")</f>
        <v/>
      </c>
      <c r="C17" s="10"/>
      <c r="D17" s="10"/>
      <c r="E17" s="10"/>
      <c r="F17" s="24"/>
      <c r="G17" s="24" t="str">
        <f t="shared" si="0"/>
        <v/>
      </c>
      <c r="H17" s="23" t="str">
        <f t="shared" si="1"/>
        <v/>
      </c>
      <c r="I17" s="7"/>
      <c r="J17" s="14"/>
      <c r="K17" s="7"/>
      <c r="L17" s="1"/>
      <c r="O17" s="17"/>
    </row>
    <row r="18" spans="1:17" ht="18" x14ac:dyDescent="0.35">
      <c r="A18" s="30" t="str">
        <f>IF(NOT(ISBLANK(Curs!B22)),Curs!B22,"")</f>
        <v/>
      </c>
      <c r="B18" s="31" t="str">
        <f>IF(AND(NOT(ISBLANK(Curs!C22)),OR(Curs!V22="n/p",Curs!V22&lt;5)),Curs!C22,"")</f>
        <v/>
      </c>
      <c r="C18" s="10"/>
      <c r="D18" s="10"/>
      <c r="E18" s="10"/>
      <c r="F18" s="24"/>
      <c r="G18" s="24" t="str">
        <f t="shared" si="0"/>
        <v/>
      </c>
      <c r="H18" s="23" t="str">
        <f t="shared" si="1"/>
        <v/>
      </c>
      <c r="I18" s="7"/>
      <c r="J18" s="14"/>
      <c r="K18" s="7"/>
      <c r="L18" s="1"/>
      <c r="O18" s="17"/>
    </row>
    <row r="19" spans="1:17" ht="18" x14ac:dyDescent="0.35">
      <c r="A19" s="30" t="str">
        <f>IF(NOT(ISBLANK(Curs!B23)),Curs!B23,"")</f>
        <v/>
      </c>
      <c r="B19" s="31" t="str">
        <f>IF(AND(NOT(ISBLANK(Curs!C23)),OR(Curs!V23="n/p",Curs!V23&lt;5)),Curs!C23,"")</f>
        <v/>
      </c>
      <c r="C19" s="10"/>
      <c r="D19" s="10"/>
      <c r="E19" s="10"/>
      <c r="F19" s="24"/>
      <c r="G19" s="24" t="str">
        <f t="shared" si="0"/>
        <v/>
      </c>
      <c r="H19" s="23" t="str">
        <f t="shared" si="1"/>
        <v/>
      </c>
      <c r="I19" s="7"/>
      <c r="J19" s="14"/>
      <c r="K19" s="7"/>
      <c r="L19" s="1"/>
      <c r="O19" s="17"/>
    </row>
    <row r="20" spans="1:17" ht="18" x14ac:dyDescent="0.35">
      <c r="A20" s="30" t="str">
        <f>IF(NOT(ISBLANK(Curs!B24)),Curs!B24,"")</f>
        <v/>
      </c>
      <c r="B20" s="31" t="str">
        <f>IF(AND(NOT(ISBLANK(Curs!C24)),OR(Curs!V24="n/p",Curs!V24&lt;5)),Curs!C24,"")</f>
        <v/>
      </c>
      <c r="C20" s="10"/>
      <c r="D20" s="10"/>
      <c r="E20" s="10"/>
      <c r="F20" s="24"/>
      <c r="G20" s="24" t="str">
        <f t="shared" si="0"/>
        <v/>
      </c>
      <c r="H20" s="23" t="str">
        <f t="shared" si="1"/>
        <v/>
      </c>
      <c r="I20" s="7"/>
      <c r="J20" s="14"/>
      <c r="K20" s="7"/>
      <c r="L20" s="1"/>
      <c r="O20" s="17"/>
    </row>
    <row r="21" spans="1:17" ht="18" x14ac:dyDescent="0.35">
      <c r="A21" s="30" t="str">
        <f>IF(NOT(ISBLANK(Curs!B25)),Curs!B25,"")</f>
        <v/>
      </c>
      <c r="B21" s="31" t="str">
        <f>IF(AND(NOT(ISBLANK(Curs!C25)),OR(Curs!V25="n/p",Curs!V25&lt;5)),Curs!C25,"")</f>
        <v/>
      </c>
      <c r="C21" s="10"/>
      <c r="D21" s="10"/>
      <c r="E21" s="10"/>
      <c r="F21" s="24"/>
      <c r="G21" s="24" t="str">
        <f t="shared" si="0"/>
        <v/>
      </c>
      <c r="H21" s="23" t="str">
        <f t="shared" si="1"/>
        <v/>
      </c>
      <c r="I21" s="7"/>
      <c r="J21" s="14"/>
      <c r="K21" s="7"/>
      <c r="L21" s="1"/>
      <c r="O21" s="17"/>
    </row>
    <row r="22" spans="1:17" ht="18" x14ac:dyDescent="0.35">
      <c r="A22" s="30" t="str">
        <f>IF(NOT(ISBLANK(Curs!B26)),Curs!B26,"")</f>
        <v/>
      </c>
      <c r="B22" s="31" t="str">
        <f>IF(AND(NOT(ISBLANK(Curs!C26)),OR(Curs!V26="n/p",Curs!V26&lt;5)),Curs!C26,"")</f>
        <v/>
      </c>
      <c r="C22" s="10"/>
      <c r="D22" s="10"/>
      <c r="E22" s="10"/>
      <c r="F22" s="24"/>
      <c r="G22" s="24" t="str">
        <f t="shared" si="0"/>
        <v/>
      </c>
      <c r="H22" s="23" t="str">
        <f t="shared" si="1"/>
        <v/>
      </c>
      <c r="I22" s="7"/>
      <c r="J22" s="14"/>
      <c r="K22" s="7"/>
      <c r="L22" s="1"/>
      <c r="O22" s="17"/>
    </row>
    <row r="23" spans="1:17" ht="18" x14ac:dyDescent="0.35">
      <c r="A23" s="30" t="str">
        <f>IF(NOT(ISBLANK(Curs!B27)),Curs!B27,"")</f>
        <v/>
      </c>
      <c r="B23" s="31" t="str">
        <f>IF(AND(NOT(ISBLANK(Curs!C27)),OR(Curs!V27="n/p",Curs!V27&lt;5)),Curs!C27,"")</f>
        <v/>
      </c>
      <c r="C23" s="10"/>
      <c r="D23" s="10"/>
      <c r="E23" s="10"/>
      <c r="F23" s="24"/>
      <c r="G23" s="24" t="str">
        <f t="shared" si="0"/>
        <v/>
      </c>
      <c r="H23" s="23" t="str">
        <f t="shared" si="1"/>
        <v/>
      </c>
      <c r="I23" s="7"/>
      <c r="J23" s="14"/>
      <c r="K23" s="7"/>
      <c r="L23" s="1"/>
      <c r="O23" s="17"/>
    </row>
    <row r="24" spans="1:17" ht="18" x14ac:dyDescent="0.35">
      <c r="A24" s="30" t="str">
        <f>IF(NOT(ISBLANK(Curs!B28)),Curs!B28,"")</f>
        <v/>
      </c>
      <c r="B24" s="31" t="str">
        <f>IF(AND(NOT(ISBLANK(Curs!C28)),OR(Curs!V28="n/p",Curs!V28&lt;5)),Curs!C28,"")</f>
        <v/>
      </c>
      <c r="C24" s="10"/>
      <c r="D24" s="10"/>
      <c r="E24" s="10"/>
      <c r="F24" s="24"/>
      <c r="G24" s="24" t="str">
        <f t="shared" si="0"/>
        <v/>
      </c>
      <c r="H24" s="23" t="str">
        <f t="shared" si="1"/>
        <v/>
      </c>
      <c r="I24" s="7"/>
      <c r="J24" s="14"/>
      <c r="K24" s="7"/>
      <c r="L24" s="1"/>
      <c r="O24" s="17"/>
    </row>
    <row r="25" spans="1:17" ht="18" x14ac:dyDescent="0.35">
      <c r="A25" s="30" t="str">
        <f>IF(NOT(ISBLANK(Curs!B29)),Curs!B29,"")</f>
        <v/>
      </c>
      <c r="B25" s="31" t="str">
        <f>IF(AND(NOT(ISBLANK(Curs!C29)),OR(Curs!V29="n/p",Curs!V29&lt;5)),Curs!C29,"")</f>
        <v/>
      </c>
      <c r="C25" s="10"/>
      <c r="D25" s="10"/>
      <c r="E25" s="10"/>
      <c r="F25" s="24"/>
      <c r="G25" s="24" t="str">
        <f t="shared" si="0"/>
        <v/>
      </c>
      <c r="H25" s="23" t="str">
        <f t="shared" si="1"/>
        <v/>
      </c>
      <c r="I25" s="7"/>
      <c r="J25" s="14"/>
      <c r="K25" s="7"/>
      <c r="L25" s="1"/>
      <c r="O25" s="17"/>
    </row>
    <row r="26" spans="1:17" ht="18" x14ac:dyDescent="0.35">
      <c r="A26" s="30" t="str">
        <f>IF(NOT(ISBLANK(Curs!B30)),Curs!B30,"")</f>
        <v/>
      </c>
      <c r="B26" s="31" t="str">
        <f>IF(AND(NOT(ISBLANK(Curs!C30)),OR(Curs!V30="n/p",Curs!V30&lt;5)),Curs!C30,"")</f>
        <v/>
      </c>
      <c r="C26" s="10"/>
      <c r="D26" s="10"/>
      <c r="E26" s="10"/>
      <c r="F26" s="24"/>
      <c r="G26" s="24" t="str">
        <f t="shared" si="0"/>
        <v/>
      </c>
      <c r="H26" s="23" t="str">
        <f t="shared" si="1"/>
        <v/>
      </c>
      <c r="I26" s="7"/>
      <c r="J26" s="14"/>
      <c r="K26" s="7"/>
      <c r="L26" s="1"/>
      <c r="O26" s="17"/>
    </row>
    <row r="27" spans="1:17" ht="18" x14ac:dyDescent="0.35">
      <c r="A27" s="30" t="str">
        <f>IF(NOT(ISBLANK(Curs!B31)),Curs!B31,"")</f>
        <v/>
      </c>
      <c r="B27" s="31" t="str">
        <f>IF(AND(NOT(ISBLANK(Curs!C31)),OR(Curs!V31="n/p",Curs!V31&lt;5)),Curs!C31,"")</f>
        <v/>
      </c>
      <c r="C27" s="10"/>
      <c r="D27" s="10"/>
      <c r="E27" s="10"/>
      <c r="F27" s="24"/>
      <c r="G27" s="24" t="str">
        <f t="shared" si="0"/>
        <v/>
      </c>
      <c r="H27" s="23" t="str">
        <f t="shared" si="1"/>
        <v/>
      </c>
      <c r="I27" s="10"/>
      <c r="J27" s="10"/>
      <c r="K27" s="10"/>
      <c r="L27" s="11"/>
      <c r="M27" s="23"/>
      <c r="N27" s="7"/>
      <c r="O27" s="14"/>
      <c r="P27" s="7"/>
      <c r="Q27" s="1"/>
    </row>
    <row r="28" spans="1:17" ht="18" x14ac:dyDescent="0.35">
      <c r="A28" s="30" t="str">
        <f>IF(NOT(ISBLANK(Curs!B32)),Curs!B32,"")</f>
        <v/>
      </c>
      <c r="B28" s="31" t="str">
        <f>IF(AND(NOT(ISBLANK(Curs!C32)),OR(Curs!V32="n/p",Curs!V32&lt;5)),Curs!C32,"")</f>
        <v/>
      </c>
      <c r="C28" s="10"/>
      <c r="D28" s="10"/>
      <c r="E28" s="10"/>
      <c r="F28" s="24"/>
      <c r="G28" s="24" t="str">
        <f t="shared" si="0"/>
        <v/>
      </c>
      <c r="H28" s="23" t="str">
        <f t="shared" si="1"/>
        <v/>
      </c>
    </row>
    <row r="29" spans="1:17" ht="18" x14ac:dyDescent="0.35">
      <c r="A29" s="30" t="str">
        <f>IF(NOT(ISBLANK(Curs!B33)),Curs!B33,"")</f>
        <v/>
      </c>
      <c r="B29" s="31" t="str">
        <f>IF(AND(NOT(ISBLANK(Curs!C33)),OR(Curs!V33="n/p",Curs!V33&lt;5)),Curs!C33,"")</f>
        <v/>
      </c>
      <c r="C29" s="10"/>
      <c r="D29" s="10"/>
      <c r="E29" s="10"/>
      <c r="F29" s="24"/>
      <c r="G29" s="24" t="str">
        <f t="shared" si="0"/>
        <v/>
      </c>
      <c r="H29" s="23" t="str">
        <f t="shared" si="1"/>
        <v/>
      </c>
    </row>
    <row r="30" spans="1:17" ht="18" x14ac:dyDescent="0.35">
      <c r="A30" s="30" t="str">
        <f>IF(NOT(ISBLANK(Curs!B34)),Curs!B34,"")</f>
        <v/>
      </c>
      <c r="B30" s="31" t="str">
        <f>IF(AND(NOT(ISBLANK(Curs!C34)),OR(Curs!V34="n/p",Curs!V34&lt;5)),Curs!C34,"")</f>
        <v/>
      </c>
      <c r="C30" s="10"/>
      <c r="D30" s="10"/>
      <c r="E30" s="10"/>
      <c r="F30" s="24"/>
      <c r="G30" s="24" t="str">
        <f t="shared" si="0"/>
        <v/>
      </c>
      <c r="H30" s="23" t="str">
        <f t="shared" si="1"/>
        <v/>
      </c>
    </row>
    <row r="31" spans="1:17" ht="18" x14ac:dyDescent="0.35">
      <c r="A31" s="30" t="str">
        <f>IF(NOT(ISBLANK(Curs!B35)),Curs!B35,"")</f>
        <v/>
      </c>
      <c r="B31" s="31" t="str">
        <f>IF(AND(NOT(ISBLANK(Curs!C35)),OR(Curs!V35="n/p",Curs!V35&lt;5)),Curs!C35,"")</f>
        <v/>
      </c>
      <c r="C31" s="10"/>
      <c r="D31" s="10"/>
      <c r="E31" s="10"/>
      <c r="F31" s="24"/>
      <c r="G31" s="24" t="str">
        <f t="shared" si="0"/>
        <v/>
      </c>
      <c r="H31" s="23" t="str">
        <f t="shared" si="1"/>
        <v/>
      </c>
    </row>
    <row r="32" spans="1:17" ht="18" x14ac:dyDescent="0.35">
      <c r="A32" s="30" t="str">
        <f>IF(NOT(ISBLANK(Curs!B36)),Curs!B36,"")</f>
        <v/>
      </c>
      <c r="B32" s="31" t="str">
        <f>IF(AND(NOT(ISBLANK(Curs!C36)),OR(Curs!V36="n/p",Curs!V36&lt;5)),Curs!C36,"")</f>
        <v/>
      </c>
      <c r="C32" s="10"/>
      <c r="D32" s="10"/>
      <c r="E32" s="10"/>
      <c r="F32" s="24"/>
      <c r="G32" s="24" t="str">
        <f t="shared" si="0"/>
        <v/>
      </c>
      <c r="H32" s="23" t="str">
        <f t="shared" si="1"/>
        <v/>
      </c>
    </row>
    <row r="33" spans="1:8" ht="18" x14ac:dyDescent="0.35">
      <c r="A33" s="30" t="str">
        <f>IF(NOT(ISBLANK(Curs!B37)),Curs!B37,"")</f>
        <v/>
      </c>
      <c r="B33" s="31" t="str">
        <f>IF(AND(NOT(ISBLANK(Curs!C37)),OR(Curs!V37="n/p",Curs!V37&lt;5)),Curs!C37,"")</f>
        <v/>
      </c>
      <c r="C33" s="10"/>
      <c r="D33" s="10"/>
      <c r="E33" s="10"/>
      <c r="F33" s="24"/>
      <c r="G33" s="24" t="str">
        <f t="shared" si="0"/>
        <v/>
      </c>
      <c r="H33" s="23" t="str">
        <f t="shared" si="1"/>
        <v/>
      </c>
    </row>
    <row r="34" spans="1:8" ht="18" x14ac:dyDescent="0.35">
      <c r="A34" s="30" t="str">
        <f>IF(NOT(ISBLANK(Curs!B38)),Curs!B38,"")</f>
        <v/>
      </c>
      <c r="B34" s="31" t="str">
        <f>IF(AND(NOT(ISBLANK(Curs!C38)),OR(Curs!V38="n/p",Curs!V38&lt;5)),Curs!C38,"")</f>
        <v/>
      </c>
      <c r="C34" s="10"/>
      <c r="D34" s="10"/>
      <c r="E34" s="10"/>
      <c r="F34" s="24"/>
      <c r="G34" s="24" t="str">
        <f t="shared" ref="G34:G65" si="3">IF(B34="","",ROUND(SUM(C34:F34),0))</f>
        <v/>
      </c>
      <c r="H34" s="23" t="str">
        <f t="shared" ref="H34:H65" si="4">IF(B34="","",
IF(G34=0,"n/p",
IF(AND(G34&gt;=$I$3,G34&lt;=$J$3),$K$3,
IF(AND(G34&gt;=$I$4,G34&lt;=$J$4),$K$4,
IF(AND(G34&gt;=$I$5,G34&lt;=$J$5),$K$5,
IF(AND(G34&gt;=$I$6,G34&lt;=$J$6),$K$6,
IF(AND(G34&gt;=$I$7,G34&lt;=$J$7),$K$7,
IF(AND(G34&gt;=$I$8,G34&lt;=$J$8),$K$8,
IF(AND(G34&gt;=$I$9,G34&lt;=$J$9),$K$9,
IF(AND(G34&gt;=$I$10,G34&lt;=$J$10),$K$10,
IF(AND(G34&gt;=$I$11,G34&lt;=$J$11),$K$11)))))))))))</f>
        <v/>
      </c>
    </row>
    <row r="35" spans="1:8" ht="18" x14ac:dyDescent="0.35">
      <c r="A35" s="30" t="str">
        <f>IF(NOT(ISBLANK(Curs!B39)),Curs!B39,"")</f>
        <v/>
      </c>
      <c r="B35" s="31" t="str">
        <f>IF(AND(NOT(ISBLANK(Curs!C39)),OR(Curs!V39="n/p",Curs!V39&lt;5)),Curs!C39,"")</f>
        <v/>
      </c>
      <c r="C35" s="10"/>
      <c r="D35" s="10"/>
      <c r="E35" s="10"/>
      <c r="F35" s="24"/>
      <c r="G35" s="24" t="str">
        <f t="shared" si="3"/>
        <v/>
      </c>
      <c r="H35" s="23" t="str">
        <f t="shared" si="4"/>
        <v/>
      </c>
    </row>
    <row r="36" spans="1:8" ht="18" x14ac:dyDescent="0.35">
      <c r="A36" s="30" t="str">
        <f>IF(NOT(ISBLANK(Curs!B40)),Curs!B40,"")</f>
        <v/>
      </c>
      <c r="B36" s="31" t="str">
        <f>IF(AND(NOT(ISBLANK(Curs!C40)),OR(Curs!V40="n/p",Curs!V40&lt;5)),Curs!C40,"")</f>
        <v/>
      </c>
      <c r="C36" s="10"/>
      <c r="D36" s="10"/>
      <c r="E36" s="10"/>
      <c r="F36" s="24"/>
      <c r="G36" s="24" t="str">
        <f t="shared" si="3"/>
        <v/>
      </c>
      <c r="H36" s="23" t="str">
        <f t="shared" si="4"/>
        <v/>
      </c>
    </row>
    <row r="37" spans="1:8" ht="18" x14ac:dyDescent="0.35">
      <c r="A37" s="30" t="str">
        <f>IF(NOT(ISBLANK(Curs!B41)),Curs!B41,"")</f>
        <v/>
      </c>
      <c r="B37" s="31" t="str">
        <f>IF(AND(NOT(ISBLANK(Curs!C41)),OR(Curs!V41="n/p",Curs!V41&lt;5)),Curs!C41,"")</f>
        <v/>
      </c>
      <c r="C37" s="10"/>
      <c r="D37" s="10"/>
      <c r="E37" s="10"/>
      <c r="F37" s="24"/>
      <c r="G37" s="24" t="str">
        <f t="shared" si="3"/>
        <v/>
      </c>
      <c r="H37" s="23" t="str">
        <f t="shared" si="4"/>
        <v/>
      </c>
    </row>
    <row r="38" spans="1:8" ht="18" x14ac:dyDescent="0.35">
      <c r="A38" s="30" t="str">
        <f>IF(NOT(ISBLANK(Curs!B42)),Curs!B42,"")</f>
        <v/>
      </c>
      <c r="B38" s="31" t="str">
        <f>IF(AND(NOT(ISBLANK(Curs!C42)),OR(Curs!V42="n/p",Curs!V42&lt;5)),Curs!C42,"")</f>
        <v/>
      </c>
      <c r="C38" s="10"/>
      <c r="D38" s="10"/>
      <c r="E38" s="10"/>
      <c r="F38" s="24"/>
      <c r="G38" s="24" t="str">
        <f t="shared" si="3"/>
        <v/>
      </c>
      <c r="H38" s="23" t="str">
        <f t="shared" si="4"/>
        <v/>
      </c>
    </row>
    <row r="39" spans="1:8" ht="18" x14ac:dyDescent="0.35">
      <c r="A39" s="30" t="str">
        <f>IF(NOT(ISBLANK(Curs!B43)),Curs!B43,"")</f>
        <v/>
      </c>
      <c r="B39" s="31" t="str">
        <f>IF(AND(NOT(ISBLANK(Curs!C43)),OR(Curs!V43="n/p",Curs!V43&lt;5)),Curs!C43,"")</f>
        <v/>
      </c>
      <c r="C39" s="10"/>
      <c r="D39" s="10"/>
      <c r="E39" s="10"/>
      <c r="F39" s="24"/>
      <c r="G39" s="24" t="str">
        <f t="shared" si="3"/>
        <v/>
      </c>
      <c r="H39" s="23" t="str">
        <f t="shared" si="4"/>
        <v/>
      </c>
    </row>
    <row r="40" spans="1:8" ht="18" x14ac:dyDescent="0.35">
      <c r="A40" s="30" t="str">
        <f>IF(NOT(ISBLANK(Curs!B44)),Curs!B44,"")</f>
        <v/>
      </c>
      <c r="B40" s="31" t="str">
        <f>IF(AND(NOT(ISBLANK(Curs!C44)),OR(Curs!V44="n/p",Curs!V44&lt;5)),Curs!C44,"")</f>
        <v/>
      </c>
      <c r="C40" s="10"/>
      <c r="D40" s="10"/>
      <c r="E40" s="10"/>
      <c r="F40" s="24"/>
      <c r="G40" s="24" t="str">
        <f t="shared" si="3"/>
        <v/>
      </c>
      <c r="H40" s="23" t="str">
        <f t="shared" si="4"/>
        <v/>
      </c>
    </row>
    <row r="41" spans="1:8" ht="18" x14ac:dyDescent="0.35">
      <c r="A41" s="30" t="str">
        <f>IF(NOT(ISBLANK(Curs!B45)),Curs!B45,"")</f>
        <v/>
      </c>
      <c r="B41" s="31" t="str">
        <f>IF(AND(NOT(ISBLANK(Curs!C45)),OR(Curs!V45="n/p",Curs!V45&lt;5)),Curs!C45,"")</f>
        <v/>
      </c>
      <c r="C41" s="10"/>
      <c r="D41" s="10"/>
      <c r="E41" s="10"/>
      <c r="F41" s="24"/>
      <c r="G41" s="24" t="str">
        <f t="shared" si="3"/>
        <v/>
      </c>
      <c r="H41" s="23" t="str">
        <f t="shared" si="4"/>
        <v/>
      </c>
    </row>
    <row r="42" spans="1:8" ht="18" x14ac:dyDescent="0.35">
      <c r="A42" s="30" t="str">
        <f>IF(NOT(ISBLANK(Curs!B46)),Curs!B46,"")</f>
        <v/>
      </c>
      <c r="B42" s="31" t="str">
        <f>IF(AND(NOT(ISBLANK(Curs!C46)),OR(Curs!V46="n/p",Curs!V46&lt;5)),Curs!C46,"")</f>
        <v/>
      </c>
      <c r="C42" s="10"/>
      <c r="D42" s="10"/>
      <c r="E42" s="10"/>
      <c r="F42" s="24"/>
      <c r="G42" s="24" t="str">
        <f t="shared" si="3"/>
        <v/>
      </c>
      <c r="H42" s="23" t="str">
        <f t="shared" si="4"/>
        <v/>
      </c>
    </row>
    <row r="43" spans="1:8" ht="18" x14ac:dyDescent="0.35">
      <c r="A43" s="30" t="str">
        <f>IF(NOT(ISBLANK(Curs!B47)),Curs!B47,"")</f>
        <v/>
      </c>
      <c r="B43" s="31" t="str">
        <f>IF(AND(NOT(ISBLANK(Curs!C47)),OR(Curs!V47="n/p",Curs!V47&lt;5)),Curs!C47,"")</f>
        <v/>
      </c>
      <c r="C43" s="10"/>
      <c r="D43" s="10"/>
      <c r="E43" s="10"/>
      <c r="F43" s="24"/>
      <c r="G43" s="24" t="str">
        <f t="shared" si="3"/>
        <v/>
      </c>
      <c r="H43" s="23" t="str">
        <f t="shared" si="4"/>
        <v/>
      </c>
    </row>
    <row r="44" spans="1:8" ht="18" x14ac:dyDescent="0.35">
      <c r="A44" s="30" t="str">
        <f>IF(NOT(ISBLANK(Curs!B48)),Curs!B48,"")</f>
        <v/>
      </c>
      <c r="B44" s="31" t="str">
        <f>IF(AND(NOT(ISBLANK(Curs!C48)),OR(Curs!V48="n/p",Curs!V48&lt;5)),Curs!C48,"")</f>
        <v/>
      </c>
      <c r="C44" s="10"/>
      <c r="D44" s="10"/>
      <c r="E44" s="10"/>
      <c r="F44" s="24"/>
      <c r="G44" s="24" t="str">
        <f t="shared" si="3"/>
        <v/>
      </c>
      <c r="H44" s="23" t="str">
        <f t="shared" si="4"/>
        <v/>
      </c>
    </row>
    <row r="45" spans="1:8" ht="18" x14ac:dyDescent="0.35">
      <c r="A45" s="30" t="str">
        <f>IF(NOT(ISBLANK(Curs!B49)),Curs!B49,"")</f>
        <v/>
      </c>
      <c r="B45" s="31" t="str">
        <f>IF(AND(NOT(ISBLANK(Curs!C49)),OR(Curs!V49="n/p",Curs!V49&lt;5)),Curs!C49,"")</f>
        <v/>
      </c>
      <c r="C45" s="10"/>
      <c r="D45" s="10"/>
      <c r="E45" s="10"/>
      <c r="F45" s="24"/>
      <c r="G45" s="24" t="str">
        <f t="shared" si="3"/>
        <v/>
      </c>
      <c r="H45" s="23" t="str">
        <f t="shared" si="4"/>
        <v/>
      </c>
    </row>
    <row r="46" spans="1:8" ht="18" x14ac:dyDescent="0.35">
      <c r="A46" s="30" t="str">
        <f>IF(NOT(ISBLANK(Curs!B50)),Curs!B50,"")</f>
        <v/>
      </c>
      <c r="B46" s="31" t="str">
        <f>IF(AND(NOT(ISBLANK(Curs!C50)),OR(Curs!V50="n/p",Curs!V50&lt;5)),Curs!C50,"")</f>
        <v/>
      </c>
      <c r="C46" s="10"/>
      <c r="D46" s="10"/>
      <c r="E46" s="10"/>
      <c r="F46" s="24"/>
      <c r="G46" s="24" t="str">
        <f t="shared" si="3"/>
        <v/>
      </c>
      <c r="H46" s="23" t="str">
        <f t="shared" si="4"/>
        <v/>
      </c>
    </row>
    <row r="47" spans="1:8" ht="18" x14ac:dyDescent="0.35">
      <c r="A47" s="30" t="str">
        <f>IF(NOT(ISBLANK(Curs!B51)),Curs!B51,"")</f>
        <v/>
      </c>
      <c r="B47" s="31" t="str">
        <f>IF(AND(NOT(ISBLANK(Curs!C51)),OR(Curs!V51="n/p",Curs!V51&lt;5)),Curs!C51,"")</f>
        <v/>
      </c>
      <c r="C47" s="10"/>
      <c r="D47" s="10"/>
      <c r="E47" s="10"/>
      <c r="F47" s="24"/>
      <c r="G47" s="24" t="str">
        <f t="shared" si="3"/>
        <v/>
      </c>
      <c r="H47" s="23" t="str">
        <f t="shared" si="4"/>
        <v/>
      </c>
    </row>
    <row r="48" spans="1:8" ht="18" x14ac:dyDescent="0.35">
      <c r="A48" s="30" t="str">
        <f>IF(NOT(ISBLANK(Curs!B52)),Curs!B52,"")</f>
        <v/>
      </c>
      <c r="B48" s="31" t="str">
        <f>IF(AND(NOT(ISBLANK(Curs!C52)),OR(Curs!V52="n/p",Curs!V52&lt;5)),Curs!C52,"")</f>
        <v/>
      </c>
      <c r="C48" s="10"/>
      <c r="D48" s="10"/>
      <c r="E48" s="10"/>
      <c r="F48" s="24"/>
      <c r="G48" s="24" t="str">
        <f t="shared" si="3"/>
        <v/>
      </c>
      <c r="H48" s="23" t="str">
        <f t="shared" si="4"/>
        <v/>
      </c>
    </row>
    <row r="49" spans="1:8" ht="18" x14ac:dyDescent="0.35">
      <c r="A49" s="30" t="str">
        <f>IF(NOT(ISBLANK(Curs!B53)),Curs!B53,"")</f>
        <v/>
      </c>
      <c r="B49" s="31" t="str">
        <f>IF(AND(NOT(ISBLANK(Curs!C53)),OR(Curs!V53="n/p",Curs!V53&lt;5)),Curs!C53,"")</f>
        <v/>
      </c>
      <c r="C49" s="10"/>
      <c r="D49" s="10"/>
      <c r="E49" s="10"/>
      <c r="F49" s="24"/>
      <c r="G49" s="24" t="str">
        <f t="shared" si="3"/>
        <v/>
      </c>
      <c r="H49" s="23" t="str">
        <f t="shared" si="4"/>
        <v/>
      </c>
    </row>
    <row r="50" spans="1:8" ht="18" x14ac:dyDescent="0.35">
      <c r="A50" s="30" t="str">
        <f>IF(NOT(ISBLANK(Curs!B54)),Curs!B54,"")</f>
        <v/>
      </c>
      <c r="B50" s="31" t="str">
        <f>IF(AND(NOT(ISBLANK(Curs!C54)),OR(Curs!V54="n/p",Curs!V54&lt;5)),Curs!C54,"")</f>
        <v/>
      </c>
      <c r="C50" s="10"/>
      <c r="D50" s="10"/>
      <c r="E50" s="10"/>
      <c r="F50" s="24"/>
      <c r="G50" s="24" t="str">
        <f t="shared" si="3"/>
        <v/>
      </c>
      <c r="H50" s="23" t="str">
        <f t="shared" si="4"/>
        <v/>
      </c>
    </row>
    <row r="51" spans="1:8" ht="18" x14ac:dyDescent="0.35">
      <c r="A51" s="30" t="str">
        <f>IF(NOT(ISBLANK(Curs!B55)),Curs!B55,"")</f>
        <v/>
      </c>
      <c r="B51" s="31" t="str">
        <f>IF(AND(NOT(ISBLANK(Curs!C55)),OR(Curs!V55="n/p",Curs!V55&lt;5)),Curs!C55,"")</f>
        <v/>
      </c>
      <c r="C51" s="10"/>
      <c r="D51" s="10"/>
      <c r="E51" s="10"/>
      <c r="F51" s="24"/>
      <c r="G51" s="24" t="str">
        <f t="shared" si="3"/>
        <v/>
      </c>
      <c r="H51" s="23" t="str">
        <f t="shared" si="4"/>
        <v/>
      </c>
    </row>
    <row r="52" spans="1:8" ht="18" x14ac:dyDescent="0.35">
      <c r="A52" s="30" t="str">
        <f>IF(NOT(ISBLANK(Curs!B56)),Curs!B56,"")</f>
        <v/>
      </c>
      <c r="B52" s="31" t="str">
        <f>IF(AND(NOT(ISBLANK(Curs!C56)),OR(Curs!V56="n/p",Curs!V56&lt;5)),Curs!C56,"")</f>
        <v/>
      </c>
      <c r="C52" s="10"/>
      <c r="D52" s="10"/>
      <c r="E52" s="10"/>
      <c r="F52" s="24"/>
      <c r="G52" s="24" t="str">
        <f t="shared" si="3"/>
        <v/>
      </c>
      <c r="H52" s="23" t="str">
        <f t="shared" si="4"/>
        <v/>
      </c>
    </row>
    <row r="53" spans="1:8" ht="18" x14ac:dyDescent="0.35">
      <c r="A53" s="30" t="str">
        <f>IF(NOT(ISBLANK(Curs!B57)),Curs!B57,"")</f>
        <v/>
      </c>
      <c r="B53" s="31" t="str">
        <f>IF(AND(NOT(ISBLANK(Curs!C57)),OR(Curs!V57="n/p",Curs!V57&lt;5)),Curs!C57,"")</f>
        <v/>
      </c>
      <c r="C53" s="10"/>
      <c r="D53" s="10"/>
      <c r="E53" s="10"/>
      <c r="F53" s="24"/>
      <c r="G53" s="24" t="str">
        <f t="shared" si="3"/>
        <v/>
      </c>
      <c r="H53" s="23" t="str">
        <f t="shared" si="4"/>
        <v/>
      </c>
    </row>
    <row r="54" spans="1:8" ht="18" x14ac:dyDescent="0.35">
      <c r="A54" s="30" t="str">
        <f>IF(NOT(ISBLANK(Curs!B58)),Curs!B58,"")</f>
        <v/>
      </c>
      <c r="B54" s="31" t="str">
        <f>IF(AND(NOT(ISBLANK(Curs!C58)),OR(Curs!V58="n/p",Curs!V58&lt;5)),Curs!C58,"")</f>
        <v/>
      </c>
      <c r="C54" s="10"/>
      <c r="D54" s="10"/>
      <c r="E54" s="10"/>
      <c r="F54" s="24"/>
      <c r="G54" s="24" t="str">
        <f t="shared" si="3"/>
        <v/>
      </c>
      <c r="H54" s="23" t="str">
        <f t="shared" si="4"/>
        <v/>
      </c>
    </row>
    <row r="55" spans="1:8" ht="18" x14ac:dyDescent="0.35">
      <c r="A55" s="30" t="str">
        <f>IF(NOT(ISBLANK(Curs!B59)),Curs!B59,"")</f>
        <v/>
      </c>
      <c r="B55" s="31" t="str">
        <f>IF(AND(NOT(ISBLANK(Curs!C59)),OR(Curs!V59="n/p",Curs!V59&lt;5)),Curs!C59,"")</f>
        <v/>
      </c>
      <c r="C55" s="10"/>
      <c r="D55" s="10"/>
      <c r="E55" s="10"/>
      <c r="F55" s="24"/>
      <c r="G55" s="24" t="str">
        <f t="shared" si="3"/>
        <v/>
      </c>
      <c r="H55" s="23" t="str">
        <f t="shared" si="4"/>
        <v/>
      </c>
    </row>
    <row r="56" spans="1:8" ht="18" x14ac:dyDescent="0.35">
      <c r="A56" s="30" t="str">
        <f>IF(NOT(ISBLANK(Curs!B60)),Curs!B60,"")</f>
        <v/>
      </c>
      <c r="B56" s="31" t="str">
        <f>IF(AND(NOT(ISBLANK(Curs!C60)),OR(Curs!V60="n/p",Curs!V60&lt;5)),Curs!C60,"")</f>
        <v/>
      </c>
      <c r="C56" s="10"/>
      <c r="D56" s="10"/>
      <c r="E56" s="10"/>
      <c r="F56" s="24"/>
      <c r="G56" s="24" t="str">
        <f t="shared" si="3"/>
        <v/>
      </c>
      <c r="H56" s="23" t="str">
        <f t="shared" si="4"/>
        <v/>
      </c>
    </row>
    <row r="57" spans="1:8" ht="18" x14ac:dyDescent="0.35">
      <c r="A57" s="30" t="str">
        <f>IF(NOT(ISBLANK(Curs!B61)),Curs!B61,"")</f>
        <v/>
      </c>
      <c r="B57" s="31" t="str">
        <f>IF(AND(NOT(ISBLANK(Curs!C61)),OR(Curs!V61="n/p",Curs!V61&lt;5)),Curs!C61,"")</f>
        <v/>
      </c>
      <c r="C57" s="10"/>
      <c r="D57" s="10"/>
      <c r="E57" s="10"/>
      <c r="F57" s="24"/>
      <c r="G57" s="24" t="str">
        <f t="shared" si="3"/>
        <v/>
      </c>
      <c r="H57" s="23" t="str">
        <f t="shared" si="4"/>
        <v/>
      </c>
    </row>
    <row r="58" spans="1:8" ht="18" x14ac:dyDescent="0.35">
      <c r="A58" s="30" t="str">
        <f>IF(NOT(ISBLANK(Curs!B62)),Curs!B62,"")</f>
        <v/>
      </c>
      <c r="B58" s="31" t="str">
        <f>IF(AND(NOT(ISBLANK(Curs!C62)),OR(Curs!V62="n/p",Curs!V62&lt;5)),Curs!C62,"")</f>
        <v/>
      </c>
      <c r="C58" s="10"/>
      <c r="D58" s="10"/>
      <c r="E58" s="10"/>
      <c r="F58" s="24"/>
      <c r="G58" s="24" t="str">
        <f t="shared" si="3"/>
        <v/>
      </c>
      <c r="H58" s="23" t="str">
        <f t="shared" si="4"/>
        <v/>
      </c>
    </row>
    <row r="59" spans="1:8" ht="18" x14ac:dyDescent="0.35">
      <c r="A59" s="30" t="str">
        <f>IF(NOT(ISBLANK(Curs!B63)),Curs!B63,"")</f>
        <v/>
      </c>
      <c r="B59" s="31" t="str">
        <f>IF(AND(NOT(ISBLANK(Curs!C63)),OR(Curs!V63="n/p",Curs!V63&lt;5)),Curs!C63,"")</f>
        <v/>
      </c>
      <c r="C59" s="10"/>
      <c r="D59" s="10"/>
      <c r="E59" s="10"/>
      <c r="F59" s="24"/>
      <c r="G59" s="24" t="str">
        <f t="shared" si="3"/>
        <v/>
      </c>
      <c r="H59" s="23" t="str">
        <f t="shared" si="4"/>
        <v/>
      </c>
    </row>
    <row r="60" spans="1:8" ht="18" x14ac:dyDescent="0.35">
      <c r="A60" s="30" t="str">
        <f>IF(NOT(ISBLANK(Curs!B64)),Curs!B64,"")</f>
        <v/>
      </c>
      <c r="B60" s="31" t="str">
        <f>IF(AND(NOT(ISBLANK(Curs!C64)),OR(Curs!V64="n/p",Curs!V64&lt;5)),Curs!C64,"")</f>
        <v/>
      </c>
      <c r="C60" s="10"/>
      <c r="D60" s="10"/>
      <c r="E60" s="10"/>
      <c r="F60" s="24"/>
      <c r="G60" s="24" t="str">
        <f t="shared" si="3"/>
        <v/>
      </c>
      <c r="H60" s="23" t="str">
        <f t="shared" si="4"/>
        <v/>
      </c>
    </row>
    <row r="61" spans="1:8" ht="18" x14ac:dyDescent="0.35">
      <c r="A61" s="30" t="str">
        <f>IF(NOT(ISBLANK(Curs!B65)),Curs!B65,"")</f>
        <v/>
      </c>
      <c r="B61" s="31" t="str">
        <f>IF(AND(NOT(ISBLANK(Curs!C65)),OR(Curs!V65="n/p",Curs!V65&lt;5)),Curs!C65,"")</f>
        <v/>
      </c>
      <c r="C61" s="10"/>
      <c r="D61" s="10"/>
      <c r="E61" s="10"/>
      <c r="F61" s="24"/>
      <c r="G61" s="24" t="str">
        <f t="shared" si="3"/>
        <v/>
      </c>
      <c r="H61" s="23" t="str">
        <f t="shared" si="4"/>
        <v/>
      </c>
    </row>
    <row r="62" spans="1:8" ht="18" x14ac:dyDescent="0.35">
      <c r="A62" s="30" t="str">
        <f>IF(NOT(ISBLANK(Curs!B66)),Curs!B66,"")</f>
        <v/>
      </c>
      <c r="B62" s="31" t="str">
        <f>IF(AND(NOT(ISBLANK(Curs!C66)),OR(Curs!V66="n/p",Curs!V66&lt;5)),Curs!C66,"")</f>
        <v/>
      </c>
      <c r="C62" s="10"/>
      <c r="D62" s="10"/>
      <c r="E62" s="10"/>
      <c r="F62" s="24"/>
      <c r="G62" s="24" t="str">
        <f t="shared" si="3"/>
        <v/>
      </c>
      <c r="H62" s="23" t="str">
        <f t="shared" si="4"/>
        <v/>
      </c>
    </row>
    <row r="63" spans="1:8" ht="18" x14ac:dyDescent="0.35">
      <c r="A63" s="30" t="str">
        <f>IF(NOT(ISBLANK(Curs!B67)),Curs!B67,"")</f>
        <v/>
      </c>
      <c r="B63" s="31" t="str">
        <f>IF(AND(NOT(ISBLANK(Curs!C67)),OR(Curs!V67="n/p",Curs!V67&lt;5)),Curs!C67,"")</f>
        <v/>
      </c>
      <c r="C63" s="10"/>
      <c r="D63" s="10"/>
      <c r="E63" s="10"/>
      <c r="F63" s="24"/>
      <c r="G63" s="24" t="str">
        <f t="shared" si="3"/>
        <v/>
      </c>
      <c r="H63" s="23" t="str">
        <f t="shared" si="4"/>
        <v/>
      </c>
    </row>
    <row r="64" spans="1:8" ht="18" x14ac:dyDescent="0.35">
      <c r="A64" s="30" t="str">
        <f>IF(NOT(ISBLANK(Curs!B68)),Curs!B68,"")</f>
        <v/>
      </c>
      <c r="B64" s="31" t="str">
        <f>IF(AND(NOT(ISBLANK(Curs!C68)),OR(Curs!V68="n/p",Curs!V68&lt;5)),Curs!C68,"")</f>
        <v/>
      </c>
      <c r="C64" s="10"/>
      <c r="D64" s="10"/>
      <c r="E64" s="10"/>
      <c r="F64" s="24"/>
      <c r="G64" s="24" t="str">
        <f t="shared" si="3"/>
        <v/>
      </c>
      <c r="H64" s="23" t="str">
        <f t="shared" si="4"/>
        <v/>
      </c>
    </row>
    <row r="65" spans="1:8" ht="18" x14ac:dyDescent="0.35">
      <c r="A65" s="30" t="str">
        <f>IF(NOT(ISBLANK(Curs!B69)),Curs!B69,"")</f>
        <v/>
      </c>
      <c r="B65" s="31" t="str">
        <f>IF(AND(NOT(ISBLANK(Curs!C69)),OR(Curs!V69="n/p",Curs!V69&lt;5)),Curs!C69,"")</f>
        <v/>
      </c>
      <c r="C65" s="10"/>
      <c r="D65" s="10"/>
      <c r="E65" s="10"/>
      <c r="F65" s="24"/>
      <c r="G65" s="24" t="str">
        <f t="shared" si="3"/>
        <v/>
      </c>
      <c r="H65" s="23" t="str">
        <f t="shared" si="4"/>
        <v/>
      </c>
    </row>
    <row r="66" spans="1:8" ht="18" x14ac:dyDescent="0.35">
      <c r="A66" s="30" t="str">
        <f>IF(NOT(ISBLANK(Curs!B70)),Curs!B70,"")</f>
        <v/>
      </c>
      <c r="B66" s="31" t="str">
        <f>IF(AND(NOT(ISBLANK(Curs!C70)),OR(Curs!V70="n/p",Curs!V70&lt;5)),Curs!C70,"")</f>
        <v/>
      </c>
      <c r="C66" s="10"/>
      <c r="D66" s="10"/>
      <c r="E66" s="10"/>
      <c r="F66" s="24"/>
      <c r="G66" s="24" t="str">
        <f t="shared" ref="G66:G97" si="5">IF(B66="","",ROUND(SUM(C66:F66),0))</f>
        <v/>
      </c>
      <c r="H66" s="23" t="str">
        <f t="shared" ref="H66:H97" si="6">IF(B66="","",
IF(G66=0,"n/p",
IF(AND(G66&gt;=$I$3,G66&lt;=$J$3),$K$3,
IF(AND(G66&gt;=$I$4,G66&lt;=$J$4),$K$4,
IF(AND(G66&gt;=$I$5,G66&lt;=$J$5),$K$5,
IF(AND(G66&gt;=$I$6,G66&lt;=$J$6),$K$6,
IF(AND(G66&gt;=$I$7,G66&lt;=$J$7),$K$7,
IF(AND(G66&gt;=$I$8,G66&lt;=$J$8),$K$8,
IF(AND(G66&gt;=$I$9,G66&lt;=$J$9),$K$9,
IF(AND(G66&gt;=$I$10,G66&lt;=$J$10),$K$10,
IF(AND(G66&gt;=$I$11,G66&lt;=$J$11),$K$11)))))))))))</f>
        <v/>
      </c>
    </row>
    <row r="67" spans="1:8" ht="18" x14ac:dyDescent="0.35">
      <c r="A67" s="30" t="str">
        <f>IF(NOT(ISBLANK(Curs!B71)),Curs!B71,"")</f>
        <v/>
      </c>
      <c r="B67" s="31" t="str">
        <f>IF(AND(NOT(ISBLANK(Curs!C71)),OR(Curs!V71="n/p",Curs!V71&lt;5)),Curs!C71,"")</f>
        <v/>
      </c>
      <c r="C67" s="10"/>
      <c r="D67" s="10"/>
      <c r="E67" s="10"/>
      <c r="F67" s="24"/>
      <c r="G67" s="24" t="str">
        <f t="shared" si="5"/>
        <v/>
      </c>
      <c r="H67" s="23" t="str">
        <f t="shared" si="6"/>
        <v/>
      </c>
    </row>
    <row r="68" spans="1:8" ht="18" x14ac:dyDescent="0.35">
      <c r="A68" s="30" t="str">
        <f>IF(NOT(ISBLANK(Curs!B72)),Curs!B72,"")</f>
        <v/>
      </c>
      <c r="B68" s="31" t="str">
        <f>IF(AND(NOT(ISBLANK(Curs!C72)),OR(Curs!V72="n/p",Curs!V72&lt;5)),Curs!C72,"")</f>
        <v/>
      </c>
      <c r="C68" s="10"/>
      <c r="D68" s="10"/>
      <c r="E68" s="10"/>
      <c r="F68" s="24"/>
      <c r="G68" s="24" t="str">
        <f t="shared" si="5"/>
        <v/>
      </c>
      <c r="H68" s="23" t="str">
        <f t="shared" si="6"/>
        <v/>
      </c>
    </row>
    <row r="69" spans="1:8" ht="18" x14ac:dyDescent="0.35">
      <c r="A69" s="30" t="str">
        <f>IF(NOT(ISBLANK(Curs!B73)),Curs!B73,"")</f>
        <v/>
      </c>
      <c r="B69" s="31" t="str">
        <f>IF(AND(NOT(ISBLANK(Curs!C73)),OR(Curs!V73="n/p",Curs!V73&lt;5)),Curs!C73,"")</f>
        <v/>
      </c>
      <c r="C69" s="10"/>
      <c r="D69" s="10"/>
      <c r="E69" s="10"/>
      <c r="F69" s="24"/>
      <c r="G69" s="24" t="str">
        <f t="shared" si="5"/>
        <v/>
      </c>
      <c r="H69" s="23" t="str">
        <f t="shared" si="6"/>
        <v/>
      </c>
    </row>
    <row r="70" spans="1:8" ht="18" x14ac:dyDescent="0.35">
      <c r="A70" s="30" t="str">
        <f>IF(NOT(ISBLANK(Curs!B74)),Curs!B74,"")</f>
        <v/>
      </c>
      <c r="B70" s="31" t="str">
        <f>IF(AND(NOT(ISBLANK(Curs!C74)),OR(Curs!V74="n/p",Curs!V74&lt;5)),Curs!C74,"")</f>
        <v/>
      </c>
      <c r="C70" s="10"/>
      <c r="D70" s="10"/>
      <c r="E70" s="10"/>
      <c r="F70" s="24"/>
      <c r="G70" s="24" t="str">
        <f t="shared" si="5"/>
        <v/>
      </c>
      <c r="H70" s="23" t="str">
        <f t="shared" si="6"/>
        <v/>
      </c>
    </row>
    <row r="71" spans="1:8" ht="18" x14ac:dyDescent="0.35">
      <c r="A71" s="30" t="str">
        <f>IF(NOT(ISBLANK(Curs!B75)),Curs!B75,"")</f>
        <v/>
      </c>
      <c r="B71" s="31" t="str">
        <f>IF(AND(NOT(ISBLANK(Curs!C75)),OR(Curs!V75="n/p",Curs!V75&lt;5)),Curs!C75,"")</f>
        <v/>
      </c>
      <c r="C71" s="10"/>
      <c r="D71" s="10"/>
      <c r="E71" s="10"/>
      <c r="F71" s="24"/>
      <c r="G71" s="24" t="str">
        <f t="shared" si="5"/>
        <v/>
      </c>
      <c r="H71" s="23" t="str">
        <f t="shared" si="6"/>
        <v/>
      </c>
    </row>
    <row r="72" spans="1:8" ht="18" x14ac:dyDescent="0.35">
      <c r="A72" s="30" t="str">
        <f>IF(NOT(ISBLANK(Curs!B76)),Curs!B76,"")</f>
        <v/>
      </c>
      <c r="B72" s="31" t="str">
        <f>IF(AND(NOT(ISBLANK(Curs!C76)),OR(Curs!V76="n/p",Curs!V76&lt;5)),Curs!C76,"")</f>
        <v/>
      </c>
      <c r="C72" s="10"/>
      <c r="D72" s="10"/>
      <c r="E72" s="10"/>
      <c r="F72" s="24"/>
      <c r="G72" s="24" t="str">
        <f t="shared" si="5"/>
        <v/>
      </c>
      <c r="H72" s="23" t="str">
        <f t="shared" si="6"/>
        <v/>
      </c>
    </row>
    <row r="73" spans="1:8" ht="18" x14ac:dyDescent="0.35">
      <c r="A73" s="30" t="str">
        <f>IF(NOT(ISBLANK(Curs!B77)),Curs!B77,"")</f>
        <v/>
      </c>
      <c r="B73" s="31" t="str">
        <f>IF(AND(NOT(ISBLANK(Curs!C77)),OR(Curs!V77="n/p",Curs!V77&lt;5)),Curs!C77,"")</f>
        <v/>
      </c>
      <c r="C73" s="10"/>
      <c r="D73" s="10"/>
      <c r="E73" s="10"/>
      <c r="F73" s="24"/>
      <c r="G73" s="24" t="str">
        <f t="shared" si="5"/>
        <v/>
      </c>
      <c r="H73" s="23" t="str">
        <f t="shared" si="6"/>
        <v/>
      </c>
    </row>
    <row r="74" spans="1:8" ht="18" x14ac:dyDescent="0.35">
      <c r="A74" s="30" t="str">
        <f>IF(NOT(ISBLANK(Curs!B78)),Curs!B78,"")</f>
        <v/>
      </c>
      <c r="B74" s="31" t="str">
        <f>IF(AND(NOT(ISBLANK(Curs!C78)),OR(Curs!V78="n/p",Curs!V78&lt;5)),Curs!C78,"")</f>
        <v/>
      </c>
      <c r="C74" s="10"/>
      <c r="D74" s="10"/>
      <c r="E74" s="10"/>
      <c r="F74" s="24"/>
      <c r="G74" s="24" t="str">
        <f t="shared" si="5"/>
        <v/>
      </c>
      <c r="H74" s="23" t="str">
        <f t="shared" si="6"/>
        <v/>
      </c>
    </row>
    <row r="75" spans="1:8" ht="18" x14ac:dyDescent="0.35">
      <c r="A75" s="30" t="str">
        <f>IF(NOT(ISBLANK(Curs!B79)),Curs!B79,"")</f>
        <v/>
      </c>
      <c r="B75" s="31" t="str">
        <f>IF(AND(NOT(ISBLANK(Curs!C79)),OR(Curs!V79="n/p",Curs!V79&lt;5)),Curs!C79,"")</f>
        <v/>
      </c>
      <c r="C75" s="10"/>
      <c r="D75" s="10"/>
      <c r="E75" s="10"/>
      <c r="F75" s="24"/>
      <c r="G75" s="24" t="str">
        <f t="shared" si="5"/>
        <v/>
      </c>
      <c r="H75" s="23" t="str">
        <f t="shared" si="6"/>
        <v/>
      </c>
    </row>
    <row r="76" spans="1:8" ht="18" x14ac:dyDescent="0.35">
      <c r="A76" s="30" t="str">
        <f>IF(NOT(ISBLANK(Curs!B80)),Curs!B80,"")</f>
        <v/>
      </c>
      <c r="B76" s="31" t="str">
        <f>IF(AND(NOT(ISBLANK(Curs!C80)),OR(Curs!V80="n/p",Curs!V80&lt;5)),Curs!C80,"")</f>
        <v/>
      </c>
      <c r="C76" s="10"/>
      <c r="D76" s="10"/>
      <c r="E76" s="10"/>
      <c r="F76" s="24"/>
      <c r="G76" s="24" t="str">
        <f t="shared" si="5"/>
        <v/>
      </c>
      <c r="H76" s="23" t="str">
        <f t="shared" si="6"/>
        <v/>
      </c>
    </row>
    <row r="77" spans="1:8" ht="18" x14ac:dyDescent="0.35">
      <c r="A77" s="30" t="str">
        <f>IF(NOT(ISBLANK(Curs!B81)),Curs!B81,"")</f>
        <v/>
      </c>
      <c r="B77" s="31" t="str">
        <f>IF(AND(NOT(ISBLANK(Curs!C81)),OR(Curs!V81="n/p",Curs!V81&lt;5)),Curs!C81,"")</f>
        <v/>
      </c>
      <c r="C77" s="10"/>
      <c r="D77" s="10"/>
      <c r="E77" s="10"/>
      <c r="F77" s="24"/>
      <c r="G77" s="24" t="str">
        <f t="shared" si="5"/>
        <v/>
      </c>
      <c r="H77" s="23" t="str">
        <f t="shared" si="6"/>
        <v/>
      </c>
    </row>
    <row r="78" spans="1:8" ht="18" x14ac:dyDescent="0.35">
      <c r="A78" s="30" t="str">
        <f>IF(NOT(ISBLANK(Curs!B82)),Curs!B82,"")</f>
        <v/>
      </c>
      <c r="B78" s="31" t="str">
        <f>IF(AND(NOT(ISBLANK(Curs!C82)),OR(Curs!V82="n/p",Curs!V82&lt;5)),Curs!C82,"")</f>
        <v/>
      </c>
      <c r="C78" s="10"/>
      <c r="D78" s="10"/>
      <c r="E78" s="10"/>
      <c r="F78" s="24"/>
      <c r="G78" s="24" t="str">
        <f t="shared" si="5"/>
        <v/>
      </c>
      <c r="H78" s="23" t="str">
        <f t="shared" si="6"/>
        <v/>
      </c>
    </row>
    <row r="79" spans="1:8" ht="18" x14ac:dyDescent="0.35">
      <c r="A79" s="30" t="str">
        <f>IF(NOT(ISBLANK(Curs!B83)),Curs!B83,"")</f>
        <v/>
      </c>
      <c r="B79" s="31" t="str">
        <f>IF(AND(NOT(ISBLANK(Curs!C83)),OR(Curs!V83="n/p",Curs!V83&lt;5)),Curs!C83,"")</f>
        <v/>
      </c>
      <c r="C79" s="10"/>
      <c r="D79" s="10"/>
      <c r="E79" s="10"/>
      <c r="F79" s="24"/>
      <c r="G79" s="24" t="str">
        <f t="shared" si="5"/>
        <v/>
      </c>
      <c r="H79" s="23" t="str">
        <f t="shared" si="6"/>
        <v/>
      </c>
    </row>
    <row r="80" spans="1:8" ht="18" x14ac:dyDescent="0.35">
      <c r="A80" s="30" t="str">
        <f>IF(NOT(ISBLANK(Curs!B84)),Curs!B84,"")</f>
        <v/>
      </c>
      <c r="B80" s="31" t="str">
        <f>IF(AND(NOT(ISBLANK(Curs!C84)),OR(Curs!V84="n/p",Curs!V84&lt;5)),Curs!C84,"")</f>
        <v/>
      </c>
      <c r="C80" s="10"/>
      <c r="D80" s="10"/>
      <c r="E80" s="10"/>
      <c r="F80" s="24"/>
      <c r="G80" s="24" t="str">
        <f t="shared" si="5"/>
        <v/>
      </c>
      <c r="H80" s="23" t="str">
        <f t="shared" si="6"/>
        <v/>
      </c>
    </row>
    <row r="81" spans="1:8" ht="18" x14ac:dyDescent="0.35">
      <c r="A81" s="30" t="str">
        <f>IF(NOT(ISBLANK(Curs!B85)),Curs!B85,"")</f>
        <v/>
      </c>
      <c r="B81" s="31" t="str">
        <f>IF(AND(NOT(ISBLANK(Curs!C85)),OR(Curs!V85="n/p",Curs!V85&lt;5)),Curs!C85,"")</f>
        <v/>
      </c>
      <c r="C81" s="10"/>
      <c r="D81" s="10"/>
      <c r="E81" s="10"/>
      <c r="F81" s="24"/>
      <c r="G81" s="24" t="str">
        <f t="shared" si="5"/>
        <v/>
      </c>
      <c r="H81" s="23" t="str">
        <f t="shared" si="6"/>
        <v/>
      </c>
    </row>
    <row r="82" spans="1:8" ht="18" x14ac:dyDescent="0.35">
      <c r="A82" s="30" t="str">
        <f>IF(NOT(ISBLANK(Curs!B86)),Curs!B86,"")</f>
        <v/>
      </c>
      <c r="B82" s="31" t="str">
        <f>IF(AND(NOT(ISBLANK(Curs!C86)),OR(Curs!V86="n/p",Curs!V86&lt;5)),Curs!C86,"")</f>
        <v/>
      </c>
      <c r="C82" s="10"/>
      <c r="D82" s="10"/>
      <c r="E82" s="10"/>
      <c r="F82" s="24"/>
      <c r="G82" s="24" t="str">
        <f t="shared" si="5"/>
        <v/>
      </c>
      <c r="H82" s="23" t="str">
        <f t="shared" si="6"/>
        <v/>
      </c>
    </row>
    <row r="83" spans="1:8" ht="18" x14ac:dyDescent="0.35">
      <c r="A83" s="30" t="str">
        <f>IF(NOT(ISBLANK(Curs!B87)),Curs!B87,"")</f>
        <v/>
      </c>
      <c r="B83" s="31" t="str">
        <f>IF(AND(NOT(ISBLANK(Curs!C87)),OR(Curs!V87="n/p",Curs!V87&lt;5)),Curs!C87,"")</f>
        <v/>
      </c>
      <c r="C83" s="10"/>
      <c r="D83" s="10"/>
      <c r="E83" s="10"/>
      <c r="F83" s="24"/>
      <c r="G83" s="24" t="str">
        <f t="shared" si="5"/>
        <v/>
      </c>
      <c r="H83" s="23" t="str">
        <f t="shared" si="6"/>
        <v/>
      </c>
    </row>
    <row r="84" spans="1:8" ht="18" x14ac:dyDescent="0.35">
      <c r="A84" s="30" t="str">
        <f>IF(NOT(ISBLANK(Curs!B88)),Curs!B88,"")</f>
        <v/>
      </c>
      <c r="B84" s="31" t="str">
        <f>IF(AND(NOT(ISBLANK(Curs!C88)),OR(Curs!V88="n/p",Curs!V88&lt;5)),Curs!C88,"")</f>
        <v/>
      </c>
      <c r="C84" s="10"/>
      <c r="D84" s="10"/>
      <c r="E84" s="10"/>
      <c r="F84" s="24"/>
      <c r="G84" s="24" t="str">
        <f t="shared" si="5"/>
        <v/>
      </c>
      <c r="H84" s="23" t="str">
        <f t="shared" si="6"/>
        <v/>
      </c>
    </row>
    <row r="85" spans="1:8" ht="18" x14ac:dyDescent="0.35">
      <c r="A85" s="30" t="str">
        <f>IF(NOT(ISBLANK(Curs!B89)),Curs!B89,"")</f>
        <v/>
      </c>
      <c r="B85" s="31" t="str">
        <f>IF(AND(NOT(ISBLANK(Curs!C89)),OR(Curs!V89="n/p",Curs!V89&lt;5)),Curs!C89,"")</f>
        <v/>
      </c>
      <c r="C85" s="10"/>
      <c r="D85" s="10"/>
      <c r="E85" s="10"/>
      <c r="F85" s="24"/>
      <c r="G85" s="24" t="str">
        <f t="shared" si="5"/>
        <v/>
      </c>
      <c r="H85" s="23" t="str">
        <f t="shared" si="6"/>
        <v/>
      </c>
    </row>
    <row r="86" spans="1:8" ht="18" x14ac:dyDescent="0.35">
      <c r="A86" s="30" t="str">
        <f>IF(NOT(ISBLANK(Curs!B90)),Curs!B90,"")</f>
        <v/>
      </c>
      <c r="B86" s="31" t="str">
        <f>IF(AND(NOT(ISBLANK(Curs!C90)),OR(Curs!V90="n/p",Curs!V90&lt;5)),Curs!C90,"")</f>
        <v/>
      </c>
      <c r="C86" s="10"/>
      <c r="D86" s="10"/>
      <c r="E86" s="10"/>
      <c r="F86" s="24"/>
      <c r="G86" s="24" t="str">
        <f t="shared" si="5"/>
        <v/>
      </c>
      <c r="H86" s="23" t="str">
        <f t="shared" si="6"/>
        <v/>
      </c>
    </row>
    <row r="87" spans="1:8" ht="18" x14ac:dyDescent="0.35">
      <c r="A87" s="30" t="str">
        <f>IF(NOT(ISBLANK(Curs!B91)),Curs!B91,"")</f>
        <v/>
      </c>
      <c r="B87" s="31" t="str">
        <f>IF(AND(NOT(ISBLANK(Curs!C91)),OR(Curs!V91="n/p",Curs!V91&lt;5)),Curs!C91,"")</f>
        <v/>
      </c>
      <c r="C87" s="10"/>
      <c r="D87" s="10"/>
      <c r="E87" s="10"/>
      <c r="F87" s="24"/>
      <c r="G87" s="24" t="str">
        <f t="shared" si="5"/>
        <v/>
      </c>
      <c r="H87" s="23" t="str">
        <f t="shared" si="6"/>
        <v/>
      </c>
    </row>
    <row r="88" spans="1:8" ht="18" x14ac:dyDescent="0.35">
      <c r="A88" s="30" t="str">
        <f>IF(NOT(ISBLANK(Curs!B92)),Curs!B92,"")</f>
        <v/>
      </c>
      <c r="B88" s="31" t="str">
        <f>IF(AND(NOT(ISBLANK(Curs!C92)),OR(Curs!V92="n/p",Curs!V92&lt;5)),Curs!C92,"")</f>
        <v/>
      </c>
      <c r="C88" s="10"/>
      <c r="D88" s="10"/>
      <c r="E88" s="10"/>
      <c r="F88" s="24"/>
      <c r="G88" s="24" t="str">
        <f t="shared" si="5"/>
        <v/>
      </c>
      <c r="H88" s="23" t="str">
        <f t="shared" si="6"/>
        <v/>
      </c>
    </row>
    <row r="89" spans="1:8" ht="18" x14ac:dyDescent="0.35">
      <c r="A89" s="30" t="str">
        <f>IF(NOT(ISBLANK(Curs!B93)),Curs!B93,"")</f>
        <v/>
      </c>
      <c r="B89" s="31" t="str">
        <f>IF(AND(NOT(ISBLANK(Curs!C93)),OR(Curs!V93="n/p",Curs!V93&lt;5)),Curs!C93,"")</f>
        <v/>
      </c>
      <c r="C89" s="10"/>
      <c r="D89" s="10"/>
      <c r="E89" s="10"/>
      <c r="F89" s="24"/>
      <c r="G89" s="24" t="str">
        <f t="shared" si="5"/>
        <v/>
      </c>
      <c r="H89" s="23" t="str">
        <f t="shared" si="6"/>
        <v/>
      </c>
    </row>
    <row r="90" spans="1:8" ht="18" x14ac:dyDescent="0.35">
      <c r="A90" s="30" t="str">
        <f>IF(NOT(ISBLANK(Curs!B94)),Curs!B94,"")</f>
        <v/>
      </c>
      <c r="B90" s="31" t="str">
        <f>IF(AND(NOT(ISBLANK(Curs!C94)),OR(Curs!V94="n/p",Curs!V94&lt;5)),Curs!C94,"")</f>
        <v/>
      </c>
      <c r="C90" s="10"/>
      <c r="D90" s="10"/>
      <c r="E90" s="10"/>
      <c r="F90" s="24"/>
      <c r="G90" s="24" t="str">
        <f t="shared" si="5"/>
        <v/>
      </c>
      <c r="H90" s="23" t="str">
        <f t="shared" si="6"/>
        <v/>
      </c>
    </row>
    <row r="91" spans="1:8" ht="18" x14ac:dyDescent="0.35">
      <c r="A91" s="30" t="str">
        <f>IF(NOT(ISBLANK(Curs!B95)),Curs!B95,"")</f>
        <v/>
      </c>
      <c r="B91" s="31" t="str">
        <f>IF(AND(NOT(ISBLANK(Curs!C95)),OR(Curs!V95="n/p",Curs!V95&lt;5)),Curs!C95,"")</f>
        <v/>
      </c>
      <c r="C91" s="10"/>
      <c r="D91" s="10"/>
      <c r="E91" s="10"/>
      <c r="F91" s="24"/>
      <c r="G91" s="24" t="str">
        <f t="shared" si="5"/>
        <v/>
      </c>
      <c r="H91" s="23" t="str">
        <f t="shared" si="6"/>
        <v/>
      </c>
    </row>
    <row r="92" spans="1:8" ht="18" x14ac:dyDescent="0.35">
      <c r="A92" s="30" t="str">
        <f>IF(NOT(ISBLANK(Curs!B96)),Curs!B96,"")</f>
        <v/>
      </c>
      <c r="B92" s="31" t="str">
        <f>IF(AND(NOT(ISBLANK(Curs!C96)),OR(Curs!V96="n/p",Curs!V96&lt;5)),Curs!C96,"")</f>
        <v/>
      </c>
      <c r="C92" s="10"/>
      <c r="D92" s="10"/>
      <c r="E92" s="10"/>
      <c r="F92" s="24"/>
      <c r="G92" s="24" t="str">
        <f t="shared" si="5"/>
        <v/>
      </c>
      <c r="H92" s="23" t="str">
        <f t="shared" si="6"/>
        <v/>
      </c>
    </row>
    <row r="93" spans="1:8" ht="18" x14ac:dyDescent="0.35">
      <c r="A93" s="30" t="str">
        <f>IF(NOT(ISBLANK(Curs!B97)),Curs!B97,"")</f>
        <v/>
      </c>
      <c r="B93" s="31" t="str">
        <f>IF(AND(NOT(ISBLANK(Curs!C97)),OR(Curs!V97="n/p",Curs!V97&lt;5)),Curs!C97,"")</f>
        <v/>
      </c>
      <c r="C93" s="10"/>
      <c r="D93" s="10"/>
      <c r="E93" s="10"/>
      <c r="F93" s="24"/>
      <c r="G93" s="24" t="str">
        <f t="shared" si="5"/>
        <v/>
      </c>
      <c r="H93" s="23" t="str">
        <f t="shared" si="6"/>
        <v/>
      </c>
    </row>
    <row r="94" spans="1:8" ht="18" x14ac:dyDescent="0.35">
      <c r="A94" s="30" t="str">
        <f>IF(NOT(ISBLANK(Curs!B98)),Curs!B98,"")</f>
        <v/>
      </c>
      <c r="B94" s="31" t="str">
        <f>IF(AND(NOT(ISBLANK(Curs!C98)),OR(Curs!V98="n/p",Curs!V98&lt;5)),Curs!C98,"")</f>
        <v/>
      </c>
      <c r="C94" s="10"/>
      <c r="D94" s="10"/>
      <c r="E94" s="10"/>
      <c r="F94" s="24"/>
      <c r="G94" s="24" t="str">
        <f t="shared" si="5"/>
        <v/>
      </c>
      <c r="H94" s="23" t="str">
        <f t="shared" si="6"/>
        <v/>
      </c>
    </row>
    <row r="95" spans="1:8" ht="18" x14ac:dyDescent="0.35">
      <c r="A95" s="30" t="str">
        <f>IF(NOT(ISBLANK(Curs!B99)),Curs!B99,"")</f>
        <v/>
      </c>
      <c r="B95" s="31" t="str">
        <f>IF(AND(NOT(ISBLANK(Curs!C99)),OR(Curs!V99="n/p",Curs!V99&lt;5)),Curs!C99,"")</f>
        <v/>
      </c>
      <c r="C95" s="10"/>
      <c r="D95" s="10"/>
      <c r="E95" s="10"/>
      <c r="F95" s="24"/>
      <c r="G95" s="24" t="str">
        <f t="shared" si="5"/>
        <v/>
      </c>
      <c r="H95" s="23" t="str">
        <f t="shared" si="6"/>
        <v/>
      </c>
    </row>
    <row r="96" spans="1:8" ht="18" x14ac:dyDescent="0.35">
      <c r="A96" s="30" t="str">
        <f>IF(NOT(ISBLANK(Curs!B100)),Curs!B100,"")</f>
        <v/>
      </c>
      <c r="B96" s="31" t="str">
        <f>IF(AND(NOT(ISBLANK(Curs!C100)),OR(Curs!V100="n/p",Curs!V100&lt;5)),Curs!C100,"")</f>
        <v/>
      </c>
      <c r="C96" s="10"/>
      <c r="D96" s="10"/>
      <c r="E96" s="10"/>
      <c r="F96" s="24"/>
      <c r="G96" s="24" t="str">
        <f t="shared" si="5"/>
        <v/>
      </c>
      <c r="H96" s="23" t="str">
        <f t="shared" si="6"/>
        <v/>
      </c>
    </row>
    <row r="97" spans="1:8" ht="18" x14ac:dyDescent="0.35">
      <c r="A97" s="30" t="str">
        <f>IF(NOT(ISBLANK(Curs!B101)),Curs!B101,"")</f>
        <v/>
      </c>
      <c r="B97" s="31" t="str">
        <f>IF(AND(NOT(ISBLANK(Curs!C101)),OR(Curs!V101="n/p",Curs!V101&lt;5)),Curs!C101,"")</f>
        <v/>
      </c>
      <c r="C97" s="10"/>
      <c r="D97" s="10"/>
      <c r="E97" s="10"/>
      <c r="F97" s="24"/>
      <c r="G97" s="24" t="str">
        <f t="shared" si="5"/>
        <v/>
      </c>
      <c r="H97" s="23" t="str">
        <f t="shared" si="6"/>
        <v/>
      </c>
    </row>
    <row r="98" spans="1:8" ht="18" x14ac:dyDescent="0.35">
      <c r="A98" s="30" t="str">
        <f>IF(NOT(ISBLANK(Curs!B102)),Curs!B102,"")</f>
        <v/>
      </c>
      <c r="B98" s="31" t="str">
        <f>IF(AND(NOT(ISBLANK(Curs!C102)),OR(Curs!V102="n/p",Curs!V102&lt;5)),Curs!C102,"")</f>
        <v/>
      </c>
      <c r="C98" s="10"/>
      <c r="D98" s="10"/>
      <c r="E98" s="10"/>
      <c r="F98" s="24"/>
      <c r="G98" s="24" t="str">
        <f t="shared" ref="G98:G105" si="7">IF(B98="","",ROUND(SUM(C98:F98),0))</f>
        <v/>
      </c>
      <c r="H98" s="23" t="str">
        <f t="shared" ref="H98:H105" si="8">IF(B98="","",
IF(G98=0,"n/p",
IF(AND(G98&gt;=$I$3,G98&lt;=$J$3),$K$3,
IF(AND(G98&gt;=$I$4,G98&lt;=$J$4),$K$4,
IF(AND(G98&gt;=$I$5,G98&lt;=$J$5),$K$5,
IF(AND(G98&gt;=$I$6,G98&lt;=$J$6),$K$6,
IF(AND(G98&gt;=$I$7,G98&lt;=$J$7),$K$7,
IF(AND(G98&gt;=$I$8,G98&lt;=$J$8),$K$8,
IF(AND(G98&gt;=$I$9,G98&lt;=$J$9),$K$9,
IF(AND(G98&gt;=$I$10,G98&lt;=$J$10),$K$10,
IF(AND(G98&gt;=$I$11,G98&lt;=$J$11),$K$11)))))))))))</f>
        <v/>
      </c>
    </row>
    <row r="99" spans="1:8" ht="18" x14ac:dyDescent="0.35">
      <c r="A99" s="30" t="str">
        <f>IF(NOT(ISBLANK(Curs!B103)),Curs!B103,"")</f>
        <v/>
      </c>
      <c r="B99" s="31" t="str">
        <f>IF(AND(NOT(ISBLANK(Curs!C103)),OR(Curs!V103="n/p",Curs!V103&lt;5)),Curs!C103,"")</f>
        <v/>
      </c>
      <c r="C99" s="10"/>
      <c r="D99" s="10"/>
      <c r="E99" s="10"/>
      <c r="F99" s="24"/>
      <c r="G99" s="24" t="str">
        <f t="shared" si="7"/>
        <v/>
      </c>
      <c r="H99" s="23" t="str">
        <f t="shared" si="8"/>
        <v/>
      </c>
    </row>
    <row r="100" spans="1:8" ht="18" x14ac:dyDescent="0.35">
      <c r="A100" s="30" t="str">
        <f>IF(NOT(ISBLANK(Curs!B104)),Curs!B104,"")</f>
        <v/>
      </c>
      <c r="B100" s="31" t="str">
        <f>IF(AND(NOT(ISBLANK(Curs!C104)),OR(Curs!V104="n/p",Curs!V104&lt;5)),Curs!C104,"")</f>
        <v/>
      </c>
      <c r="C100" s="10"/>
      <c r="D100" s="10"/>
      <c r="E100" s="10"/>
      <c r="F100" s="24"/>
      <c r="G100" s="24" t="str">
        <f t="shared" si="7"/>
        <v/>
      </c>
      <c r="H100" s="23" t="str">
        <f t="shared" si="8"/>
        <v/>
      </c>
    </row>
    <row r="101" spans="1:8" ht="18" x14ac:dyDescent="0.35">
      <c r="A101" s="30" t="str">
        <f>IF(NOT(ISBLANK(Curs!B105)),Curs!B105,"")</f>
        <v/>
      </c>
      <c r="B101" s="31" t="str">
        <f>IF(AND(NOT(ISBLANK(Curs!C105)),OR(Curs!V105="n/p",Curs!V105&lt;5)),Curs!C105,"")</f>
        <v/>
      </c>
      <c r="C101" s="10"/>
      <c r="D101" s="10"/>
      <c r="E101" s="10"/>
      <c r="F101" s="24"/>
      <c r="G101" s="24" t="str">
        <f t="shared" si="7"/>
        <v/>
      </c>
      <c r="H101" s="23" t="str">
        <f t="shared" si="8"/>
        <v/>
      </c>
    </row>
    <row r="102" spans="1:8" ht="18" x14ac:dyDescent="0.35">
      <c r="A102" s="30" t="str">
        <f>IF(NOT(ISBLANK(Curs!B106)),Curs!B106,"")</f>
        <v/>
      </c>
      <c r="B102" s="31" t="str">
        <f>IF(AND(NOT(ISBLANK(Curs!C106)),OR(Curs!V106="n/p",Curs!V106&lt;5)),Curs!C106,"")</f>
        <v/>
      </c>
      <c r="C102" s="10"/>
      <c r="D102" s="10"/>
      <c r="E102" s="10"/>
      <c r="F102" s="24"/>
      <c r="G102" s="24" t="str">
        <f t="shared" si="7"/>
        <v/>
      </c>
      <c r="H102" s="23" t="str">
        <f t="shared" si="8"/>
        <v/>
      </c>
    </row>
    <row r="103" spans="1:8" ht="18" x14ac:dyDescent="0.35">
      <c r="A103" s="30" t="str">
        <f>IF(NOT(ISBLANK(Curs!B107)),Curs!B107,"")</f>
        <v/>
      </c>
      <c r="B103" s="31" t="str">
        <f>IF(AND(NOT(ISBLANK(Curs!C107)),OR(Curs!V107="n/p",Curs!V107&lt;5)),Curs!C107,"")</f>
        <v/>
      </c>
      <c r="C103" s="10"/>
      <c r="D103" s="10"/>
      <c r="E103" s="10"/>
      <c r="F103" s="24"/>
      <c r="G103" s="24" t="str">
        <f t="shared" si="7"/>
        <v/>
      </c>
      <c r="H103" s="23" t="str">
        <f t="shared" si="8"/>
        <v/>
      </c>
    </row>
    <row r="104" spans="1:8" ht="18" x14ac:dyDescent="0.35">
      <c r="A104" s="30" t="str">
        <f>IF(NOT(ISBLANK(Curs!B108)),Curs!B108,"")</f>
        <v/>
      </c>
      <c r="B104" s="31" t="str">
        <f>IF(AND(NOT(ISBLANK(Curs!C108)),OR(Curs!V108="n/p",Curs!V108&lt;5)),Curs!C108,"")</f>
        <v/>
      </c>
      <c r="C104" s="10"/>
      <c r="D104" s="10"/>
      <c r="E104" s="10"/>
      <c r="F104" s="24"/>
      <c r="G104" s="24" t="str">
        <f t="shared" si="7"/>
        <v/>
      </c>
      <c r="H104" s="23" t="str">
        <f t="shared" si="8"/>
        <v/>
      </c>
    </row>
    <row r="105" spans="1:8" ht="18" x14ac:dyDescent="0.35">
      <c r="A105" s="30" t="str">
        <f>IF(NOT(ISBLANK(Curs!B109)),Curs!B109,"")</f>
        <v/>
      </c>
      <c r="B105" s="31" t="str">
        <f>IF(AND(NOT(ISBLANK(Curs!C109)),OR(Curs!V109="n/p",Curs!V109&lt;5)),Curs!C109,"")</f>
        <v/>
      </c>
      <c r="C105" s="10"/>
      <c r="D105" s="10"/>
      <c r="E105" s="10"/>
      <c r="F105" s="24"/>
      <c r="G105" s="24" t="str">
        <f t="shared" si="7"/>
        <v/>
      </c>
      <c r="H105" s="23" t="str">
        <f t="shared" si="8"/>
        <v/>
      </c>
    </row>
  </sheetData>
  <mergeCells count="1">
    <mergeCell ref="L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2742-66DB-4CC0-85CA-7467AAF9AB21}">
  <dimension ref="A1:S105"/>
  <sheetViews>
    <sheetView zoomScale="85" zoomScaleNormal="85" workbookViewId="0">
      <selection activeCell="H2" sqref="H2"/>
    </sheetView>
  </sheetViews>
  <sheetFormatPr defaultRowHeight="14.4" x14ac:dyDescent="0.3"/>
  <cols>
    <col min="1" max="1" width="4.44140625" style="18" customWidth="1"/>
    <col min="2" max="2" width="28" customWidth="1"/>
    <col min="3" max="6" width="6" customWidth="1"/>
    <col min="7" max="8" width="8.109375" customWidth="1"/>
    <col min="9" max="9" width="11.109375" bestFit="1" customWidth="1"/>
    <col min="12" max="12" width="11.6640625" customWidth="1"/>
    <col min="13" max="13" width="11.44140625" customWidth="1"/>
    <col min="14" max="14" width="8.6640625" customWidth="1"/>
  </cols>
  <sheetData>
    <row r="1" spans="1:19" ht="36" x14ac:dyDescent="0.35">
      <c r="A1" s="19" t="s">
        <v>0</v>
      </c>
      <c r="B1" s="20" t="s">
        <v>1</v>
      </c>
      <c r="C1" s="21" t="s">
        <v>25</v>
      </c>
      <c r="D1" s="21" t="s">
        <v>26</v>
      </c>
      <c r="E1" s="21" t="s">
        <v>27</v>
      </c>
      <c r="F1" s="21" t="s">
        <v>28</v>
      </c>
      <c r="G1" s="25" t="s">
        <v>34</v>
      </c>
      <c r="H1" s="5" t="s">
        <v>29</v>
      </c>
      <c r="I1" s="6" t="s">
        <v>30</v>
      </c>
      <c r="J1" s="7"/>
      <c r="K1" s="6"/>
      <c r="L1" s="207" t="s">
        <v>67</v>
      </c>
      <c r="M1" s="207"/>
      <c r="N1" s="8"/>
      <c r="O1" s="9"/>
      <c r="P1" s="9"/>
      <c r="Q1" s="9"/>
      <c r="R1" s="9"/>
      <c r="S1" s="9"/>
    </row>
    <row r="2" spans="1:19" ht="18" x14ac:dyDescent="0.35">
      <c r="A2" s="30">
        <f>IF(NOT(ISBLANK(Curs!B6)),Curs!B6,"")</f>
        <v>1</v>
      </c>
      <c r="B2" s="31" t="str">
        <f>IF(AND(NOT(ISBLANK(Curs!C6)),OR(MAX(Curs!V6:W6)&lt;5,MAX(Curs!V6:W6)=1)),Curs!C6,"")</f>
        <v>Nume, Prenume</v>
      </c>
      <c r="C2" s="10"/>
      <c r="D2" s="10"/>
      <c r="E2" s="10"/>
      <c r="F2" s="24"/>
      <c r="G2" s="24">
        <f t="shared" ref="G2:G33" si="0">IF(B2="","",ROUND(SUM(C2:F2),0))</f>
        <v>0</v>
      </c>
      <c r="H2" s="23" t="str">
        <f t="shared" ref="H2:H33" si="1">IF(B2="","",
IF(G2=0,"n/p",
IF(AND(G2&gt;=$I$3,G2&lt;=$J$3),$K$3,
IF(AND(G2&gt;=$I$4,G2&lt;=$J$4),$K$4,
IF(AND(G2&gt;=$I$5,G2&lt;=$J$5),$K$5,
IF(AND(G2&gt;=$I$6,G2&lt;=$J$6),$K$6,
IF(AND(G2&gt;=$I$7,G2&lt;=$J$7),$K$7,
IF(AND(G2&gt;=$I$8,G2&lt;=$J$8),$K$8,
IF(AND(G2&gt;=$I$9,G2&lt;=$J$9),$K$9,
IF(AND(G2&gt;=$I$10,G2&lt;=$J$10),$K$10,
IF(AND(G2&gt;=$I$11,G2&lt;=$J$11),$K$11)))))))))))</f>
        <v>n/p</v>
      </c>
      <c r="I2" s="6" t="s">
        <v>32</v>
      </c>
      <c r="J2" s="6"/>
      <c r="K2" s="12" t="s">
        <v>29</v>
      </c>
      <c r="L2" s="27" t="s">
        <v>29</v>
      </c>
      <c r="M2" s="27" t="s">
        <v>31</v>
      </c>
      <c r="N2" s="8"/>
      <c r="O2" s="13"/>
      <c r="P2" s="13"/>
      <c r="Q2" s="13"/>
      <c r="R2" s="13"/>
      <c r="S2" s="13"/>
    </row>
    <row r="3" spans="1:19" ht="18" x14ac:dyDescent="0.35">
      <c r="A3" s="30" t="str">
        <f>IF(NOT(ISBLANK(Curs!B7)),Curs!B7,"")</f>
        <v/>
      </c>
      <c r="B3" s="31" t="str">
        <f>IF(AND(NOT(ISBLANK(Curs!C7)),OR(MAX(Curs!V7:W7)&lt;5,MAX(Curs!V7:W7)=1)),Curs!C7,"")</f>
        <v/>
      </c>
      <c r="C3" s="10"/>
      <c r="D3" s="10"/>
      <c r="E3" s="10"/>
      <c r="F3" s="24"/>
      <c r="G3" s="24" t="str">
        <f t="shared" si="0"/>
        <v/>
      </c>
      <c r="H3" s="23" t="str">
        <f t="shared" si="1"/>
        <v/>
      </c>
      <c r="I3" s="22">
        <v>0</v>
      </c>
      <c r="J3" s="22">
        <v>3</v>
      </c>
      <c r="K3" s="12">
        <v>2</v>
      </c>
      <c r="L3" s="29">
        <v>1</v>
      </c>
      <c r="M3" s="27">
        <f>COUNTIF($H$2:$H$101,L3)</f>
        <v>0</v>
      </c>
      <c r="N3" s="8"/>
      <c r="O3" s="13"/>
      <c r="P3" s="13"/>
      <c r="Q3" s="13"/>
      <c r="R3" s="13"/>
      <c r="S3" s="13"/>
    </row>
    <row r="4" spans="1:19" ht="18" x14ac:dyDescent="0.35">
      <c r="A4" s="30" t="str">
        <f>IF(NOT(ISBLANK(Curs!B8)),Curs!B8,"")</f>
        <v/>
      </c>
      <c r="B4" s="31" t="str">
        <f>IF(AND(NOT(ISBLANK(Curs!C8)),OR(MAX(Curs!V8:W8)&lt;5,MAX(Curs!V8:W8)=1)),Curs!C8,"")</f>
        <v/>
      </c>
      <c r="C4" s="10"/>
      <c r="D4" s="10"/>
      <c r="E4" s="10"/>
      <c r="F4" s="24"/>
      <c r="G4" s="24" t="str">
        <f t="shared" si="0"/>
        <v/>
      </c>
      <c r="H4" s="23" t="str">
        <f t="shared" si="1"/>
        <v/>
      </c>
      <c r="I4" s="22">
        <v>4</v>
      </c>
      <c r="J4" s="22">
        <v>5</v>
      </c>
      <c r="K4" s="12">
        <v>3</v>
      </c>
      <c r="L4" s="28">
        <v>2</v>
      </c>
      <c r="M4" s="27">
        <f t="shared" ref="M4:M13" si="2">COUNTIF($H$2:$H$101,L4)</f>
        <v>0</v>
      </c>
      <c r="N4" s="8"/>
      <c r="O4" s="13"/>
      <c r="P4" s="13"/>
      <c r="Q4" s="13"/>
      <c r="R4" s="13"/>
      <c r="S4" s="13"/>
    </row>
    <row r="5" spans="1:19" ht="18" x14ac:dyDescent="0.35">
      <c r="A5" s="30" t="str">
        <f>IF(NOT(ISBLANK(Curs!B9)),Curs!B9,"")</f>
        <v/>
      </c>
      <c r="B5" s="31" t="str">
        <f>IF(AND(NOT(ISBLANK(Curs!C9)),OR(MAX(Curs!V9:W9)&lt;5,MAX(Curs!V9:W9)=1)),Curs!C9,"")</f>
        <v/>
      </c>
      <c r="C5" s="10"/>
      <c r="D5" s="10"/>
      <c r="E5" s="10"/>
      <c r="F5" s="24"/>
      <c r="G5" s="24" t="str">
        <f t="shared" si="0"/>
        <v/>
      </c>
      <c r="H5" s="23" t="str">
        <f t="shared" si="1"/>
        <v/>
      </c>
      <c r="I5" s="22">
        <v>6</v>
      </c>
      <c r="J5" s="22">
        <v>9</v>
      </c>
      <c r="K5" s="12">
        <v>4</v>
      </c>
      <c r="L5" s="28">
        <v>3</v>
      </c>
      <c r="M5" s="27">
        <f t="shared" si="2"/>
        <v>0</v>
      </c>
      <c r="N5" s="8"/>
      <c r="O5" s="13"/>
      <c r="P5" s="13"/>
      <c r="Q5" s="13"/>
      <c r="R5" s="13"/>
      <c r="S5" s="13"/>
    </row>
    <row r="6" spans="1:19" ht="18" x14ac:dyDescent="0.35">
      <c r="A6" s="30" t="str">
        <f>IF(NOT(ISBLANK(Curs!B10)),Curs!B10,"")</f>
        <v/>
      </c>
      <c r="B6" s="31" t="str">
        <f>IF(AND(NOT(ISBLANK(Curs!C10)),OR(MAX(Curs!V10:W10)&lt;5,MAX(Curs!V10:W10)=1)),Curs!C10,"")</f>
        <v/>
      </c>
      <c r="C6" s="10"/>
      <c r="D6" s="10"/>
      <c r="E6" s="10"/>
      <c r="F6" s="24"/>
      <c r="G6" s="24" t="str">
        <f t="shared" si="0"/>
        <v/>
      </c>
      <c r="H6" s="23" t="str">
        <f t="shared" si="1"/>
        <v/>
      </c>
      <c r="I6" s="22">
        <v>10</v>
      </c>
      <c r="J6" s="22">
        <v>13</v>
      </c>
      <c r="K6" s="12">
        <v>5</v>
      </c>
      <c r="L6" s="29">
        <v>4</v>
      </c>
      <c r="M6" s="27">
        <f t="shared" si="2"/>
        <v>0</v>
      </c>
      <c r="N6" s="8"/>
      <c r="O6" s="13"/>
      <c r="P6" s="13"/>
      <c r="Q6" s="13"/>
      <c r="R6" s="13"/>
      <c r="S6" s="13"/>
    </row>
    <row r="7" spans="1:19" ht="18" x14ac:dyDescent="0.35">
      <c r="A7" s="30" t="str">
        <f>IF(NOT(ISBLANK(Curs!B11)),Curs!B11,"")</f>
        <v/>
      </c>
      <c r="B7" s="31" t="str">
        <f>IF(AND(NOT(ISBLANK(Curs!C11)),OR(MAX(Curs!V11:W11)&lt;5,MAX(Curs!V11:W11)=1)),Curs!C11,"")</f>
        <v/>
      </c>
      <c r="C7" s="10"/>
      <c r="D7" s="10"/>
      <c r="E7" s="10"/>
      <c r="F7" s="24"/>
      <c r="G7" s="24" t="str">
        <f t="shared" si="0"/>
        <v/>
      </c>
      <c r="H7" s="23" t="str">
        <f t="shared" si="1"/>
        <v/>
      </c>
      <c r="I7" s="22">
        <v>14</v>
      </c>
      <c r="J7" s="22">
        <v>18</v>
      </c>
      <c r="K7" s="12">
        <v>6</v>
      </c>
      <c r="L7" s="29">
        <v>5</v>
      </c>
      <c r="M7" s="27">
        <f t="shared" si="2"/>
        <v>0</v>
      </c>
      <c r="N7" s="8"/>
      <c r="O7" s="13"/>
      <c r="P7" s="13"/>
      <c r="Q7" s="13"/>
      <c r="R7" s="13"/>
      <c r="S7" s="13"/>
    </row>
    <row r="8" spans="1:19" ht="18" x14ac:dyDescent="0.35">
      <c r="A8" s="30" t="str">
        <f>IF(NOT(ISBLANK(Curs!B12)),Curs!B12,"")</f>
        <v/>
      </c>
      <c r="B8" s="31" t="str">
        <f>IF(AND(NOT(ISBLANK(Curs!C12)),OR(MAX(Curs!V12:W12)&lt;5,MAX(Curs!V12:W12)=1)),Curs!C12,"")</f>
        <v/>
      </c>
      <c r="C8" s="10"/>
      <c r="D8" s="10"/>
      <c r="E8" s="10"/>
      <c r="F8" s="24"/>
      <c r="G8" s="24" t="str">
        <f t="shared" si="0"/>
        <v/>
      </c>
      <c r="H8" s="23" t="str">
        <f t="shared" si="1"/>
        <v/>
      </c>
      <c r="I8" s="22">
        <v>19</v>
      </c>
      <c r="J8" s="22">
        <v>22</v>
      </c>
      <c r="K8" s="12">
        <v>7</v>
      </c>
      <c r="L8" s="29">
        <v>6</v>
      </c>
      <c r="M8" s="27">
        <f t="shared" si="2"/>
        <v>0</v>
      </c>
      <c r="N8" s="8"/>
      <c r="O8" s="13"/>
      <c r="P8" s="13"/>
      <c r="Q8" s="13"/>
      <c r="R8" s="13"/>
      <c r="S8" s="13"/>
    </row>
    <row r="9" spans="1:19" ht="18" x14ac:dyDescent="0.35">
      <c r="A9" s="30" t="str">
        <f>IF(NOT(ISBLANK(Curs!B13)),Curs!B13,"")</f>
        <v/>
      </c>
      <c r="B9" s="31" t="str">
        <f>IF(AND(NOT(ISBLANK(Curs!C13)),OR(MAX(Curs!V13:W13)&lt;5,MAX(Curs!V13:W13)=1)),Curs!C13,"")</f>
        <v/>
      </c>
      <c r="C9" s="10"/>
      <c r="D9" s="10"/>
      <c r="E9" s="10"/>
      <c r="F9" s="24"/>
      <c r="G9" s="24" t="str">
        <f t="shared" si="0"/>
        <v/>
      </c>
      <c r="H9" s="23" t="str">
        <f t="shared" si="1"/>
        <v/>
      </c>
      <c r="I9" s="22">
        <v>23</v>
      </c>
      <c r="J9" s="22">
        <v>26</v>
      </c>
      <c r="K9" s="12">
        <v>8</v>
      </c>
      <c r="L9" s="29">
        <v>7</v>
      </c>
      <c r="M9" s="27">
        <f t="shared" si="2"/>
        <v>0</v>
      </c>
      <c r="N9" s="8"/>
      <c r="O9" s="13"/>
      <c r="P9" s="13"/>
      <c r="Q9" s="13"/>
      <c r="R9" s="13"/>
      <c r="S9" s="13"/>
    </row>
    <row r="10" spans="1:19" ht="18" x14ac:dyDescent="0.35">
      <c r="A10" s="30" t="str">
        <f>IF(NOT(ISBLANK(Curs!B14)),Curs!B14,"")</f>
        <v/>
      </c>
      <c r="B10" s="31" t="str">
        <f>IF(AND(NOT(ISBLANK(Curs!C14)),OR(MAX(Curs!V14:W14)&lt;5,MAX(Curs!V14:W14)=1)),Curs!C14,"")</f>
        <v/>
      </c>
      <c r="C10" s="10"/>
      <c r="D10" s="10"/>
      <c r="E10" s="10"/>
      <c r="F10" s="24"/>
      <c r="G10" s="24" t="str">
        <f t="shared" si="0"/>
        <v/>
      </c>
      <c r="H10" s="23" t="str">
        <f t="shared" si="1"/>
        <v/>
      </c>
      <c r="I10" s="22">
        <v>27</v>
      </c>
      <c r="J10" s="22">
        <v>28</v>
      </c>
      <c r="K10" s="12">
        <v>9</v>
      </c>
      <c r="L10" s="29">
        <v>8</v>
      </c>
      <c r="M10" s="27">
        <f t="shared" si="2"/>
        <v>0</v>
      </c>
      <c r="N10" s="8"/>
      <c r="O10" s="13"/>
      <c r="P10" s="13"/>
      <c r="Q10" s="13"/>
      <c r="R10" s="13"/>
      <c r="S10" s="13"/>
    </row>
    <row r="11" spans="1:19" ht="18" x14ac:dyDescent="0.35">
      <c r="A11" s="30" t="str">
        <f>IF(NOT(ISBLANK(Curs!B15)),Curs!B15,"")</f>
        <v/>
      </c>
      <c r="B11" s="31" t="str">
        <f>IF(AND(NOT(ISBLANK(Curs!C15)),OR(MAX(Curs!V15:W15)&lt;5,MAX(Curs!V15:W15)=1)),Curs!C15,"")</f>
        <v/>
      </c>
      <c r="C11" s="10"/>
      <c r="D11" s="10"/>
      <c r="E11" s="10"/>
      <c r="F11" s="24"/>
      <c r="G11" s="24" t="str">
        <f t="shared" si="0"/>
        <v/>
      </c>
      <c r="H11" s="23" t="str">
        <f t="shared" si="1"/>
        <v/>
      </c>
      <c r="I11" s="22">
        <v>29</v>
      </c>
      <c r="J11" s="22">
        <v>30</v>
      </c>
      <c r="K11" s="12">
        <v>10</v>
      </c>
      <c r="L11" s="29">
        <v>9</v>
      </c>
      <c r="M11" s="27">
        <f t="shared" si="2"/>
        <v>0</v>
      </c>
      <c r="N11" s="8"/>
      <c r="O11" s="13"/>
      <c r="P11" s="13"/>
      <c r="Q11" s="13"/>
      <c r="R11" s="13"/>
      <c r="S11" s="13"/>
    </row>
    <row r="12" spans="1:19" ht="18" x14ac:dyDescent="0.35">
      <c r="A12" s="30" t="str">
        <f>IF(NOT(ISBLANK(Curs!B16)),Curs!B16,"")</f>
        <v/>
      </c>
      <c r="B12" s="31" t="str">
        <f>IF(AND(NOT(ISBLANK(Curs!C16)),OR(MAX(Curs!V16:W16)&lt;5,MAX(Curs!V16:W16)=1)),Curs!C16,"")</f>
        <v/>
      </c>
      <c r="C12" s="10"/>
      <c r="D12" s="10"/>
      <c r="E12" s="10"/>
      <c r="F12" s="24"/>
      <c r="G12" s="24" t="str">
        <f t="shared" si="0"/>
        <v/>
      </c>
      <c r="H12" s="23" t="str">
        <f t="shared" si="1"/>
        <v/>
      </c>
      <c r="I12" s="22"/>
      <c r="J12" s="22"/>
      <c r="K12" s="12"/>
      <c r="L12" s="29">
        <v>10</v>
      </c>
      <c r="M12" s="27">
        <f t="shared" si="2"/>
        <v>0</v>
      </c>
      <c r="N12" s="8"/>
      <c r="O12" s="13"/>
      <c r="P12" s="13"/>
      <c r="Q12" s="13"/>
      <c r="R12" s="13"/>
      <c r="S12" s="13"/>
    </row>
    <row r="13" spans="1:19" ht="18" x14ac:dyDescent="0.35">
      <c r="A13" s="30" t="str">
        <f>IF(NOT(ISBLANK(Curs!B17)),Curs!B17,"")</f>
        <v/>
      </c>
      <c r="B13" s="31" t="str">
        <f>IF(AND(NOT(ISBLANK(Curs!C17)),OR(MAX(Curs!V17:W17)&lt;5,MAX(Curs!V17:W17)=1)),Curs!C17,"")</f>
        <v/>
      </c>
      <c r="C13" s="10"/>
      <c r="D13" s="10"/>
      <c r="E13" s="10"/>
      <c r="F13" s="24"/>
      <c r="G13" s="24" t="str">
        <f t="shared" si="0"/>
        <v/>
      </c>
      <c r="H13" s="23" t="str">
        <f t="shared" si="1"/>
        <v/>
      </c>
      <c r="I13" s="22"/>
      <c r="J13" s="22"/>
      <c r="K13" s="12"/>
      <c r="L13" s="29" t="s">
        <v>33</v>
      </c>
      <c r="M13" s="27">
        <f t="shared" si="2"/>
        <v>1</v>
      </c>
      <c r="N13" s="8"/>
      <c r="O13" s="13"/>
      <c r="P13" s="16"/>
      <c r="Q13" s="13"/>
      <c r="R13" s="16"/>
      <c r="S13" s="13"/>
    </row>
    <row r="14" spans="1:19" ht="18" x14ac:dyDescent="0.35">
      <c r="A14" s="30" t="str">
        <f>IF(NOT(ISBLANK(Curs!B18)),Curs!B18,"")</f>
        <v/>
      </c>
      <c r="B14" s="31" t="str">
        <f>IF(AND(NOT(ISBLANK(Curs!C18)),OR(MAX(Curs!V18:W18)&lt;5,MAX(Curs!V18:W18)=1)),Curs!C18,"")</f>
        <v/>
      </c>
      <c r="C14" s="10"/>
      <c r="D14" s="10"/>
      <c r="E14" s="10"/>
      <c r="F14" s="24"/>
      <c r="G14" s="24" t="str">
        <f t="shared" si="0"/>
        <v/>
      </c>
      <c r="H14" s="23" t="str">
        <f t="shared" si="1"/>
        <v/>
      </c>
      <c r="I14" s="7"/>
      <c r="J14" s="14"/>
      <c r="K14" s="7"/>
      <c r="O14" s="15"/>
      <c r="P14" s="13"/>
      <c r="Q14" s="16"/>
      <c r="R14" s="13"/>
      <c r="S14" s="16"/>
    </row>
    <row r="15" spans="1:19" ht="18" x14ac:dyDescent="0.35">
      <c r="A15" s="30" t="str">
        <f>IF(NOT(ISBLANK(Curs!B19)),Curs!B19,"")</f>
        <v/>
      </c>
      <c r="B15" s="31" t="str">
        <f>IF(AND(NOT(ISBLANK(Curs!C19)),OR(MAX(Curs!V19:W19)&lt;5,MAX(Curs!V19:W19)=1)),Curs!C19,"")</f>
        <v/>
      </c>
      <c r="C15" s="10"/>
      <c r="D15" s="10"/>
      <c r="E15" s="10"/>
      <c r="F15" s="24"/>
      <c r="G15" s="24" t="str">
        <f t="shared" si="0"/>
        <v/>
      </c>
      <c r="H15" s="23" t="str">
        <f t="shared" si="1"/>
        <v/>
      </c>
      <c r="I15" s="7"/>
      <c r="J15" s="14"/>
      <c r="K15" s="7"/>
      <c r="L15" s="1"/>
      <c r="O15" s="17"/>
    </row>
    <row r="16" spans="1:19" ht="18" x14ac:dyDescent="0.35">
      <c r="A16" s="30" t="str">
        <f>IF(NOT(ISBLANK(Curs!B20)),Curs!B20,"")</f>
        <v/>
      </c>
      <c r="B16" s="31" t="str">
        <f>IF(AND(NOT(ISBLANK(Curs!C20)),OR(MAX(Curs!V20:W20)&lt;5,MAX(Curs!V20:W20)=1)),Curs!C20,"")</f>
        <v/>
      </c>
      <c r="C16" s="10"/>
      <c r="D16" s="10"/>
      <c r="E16" s="10"/>
      <c r="F16" s="24"/>
      <c r="G16" s="24" t="str">
        <f t="shared" si="0"/>
        <v/>
      </c>
      <c r="H16" s="23" t="str">
        <f t="shared" si="1"/>
        <v/>
      </c>
      <c r="I16" s="7"/>
      <c r="J16" s="14"/>
      <c r="K16" s="7"/>
      <c r="L16" s="1"/>
      <c r="O16" s="17"/>
    </row>
    <row r="17" spans="1:17" ht="18" x14ac:dyDescent="0.35">
      <c r="A17" s="30" t="str">
        <f>IF(NOT(ISBLANK(Curs!B21)),Curs!B21,"")</f>
        <v/>
      </c>
      <c r="B17" s="31" t="str">
        <f>IF(AND(NOT(ISBLANK(Curs!C21)),OR(MAX(Curs!V21:W21)&lt;5,MAX(Curs!V21:W21)=1)),Curs!C21,"")</f>
        <v/>
      </c>
      <c r="C17" s="10"/>
      <c r="D17" s="10"/>
      <c r="E17" s="10"/>
      <c r="F17" s="24"/>
      <c r="G17" s="24" t="str">
        <f t="shared" si="0"/>
        <v/>
      </c>
      <c r="H17" s="23" t="str">
        <f t="shared" si="1"/>
        <v/>
      </c>
      <c r="I17" s="7"/>
      <c r="J17" s="14"/>
      <c r="K17" s="7"/>
      <c r="L17" s="1"/>
      <c r="O17" s="17"/>
    </row>
    <row r="18" spans="1:17" ht="18" x14ac:dyDescent="0.35">
      <c r="A18" s="30" t="str">
        <f>IF(NOT(ISBLANK(Curs!B22)),Curs!B22,"")</f>
        <v/>
      </c>
      <c r="B18" s="31" t="str">
        <f>IF(AND(NOT(ISBLANK(Curs!C22)),OR(MAX(Curs!V22:W22)&lt;5,MAX(Curs!V22:W22)=1)),Curs!C22,"")</f>
        <v/>
      </c>
      <c r="C18" s="10"/>
      <c r="D18" s="10"/>
      <c r="E18" s="10"/>
      <c r="F18" s="24"/>
      <c r="G18" s="24" t="str">
        <f t="shared" si="0"/>
        <v/>
      </c>
      <c r="H18" s="23" t="str">
        <f t="shared" si="1"/>
        <v/>
      </c>
      <c r="I18" s="7"/>
      <c r="J18" s="14"/>
      <c r="K18" s="7"/>
      <c r="L18" s="1"/>
      <c r="O18" s="17"/>
    </row>
    <row r="19" spans="1:17" ht="18" x14ac:dyDescent="0.35">
      <c r="A19" s="30" t="str">
        <f>IF(NOT(ISBLANK(Curs!B23)),Curs!B23,"")</f>
        <v/>
      </c>
      <c r="B19" s="31" t="str">
        <f>IF(AND(NOT(ISBLANK(Curs!C23)),OR(MAX(Curs!V23:W23)&lt;5,MAX(Curs!V23:W23)=1)),Curs!C23,"")</f>
        <v/>
      </c>
      <c r="C19" s="10"/>
      <c r="D19" s="10"/>
      <c r="E19" s="10"/>
      <c r="F19" s="24"/>
      <c r="G19" s="24" t="str">
        <f t="shared" si="0"/>
        <v/>
      </c>
      <c r="H19" s="23" t="str">
        <f t="shared" si="1"/>
        <v/>
      </c>
      <c r="I19" s="7"/>
      <c r="J19" s="14"/>
      <c r="K19" s="7"/>
      <c r="L19" s="1"/>
      <c r="O19" s="17"/>
    </row>
    <row r="20" spans="1:17" ht="18" x14ac:dyDescent="0.35">
      <c r="A20" s="30" t="str">
        <f>IF(NOT(ISBLANK(Curs!B24)),Curs!B24,"")</f>
        <v/>
      </c>
      <c r="B20" s="31" t="str">
        <f>IF(AND(NOT(ISBLANK(Curs!C24)),OR(MAX(Curs!V24:W24)&lt;5,MAX(Curs!V24:W24)=1)),Curs!C24,"")</f>
        <v/>
      </c>
      <c r="C20" s="10"/>
      <c r="D20" s="10"/>
      <c r="E20" s="10"/>
      <c r="F20" s="24"/>
      <c r="G20" s="24" t="str">
        <f t="shared" si="0"/>
        <v/>
      </c>
      <c r="H20" s="23" t="str">
        <f t="shared" si="1"/>
        <v/>
      </c>
      <c r="I20" s="7"/>
      <c r="J20" s="14"/>
      <c r="K20" s="7"/>
      <c r="L20" s="1"/>
      <c r="O20" s="17"/>
    </row>
    <row r="21" spans="1:17" ht="18" x14ac:dyDescent="0.35">
      <c r="A21" s="30" t="str">
        <f>IF(NOT(ISBLANK(Curs!B25)),Curs!B25,"")</f>
        <v/>
      </c>
      <c r="B21" s="31" t="str">
        <f>IF(AND(NOT(ISBLANK(Curs!C25)),OR(MAX(Curs!V25:W25)&lt;5,MAX(Curs!V25:W25)=1)),Curs!C25,"")</f>
        <v/>
      </c>
      <c r="C21" s="10"/>
      <c r="D21" s="10"/>
      <c r="E21" s="10"/>
      <c r="F21" s="24"/>
      <c r="G21" s="24" t="str">
        <f t="shared" si="0"/>
        <v/>
      </c>
      <c r="H21" s="23" t="str">
        <f t="shared" si="1"/>
        <v/>
      </c>
      <c r="I21" s="7"/>
      <c r="J21" s="14"/>
      <c r="K21" s="7"/>
      <c r="L21" s="1"/>
      <c r="O21" s="17"/>
    </row>
    <row r="22" spans="1:17" ht="18" x14ac:dyDescent="0.35">
      <c r="A22" s="30" t="str">
        <f>IF(NOT(ISBLANK(Curs!B26)),Curs!B26,"")</f>
        <v/>
      </c>
      <c r="B22" s="31" t="str">
        <f>IF(AND(NOT(ISBLANK(Curs!C26)),OR(MAX(Curs!V26:W26)&lt;5,MAX(Curs!V26:W26)=1)),Curs!C26,"")</f>
        <v/>
      </c>
      <c r="C22" s="10"/>
      <c r="D22" s="10"/>
      <c r="E22" s="10"/>
      <c r="F22" s="24"/>
      <c r="G22" s="24" t="str">
        <f t="shared" si="0"/>
        <v/>
      </c>
      <c r="H22" s="23" t="str">
        <f t="shared" si="1"/>
        <v/>
      </c>
      <c r="I22" s="7"/>
      <c r="J22" s="14"/>
      <c r="K22" s="7"/>
      <c r="L22" s="1"/>
      <c r="O22" s="17"/>
    </row>
    <row r="23" spans="1:17" ht="18" x14ac:dyDescent="0.35">
      <c r="A23" s="30" t="str">
        <f>IF(NOT(ISBLANK(Curs!B27)),Curs!B27,"")</f>
        <v/>
      </c>
      <c r="B23" s="31" t="str">
        <f>IF(AND(NOT(ISBLANK(Curs!C27)),OR(MAX(Curs!V27:W27)&lt;5,MAX(Curs!V27:W27)=1)),Curs!C27,"")</f>
        <v/>
      </c>
      <c r="C23" s="10"/>
      <c r="D23" s="10"/>
      <c r="E23" s="10"/>
      <c r="F23" s="24"/>
      <c r="G23" s="24" t="str">
        <f t="shared" si="0"/>
        <v/>
      </c>
      <c r="H23" s="23" t="str">
        <f t="shared" si="1"/>
        <v/>
      </c>
      <c r="I23" s="7"/>
      <c r="J23" s="14"/>
      <c r="K23" s="7"/>
      <c r="L23" s="1"/>
      <c r="O23" s="17"/>
    </row>
    <row r="24" spans="1:17" ht="18" x14ac:dyDescent="0.35">
      <c r="A24" s="30" t="str">
        <f>IF(NOT(ISBLANK(Curs!B28)),Curs!B28,"")</f>
        <v/>
      </c>
      <c r="B24" s="31" t="str">
        <f>IF(AND(NOT(ISBLANK(Curs!C28)),OR(MAX(Curs!V28:W28)&lt;5,MAX(Curs!V28:W28)=1)),Curs!C28,"")</f>
        <v/>
      </c>
      <c r="C24" s="10"/>
      <c r="D24" s="10"/>
      <c r="E24" s="10"/>
      <c r="F24" s="24"/>
      <c r="G24" s="24" t="str">
        <f t="shared" si="0"/>
        <v/>
      </c>
      <c r="H24" s="23" t="str">
        <f t="shared" si="1"/>
        <v/>
      </c>
      <c r="I24" s="7"/>
      <c r="J24" s="14"/>
      <c r="K24" s="7"/>
      <c r="L24" s="1"/>
      <c r="O24" s="17"/>
    </row>
    <row r="25" spans="1:17" ht="18" x14ac:dyDescent="0.35">
      <c r="A25" s="30" t="str">
        <f>IF(NOT(ISBLANK(Curs!B29)),Curs!B29,"")</f>
        <v/>
      </c>
      <c r="B25" s="31" t="str">
        <f>IF(AND(NOT(ISBLANK(Curs!C29)),OR(MAX(Curs!V29:W29)&lt;5,MAX(Curs!V29:W29)=1)),Curs!C29,"")</f>
        <v/>
      </c>
      <c r="C25" s="10"/>
      <c r="D25" s="10"/>
      <c r="E25" s="10"/>
      <c r="F25" s="24"/>
      <c r="G25" s="24" t="str">
        <f t="shared" si="0"/>
        <v/>
      </c>
      <c r="H25" s="23" t="str">
        <f t="shared" si="1"/>
        <v/>
      </c>
      <c r="I25" s="7"/>
      <c r="J25" s="14"/>
      <c r="K25" s="7"/>
      <c r="L25" s="1"/>
      <c r="O25" s="17"/>
    </row>
    <row r="26" spans="1:17" ht="18" x14ac:dyDescent="0.35">
      <c r="A26" s="30" t="str">
        <f>IF(NOT(ISBLANK(Curs!B30)),Curs!B30,"")</f>
        <v/>
      </c>
      <c r="B26" s="31" t="str">
        <f>IF(AND(NOT(ISBLANK(Curs!C30)),OR(MAX(Curs!V30:W30)&lt;5,MAX(Curs!V30:W30)=1)),Curs!C30,"")</f>
        <v/>
      </c>
      <c r="C26" s="10"/>
      <c r="D26" s="10"/>
      <c r="E26" s="10"/>
      <c r="F26" s="24"/>
      <c r="G26" s="24" t="str">
        <f t="shared" si="0"/>
        <v/>
      </c>
      <c r="H26" s="23" t="str">
        <f t="shared" si="1"/>
        <v/>
      </c>
      <c r="I26" s="7"/>
      <c r="J26" s="14"/>
      <c r="K26" s="7"/>
      <c r="L26" s="1"/>
      <c r="O26" s="17"/>
    </row>
    <row r="27" spans="1:17" ht="18" x14ac:dyDescent="0.35">
      <c r="A27" s="30" t="str">
        <f>IF(NOT(ISBLANK(Curs!B31)),Curs!B31,"")</f>
        <v/>
      </c>
      <c r="B27" s="31" t="str">
        <f>IF(AND(NOT(ISBLANK(Curs!C31)),OR(MAX(Curs!V31:W31)&lt;5,MAX(Curs!V31:W31)=1)),Curs!C31,"")</f>
        <v/>
      </c>
      <c r="C27" s="10"/>
      <c r="D27" s="10"/>
      <c r="E27" s="10"/>
      <c r="F27" s="24"/>
      <c r="G27" s="24" t="str">
        <f t="shared" si="0"/>
        <v/>
      </c>
      <c r="H27" s="23" t="str">
        <f t="shared" si="1"/>
        <v/>
      </c>
      <c r="I27" s="10"/>
      <c r="J27" s="10"/>
      <c r="K27" s="10"/>
      <c r="L27" s="11"/>
      <c r="M27" s="23"/>
      <c r="N27" s="7"/>
      <c r="O27" s="14"/>
      <c r="P27" s="7"/>
      <c r="Q27" s="1"/>
    </row>
    <row r="28" spans="1:17" ht="18" x14ac:dyDescent="0.35">
      <c r="A28" s="30" t="str">
        <f>IF(NOT(ISBLANK(Curs!B32)),Curs!B32,"")</f>
        <v/>
      </c>
      <c r="B28" s="31" t="str">
        <f>IF(AND(NOT(ISBLANK(Curs!C32)),OR(MAX(Curs!V32:W32)&lt;5,MAX(Curs!V32:W32)=1)),Curs!C32,"")</f>
        <v/>
      </c>
      <c r="C28" s="10"/>
      <c r="D28" s="10"/>
      <c r="E28" s="10"/>
      <c r="F28" s="24"/>
      <c r="G28" s="24" t="str">
        <f t="shared" si="0"/>
        <v/>
      </c>
      <c r="H28" s="23" t="str">
        <f t="shared" si="1"/>
        <v/>
      </c>
    </row>
    <row r="29" spans="1:17" ht="18" x14ac:dyDescent="0.35">
      <c r="A29" s="30" t="str">
        <f>IF(NOT(ISBLANK(Curs!B33)),Curs!B33,"")</f>
        <v/>
      </c>
      <c r="B29" s="31" t="str">
        <f>IF(AND(NOT(ISBLANK(Curs!C33)),OR(MAX(Curs!V33:W33)&lt;5,MAX(Curs!V33:W33)=1)),Curs!C33,"")</f>
        <v/>
      </c>
      <c r="C29" s="10"/>
      <c r="D29" s="10"/>
      <c r="E29" s="10"/>
      <c r="F29" s="24"/>
      <c r="G29" s="24" t="str">
        <f t="shared" si="0"/>
        <v/>
      </c>
      <c r="H29" s="23" t="str">
        <f t="shared" si="1"/>
        <v/>
      </c>
    </row>
    <row r="30" spans="1:17" ht="18" x14ac:dyDescent="0.35">
      <c r="A30" s="30" t="str">
        <f>IF(NOT(ISBLANK(Curs!B34)),Curs!B34,"")</f>
        <v/>
      </c>
      <c r="B30" s="31" t="str">
        <f>IF(AND(NOT(ISBLANK(Curs!C34)),OR(MAX(Curs!V34:W34)&lt;5,MAX(Curs!V34:W34)=1)),Curs!C34,"")</f>
        <v/>
      </c>
      <c r="C30" s="10"/>
      <c r="D30" s="10"/>
      <c r="E30" s="10"/>
      <c r="F30" s="24"/>
      <c r="G30" s="24" t="str">
        <f t="shared" si="0"/>
        <v/>
      </c>
      <c r="H30" s="23" t="str">
        <f t="shared" si="1"/>
        <v/>
      </c>
    </row>
    <row r="31" spans="1:17" ht="18" x14ac:dyDescent="0.35">
      <c r="A31" s="30" t="str">
        <f>IF(NOT(ISBLANK(Curs!B35)),Curs!B35,"")</f>
        <v/>
      </c>
      <c r="B31" s="31" t="str">
        <f>IF(AND(NOT(ISBLANK(Curs!C35)),OR(MAX(Curs!V35:W35)&lt;5,MAX(Curs!V35:W35)=1)),Curs!C35,"")</f>
        <v/>
      </c>
      <c r="C31" s="10"/>
      <c r="D31" s="10"/>
      <c r="E31" s="10"/>
      <c r="F31" s="24"/>
      <c r="G31" s="24" t="str">
        <f t="shared" si="0"/>
        <v/>
      </c>
      <c r="H31" s="23" t="str">
        <f t="shared" si="1"/>
        <v/>
      </c>
    </row>
    <row r="32" spans="1:17" ht="18" x14ac:dyDescent="0.35">
      <c r="A32" s="30" t="str">
        <f>IF(NOT(ISBLANK(Curs!B36)),Curs!B36,"")</f>
        <v/>
      </c>
      <c r="B32" s="31" t="str">
        <f>IF(AND(NOT(ISBLANK(Curs!C36)),OR(MAX(Curs!V36:W36)&lt;5,MAX(Curs!V36:W36)=1)),Curs!C36,"")</f>
        <v/>
      </c>
      <c r="C32" s="10"/>
      <c r="D32" s="10"/>
      <c r="E32" s="10"/>
      <c r="F32" s="24"/>
      <c r="G32" s="24" t="str">
        <f t="shared" si="0"/>
        <v/>
      </c>
      <c r="H32" s="23" t="str">
        <f t="shared" si="1"/>
        <v/>
      </c>
    </row>
    <row r="33" spans="1:8" ht="18" x14ac:dyDescent="0.35">
      <c r="A33" s="30" t="str">
        <f>IF(NOT(ISBLANK(Curs!B37)),Curs!B37,"")</f>
        <v/>
      </c>
      <c r="B33" s="31" t="str">
        <f>IF(AND(NOT(ISBLANK(Curs!C37)),OR(MAX(Curs!V37:W37)&lt;5,MAX(Curs!V37:W37)=1)),Curs!C37,"")</f>
        <v/>
      </c>
      <c r="C33" s="10"/>
      <c r="D33" s="10"/>
      <c r="E33" s="10"/>
      <c r="F33" s="24"/>
      <c r="G33" s="24" t="str">
        <f t="shared" si="0"/>
        <v/>
      </c>
      <c r="H33" s="23" t="str">
        <f t="shared" si="1"/>
        <v/>
      </c>
    </row>
    <row r="34" spans="1:8" ht="18" x14ac:dyDescent="0.35">
      <c r="A34" s="30" t="str">
        <f>IF(NOT(ISBLANK(Curs!B38)),Curs!B38,"")</f>
        <v/>
      </c>
      <c r="B34" s="31" t="str">
        <f>IF(AND(NOT(ISBLANK(Curs!C38)),OR(MAX(Curs!V38:W38)&lt;5,MAX(Curs!V38:W38)=1)),Curs!C38,"")</f>
        <v/>
      </c>
      <c r="C34" s="10"/>
      <c r="D34" s="10"/>
      <c r="E34" s="10"/>
      <c r="F34" s="24"/>
      <c r="G34" s="24" t="str">
        <f t="shared" ref="G34:G65" si="3">IF(B34="","",ROUND(SUM(C34:F34),0))</f>
        <v/>
      </c>
      <c r="H34" s="23" t="str">
        <f t="shared" ref="H34:H65" si="4">IF(B34="","",
IF(G34=0,"n/p",
IF(AND(G34&gt;=$I$3,G34&lt;=$J$3),$K$3,
IF(AND(G34&gt;=$I$4,G34&lt;=$J$4),$K$4,
IF(AND(G34&gt;=$I$5,G34&lt;=$J$5),$K$5,
IF(AND(G34&gt;=$I$6,G34&lt;=$J$6),$K$6,
IF(AND(G34&gt;=$I$7,G34&lt;=$J$7),$K$7,
IF(AND(G34&gt;=$I$8,G34&lt;=$J$8),$K$8,
IF(AND(G34&gt;=$I$9,G34&lt;=$J$9),$K$9,
IF(AND(G34&gt;=$I$10,G34&lt;=$J$10),$K$10,
IF(AND(G34&gt;=$I$11,G34&lt;=$J$11),$K$11)))))))))))</f>
        <v/>
      </c>
    </row>
    <row r="35" spans="1:8" ht="18" x14ac:dyDescent="0.35">
      <c r="A35" s="30" t="str">
        <f>IF(NOT(ISBLANK(Curs!B39)),Curs!B39,"")</f>
        <v/>
      </c>
      <c r="B35" s="31" t="str">
        <f>IF(AND(NOT(ISBLANK(Curs!C39)),OR(MAX(Curs!V39:W39)&lt;5,MAX(Curs!V39:W39)=1)),Curs!C39,"")</f>
        <v/>
      </c>
      <c r="C35" s="10"/>
      <c r="D35" s="10"/>
      <c r="E35" s="10"/>
      <c r="F35" s="24"/>
      <c r="G35" s="24" t="str">
        <f t="shared" si="3"/>
        <v/>
      </c>
      <c r="H35" s="23" t="str">
        <f t="shared" si="4"/>
        <v/>
      </c>
    </row>
    <row r="36" spans="1:8" ht="18" x14ac:dyDescent="0.35">
      <c r="A36" s="30" t="str">
        <f>IF(NOT(ISBLANK(Curs!B40)),Curs!B40,"")</f>
        <v/>
      </c>
      <c r="B36" s="31" t="str">
        <f>IF(AND(NOT(ISBLANK(Curs!C40)),OR(MAX(Curs!V40:W40)&lt;5,MAX(Curs!V40:W40)=1)),Curs!C40,"")</f>
        <v/>
      </c>
      <c r="C36" s="10"/>
      <c r="D36" s="10"/>
      <c r="E36" s="10"/>
      <c r="F36" s="24"/>
      <c r="G36" s="24" t="str">
        <f t="shared" si="3"/>
        <v/>
      </c>
      <c r="H36" s="23" t="str">
        <f t="shared" si="4"/>
        <v/>
      </c>
    </row>
    <row r="37" spans="1:8" ht="18" x14ac:dyDescent="0.35">
      <c r="A37" s="30" t="str">
        <f>IF(NOT(ISBLANK(Curs!B41)),Curs!B41,"")</f>
        <v/>
      </c>
      <c r="B37" s="31" t="str">
        <f>IF(AND(NOT(ISBLANK(Curs!C41)),OR(MAX(Curs!V41:W41)&lt;5,MAX(Curs!V41:W41)=1)),Curs!C41,"")</f>
        <v/>
      </c>
      <c r="C37" s="10"/>
      <c r="D37" s="10"/>
      <c r="E37" s="10"/>
      <c r="F37" s="24"/>
      <c r="G37" s="24" t="str">
        <f t="shared" si="3"/>
        <v/>
      </c>
      <c r="H37" s="23" t="str">
        <f t="shared" si="4"/>
        <v/>
      </c>
    </row>
    <row r="38" spans="1:8" ht="18" x14ac:dyDescent="0.35">
      <c r="A38" s="30" t="str">
        <f>IF(NOT(ISBLANK(Curs!B42)),Curs!B42,"")</f>
        <v/>
      </c>
      <c r="B38" s="31" t="str">
        <f>IF(AND(NOT(ISBLANK(Curs!C42)),OR(MAX(Curs!V42:W42)&lt;5,MAX(Curs!V42:W42)=1)),Curs!C42,"")</f>
        <v/>
      </c>
      <c r="C38" s="10"/>
      <c r="D38" s="10"/>
      <c r="E38" s="10"/>
      <c r="F38" s="24"/>
      <c r="G38" s="24" t="str">
        <f t="shared" si="3"/>
        <v/>
      </c>
      <c r="H38" s="23" t="str">
        <f t="shared" si="4"/>
        <v/>
      </c>
    </row>
    <row r="39" spans="1:8" ht="18" x14ac:dyDescent="0.35">
      <c r="A39" s="30" t="str">
        <f>IF(NOT(ISBLANK(Curs!B43)),Curs!B43,"")</f>
        <v/>
      </c>
      <c r="B39" s="31" t="str">
        <f>IF(AND(NOT(ISBLANK(Curs!C43)),OR(MAX(Curs!V43:W43)&lt;5,MAX(Curs!V43:W43)=1)),Curs!C43,"")</f>
        <v/>
      </c>
      <c r="C39" s="10"/>
      <c r="D39" s="10"/>
      <c r="E39" s="10"/>
      <c r="F39" s="24"/>
      <c r="G39" s="24" t="str">
        <f t="shared" si="3"/>
        <v/>
      </c>
      <c r="H39" s="23" t="str">
        <f t="shared" si="4"/>
        <v/>
      </c>
    </row>
    <row r="40" spans="1:8" ht="18" x14ac:dyDescent="0.35">
      <c r="A40" s="30" t="str">
        <f>IF(NOT(ISBLANK(Curs!B44)),Curs!B44,"")</f>
        <v/>
      </c>
      <c r="B40" s="31" t="str">
        <f>IF(AND(NOT(ISBLANK(Curs!C44)),OR(MAX(Curs!V44:W44)&lt;5,MAX(Curs!V44:W44)=1)),Curs!C44,"")</f>
        <v/>
      </c>
      <c r="C40" s="10"/>
      <c r="D40" s="10"/>
      <c r="E40" s="10"/>
      <c r="F40" s="24"/>
      <c r="G40" s="24" t="str">
        <f t="shared" si="3"/>
        <v/>
      </c>
      <c r="H40" s="23" t="str">
        <f t="shared" si="4"/>
        <v/>
      </c>
    </row>
    <row r="41" spans="1:8" ht="18" x14ac:dyDescent="0.35">
      <c r="A41" s="30" t="str">
        <f>IF(NOT(ISBLANK(Curs!B45)),Curs!B45,"")</f>
        <v/>
      </c>
      <c r="B41" s="31" t="str">
        <f>IF(AND(NOT(ISBLANK(Curs!C45)),OR(MAX(Curs!V45:W45)&lt;5,MAX(Curs!V45:W45)=1)),Curs!C45,"")</f>
        <v/>
      </c>
      <c r="C41" s="10"/>
      <c r="D41" s="10"/>
      <c r="E41" s="10"/>
      <c r="F41" s="24"/>
      <c r="G41" s="24" t="str">
        <f t="shared" si="3"/>
        <v/>
      </c>
      <c r="H41" s="23" t="str">
        <f t="shared" si="4"/>
        <v/>
      </c>
    </row>
    <row r="42" spans="1:8" ht="18" x14ac:dyDescent="0.35">
      <c r="A42" s="30" t="str">
        <f>IF(NOT(ISBLANK(Curs!B46)),Curs!B46,"")</f>
        <v/>
      </c>
      <c r="B42" s="31" t="str">
        <f>IF(AND(NOT(ISBLANK(Curs!C46)),OR(MAX(Curs!V46:W46)&lt;5,MAX(Curs!V46:W46)=1)),Curs!C46,"")</f>
        <v/>
      </c>
      <c r="C42" s="10"/>
      <c r="D42" s="10"/>
      <c r="E42" s="10"/>
      <c r="F42" s="24"/>
      <c r="G42" s="24" t="str">
        <f t="shared" si="3"/>
        <v/>
      </c>
      <c r="H42" s="23" t="str">
        <f t="shared" si="4"/>
        <v/>
      </c>
    </row>
    <row r="43" spans="1:8" ht="18" x14ac:dyDescent="0.35">
      <c r="A43" s="30" t="str">
        <f>IF(NOT(ISBLANK(Curs!B47)),Curs!B47,"")</f>
        <v/>
      </c>
      <c r="B43" s="31" t="str">
        <f>IF(AND(NOT(ISBLANK(Curs!C47)),OR(MAX(Curs!V47:W47)&lt;5,MAX(Curs!V47:W47)=1)),Curs!C47,"")</f>
        <v/>
      </c>
      <c r="C43" s="10"/>
      <c r="D43" s="10"/>
      <c r="E43" s="10"/>
      <c r="F43" s="24"/>
      <c r="G43" s="24" t="str">
        <f t="shared" si="3"/>
        <v/>
      </c>
      <c r="H43" s="23" t="str">
        <f t="shared" si="4"/>
        <v/>
      </c>
    </row>
    <row r="44" spans="1:8" ht="18" x14ac:dyDescent="0.35">
      <c r="A44" s="30" t="str">
        <f>IF(NOT(ISBLANK(Curs!B48)),Curs!B48,"")</f>
        <v/>
      </c>
      <c r="B44" s="31" t="str">
        <f>IF(AND(NOT(ISBLANK(Curs!C48)),OR(MAX(Curs!V48:W48)&lt;5,MAX(Curs!V48:W48)=1)),Curs!C48,"")</f>
        <v/>
      </c>
      <c r="C44" s="10"/>
      <c r="D44" s="10"/>
      <c r="E44" s="10"/>
      <c r="F44" s="24"/>
      <c r="G44" s="24" t="str">
        <f t="shared" si="3"/>
        <v/>
      </c>
      <c r="H44" s="23" t="str">
        <f t="shared" si="4"/>
        <v/>
      </c>
    </row>
    <row r="45" spans="1:8" ht="18" x14ac:dyDescent="0.35">
      <c r="A45" s="30" t="str">
        <f>IF(NOT(ISBLANK(Curs!B49)),Curs!B49,"")</f>
        <v/>
      </c>
      <c r="B45" s="31" t="str">
        <f>IF(AND(NOT(ISBLANK(Curs!C49)),OR(MAX(Curs!V49:W49)&lt;5,MAX(Curs!V49:W49)=1)),Curs!C49,"")</f>
        <v/>
      </c>
      <c r="C45" s="10"/>
      <c r="D45" s="10"/>
      <c r="E45" s="10"/>
      <c r="F45" s="24"/>
      <c r="G45" s="24" t="str">
        <f t="shared" si="3"/>
        <v/>
      </c>
      <c r="H45" s="23" t="str">
        <f t="shared" si="4"/>
        <v/>
      </c>
    </row>
    <row r="46" spans="1:8" ht="18" x14ac:dyDescent="0.35">
      <c r="A46" s="30" t="str">
        <f>IF(NOT(ISBLANK(Curs!B50)),Curs!B50,"")</f>
        <v/>
      </c>
      <c r="B46" s="31" t="str">
        <f>IF(AND(NOT(ISBLANK(Curs!C50)),OR(MAX(Curs!V50:W50)&lt;5,MAX(Curs!V50:W50)=1)),Curs!C50,"")</f>
        <v/>
      </c>
      <c r="C46" s="10"/>
      <c r="D46" s="10"/>
      <c r="E46" s="10"/>
      <c r="F46" s="24"/>
      <c r="G46" s="24" t="str">
        <f t="shared" si="3"/>
        <v/>
      </c>
      <c r="H46" s="23" t="str">
        <f t="shared" si="4"/>
        <v/>
      </c>
    </row>
    <row r="47" spans="1:8" ht="18" x14ac:dyDescent="0.35">
      <c r="A47" s="30" t="str">
        <f>IF(NOT(ISBLANK(Curs!B51)),Curs!B51,"")</f>
        <v/>
      </c>
      <c r="B47" s="31" t="str">
        <f>IF(AND(NOT(ISBLANK(Curs!C51)),OR(MAX(Curs!V51:W51)&lt;5,MAX(Curs!V51:W51)=1)),Curs!C51,"")</f>
        <v/>
      </c>
      <c r="C47" s="10"/>
      <c r="D47" s="10"/>
      <c r="E47" s="10"/>
      <c r="F47" s="24"/>
      <c r="G47" s="24" t="str">
        <f t="shared" si="3"/>
        <v/>
      </c>
      <c r="H47" s="23" t="str">
        <f t="shared" si="4"/>
        <v/>
      </c>
    </row>
    <row r="48" spans="1:8" ht="18" x14ac:dyDescent="0.35">
      <c r="A48" s="30" t="str">
        <f>IF(NOT(ISBLANK(Curs!B52)),Curs!B52,"")</f>
        <v/>
      </c>
      <c r="B48" s="31" t="str">
        <f>IF(AND(NOT(ISBLANK(Curs!C52)),OR(MAX(Curs!V52:W52)&lt;5,MAX(Curs!V52:W52)=1)),Curs!C52,"")</f>
        <v/>
      </c>
      <c r="C48" s="10"/>
      <c r="D48" s="10"/>
      <c r="E48" s="10"/>
      <c r="F48" s="24"/>
      <c r="G48" s="24" t="str">
        <f t="shared" si="3"/>
        <v/>
      </c>
      <c r="H48" s="23" t="str">
        <f t="shared" si="4"/>
        <v/>
      </c>
    </row>
    <row r="49" spans="1:8" ht="18" x14ac:dyDescent="0.35">
      <c r="A49" s="30" t="str">
        <f>IF(NOT(ISBLANK(Curs!B53)),Curs!B53,"")</f>
        <v/>
      </c>
      <c r="B49" s="31" t="str">
        <f>IF(AND(NOT(ISBLANK(Curs!C53)),OR(MAX(Curs!V53:W53)&lt;5,MAX(Curs!V53:W53)=1)),Curs!C53,"")</f>
        <v/>
      </c>
      <c r="C49" s="10"/>
      <c r="D49" s="10"/>
      <c r="E49" s="10"/>
      <c r="F49" s="24"/>
      <c r="G49" s="24" t="str">
        <f t="shared" si="3"/>
        <v/>
      </c>
      <c r="H49" s="23" t="str">
        <f t="shared" si="4"/>
        <v/>
      </c>
    </row>
    <row r="50" spans="1:8" ht="18" x14ac:dyDescent="0.35">
      <c r="A50" s="30" t="str">
        <f>IF(NOT(ISBLANK(Curs!B54)),Curs!B54,"")</f>
        <v/>
      </c>
      <c r="B50" s="31" t="str">
        <f>IF(AND(NOT(ISBLANK(Curs!C54)),OR(MAX(Curs!V54:W54)&lt;5,MAX(Curs!V54:W54)=1)),Curs!C54,"")</f>
        <v/>
      </c>
      <c r="C50" s="10"/>
      <c r="D50" s="10"/>
      <c r="E50" s="10"/>
      <c r="F50" s="24"/>
      <c r="G50" s="24" t="str">
        <f t="shared" si="3"/>
        <v/>
      </c>
      <c r="H50" s="23" t="str">
        <f t="shared" si="4"/>
        <v/>
      </c>
    </row>
    <row r="51" spans="1:8" ht="18" x14ac:dyDescent="0.35">
      <c r="A51" s="30" t="str">
        <f>IF(NOT(ISBLANK(Curs!B55)),Curs!B55,"")</f>
        <v/>
      </c>
      <c r="B51" s="31" t="str">
        <f>IF(AND(NOT(ISBLANK(Curs!C55)),OR(MAX(Curs!V55:W55)&lt;5,MAX(Curs!V55:W55)=1)),Curs!C55,"")</f>
        <v/>
      </c>
      <c r="C51" s="10"/>
      <c r="D51" s="10"/>
      <c r="E51" s="10"/>
      <c r="F51" s="24"/>
      <c r="G51" s="24" t="str">
        <f t="shared" si="3"/>
        <v/>
      </c>
      <c r="H51" s="23" t="str">
        <f t="shared" si="4"/>
        <v/>
      </c>
    </row>
    <row r="52" spans="1:8" ht="18" x14ac:dyDescent="0.35">
      <c r="A52" s="30" t="str">
        <f>IF(NOT(ISBLANK(Curs!B56)),Curs!B56,"")</f>
        <v/>
      </c>
      <c r="B52" s="31" t="str">
        <f>IF(AND(NOT(ISBLANK(Curs!C56)),OR(MAX(Curs!V56:W56)&lt;5,MAX(Curs!V56:W56)=1)),Curs!C56,"")</f>
        <v/>
      </c>
      <c r="C52" s="10"/>
      <c r="D52" s="10"/>
      <c r="E52" s="10"/>
      <c r="F52" s="24"/>
      <c r="G52" s="24" t="str">
        <f t="shared" si="3"/>
        <v/>
      </c>
      <c r="H52" s="23" t="str">
        <f t="shared" si="4"/>
        <v/>
      </c>
    </row>
    <row r="53" spans="1:8" ht="18" x14ac:dyDescent="0.35">
      <c r="A53" s="30" t="str">
        <f>IF(NOT(ISBLANK(Curs!B57)),Curs!B57,"")</f>
        <v/>
      </c>
      <c r="B53" s="31" t="str">
        <f>IF(AND(NOT(ISBLANK(Curs!C57)),OR(MAX(Curs!V57:W57)&lt;5,MAX(Curs!V57:W57)=1)),Curs!C57,"")</f>
        <v/>
      </c>
      <c r="C53" s="10"/>
      <c r="D53" s="10"/>
      <c r="E53" s="10"/>
      <c r="F53" s="24"/>
      <c r="G53" s="24" t="str">
        <f t="shared" si="3"/>
        <v/>
      </c>
      <c r="H53" s="23" t="str">
        <f t="shared" si="4"/>
        <v/>
      </c>
    </row>
    <row r="54" spans="1:8" ht="18" x14ac:dyDescent="0.35">
      <c r="A54" s="30" t="str">
        <f>IF(NOT(ISBLANK(Curs!B58)),Curs!B58,"")</f>
        <v/>
      </c>
      <c r="B54" s="31" t="str">
        <f>IF(AND(NOT(ISBLANK(Curs!C58)),OR(MAX(Curs!V58:W58)&lt;5,MAX(Curs!V58:W58)=1)),Curs!C58,"")</f>
        <v/>
      </c>
      <c r="C54" s="10"/>
      <c r="D54" s="10"/>
      <c r="E54" s="10"/>
      <c r="F54" s="24"/>
      <c r="G54" s="24" t="str">
        <f t="shared" si="3"/>
        <v/>
      </c>
      <c r="H54" s="23" t="str">
        <f t="shared" si="4"/>
        <v/>
      </c>
    </row>
    <row r="55" spans="1:8" ht="18" x14ac:dyDescent="0.35">
      <c r="A55" s="30" t="str">
        <f>IF(NOT(ISBLANK(Curs!B59)),Curs!B59,"")</f>
        <v/>
      </c>
      <c r="B55" s="31" t="str">
        <f>IF(AND(NOT(ISBLANK(Curs!C59)),OR(MAX(Curs!V59:W59)&lt;5,MAX(Curs!V59:W59)=1)),Curs!C59,"")</f>
        <v/>
      </c>
      <c r="C55" s="10"/>
      <c r="D55" s="10"/>
      <c r="E55" s="10"/>
      <c r="F55" s="24"/>
      <c r="G55" s="24" t="str">
        <f t="shared" si="3"/>
        <v/>
      </c>
      <c r="H55" s="23" t="str">
        <f t="shared" si="4"/>
        <v/>
      </c>
    </row>
    <row r="56" spans="1:8" ht="18" x14ac:dyDescent="0.35">
      <c r="A56" s="30" t="str">
        <f>IF(NOT(ISBLANK(Curs!B60)),Curs!B60,"")</f>
        <v/>
      </c>
      <c r="B56" s="31" t="str">
        <f>IF(AND(NOT(ISBLANK(Curs!C60)),OR(MAX(Curs!V60:W60)&lt;5,MAX(Curs!V60:W60)=1)),Curs!C60,"")</f>
        <v/>
      </c>
      <c r="C56" s="10"/>
      <c r="D56" s="10"/>
      <c r="E56" s="10"/>
      <c r="F56" s="24"/>
      <c r="G56" s="24" t="str">
        <f t="shared" si="3"/>
        <v/>
      </c>
      <c r="H56" s="23" t="str">
        <f t="shared" si="4"/>
        <v/>
      </c>
    </row>
    <row r="57" spans="1:8" ht="18" x14ac:dyDescent="0.35">
      <c r="A57" s="30" t="str">
        <f>IF(NOT(ISBLANK(Curs!B61)),Curs!B61,"")</f>
        <v/>
      </c>
      <c r="B57" s="31" t="str">
        <f>IF(AND(NOT(ISBLANK(Curs!C61)),OR(MAX(Curs!V61:W61)&lt;5,MAX(Curs!V61:W61)=1)),Curs!C61,"")</f>
        <v/>
      </c>
      <c r="C57" s="10"/>
      <c r="D57" s="10"/>
      <c r="E57" s="10"/>
      <c r="F57" s="24"/>
      <c r="G57" s="24" t="str">
        <f t="shared" si="3"/>
        <v/>
      </c>
      <c r="H57" s="23" t="str">
        <f t="shared" si="4"/>
        <v/>
      </c>
    </row>
    <row r="58" spans="1:8" ht="18" x14ac:dyDescent="0.35">
      <c r="A58" s="30" t="str">
        <f>IF(NOT(ISBLANK(Curs!B62)),Curs!B62,"")</f>
        <v/>
      </c>
      <c r="B58" s="31" t="str">
        <f>IF(AND(NOT(ISBLANK(Curs!C62)),OR(MAX(Curs!V62:W62)&lt;5,MAX(Curs!V62:W62)=1)),Curs!C62,"")</f>
        <v/>
      </c>
      <c r="C58" s="10"/>
      <c r="D58" s="10"/>
      <c r="E58" s="10"/>
      <c r="F58" s="24"/>
      <c r="G58" s="24" t="str">
        <f t="shared" si="3"/>
        <v/>
      </c>
      <c r="H58" s="23" t="str">
        <f t="shared" si="4"/>
        <v/>
      </c>
    </row>
    <row r="59" spans="1:8" ht="18" x14ac:dyDescent="0.35">
      <c r="A59" s="30" t="str">
        <f>IF(NOT(ISBLANK(Curs!B63)),Curs!B63,"")</f>
        <v/>
      </c>
      <c r="B59" s="31" t="str">
        <f>IF(AND(NOT(ISBLANK(Curs!C63)),OR(MAX(Curs!V63:W63)&lt;5,MAX(Curs!V63:W63)=1)),Curs!C63,"")</f>
        <v/>
      </c>
      <c r="C59" s="10"/>
      <c r="D59" s="10"/>
      <c r="E59" s="10"/>
      <c r="F59" s="24"/>
      <c r="G59" s="24" t="str">
        <f t="shared" si="3"/>
        <v/>
      </c>
      <c r="H59" s="23" t="str">
        <f t="shared" si="4"/>
        <v/>
      </c>
    </row>
    <row r="60" spans="1:8" ht="18" x14ac:dyDescent="0.35">
      <c r="A60" s="30" t="str">
        <f>IF(NOT(ISBLANK(Curs!B64)),Curs!B64,"")</f>
        <v/>
      </c>
      <c r="B60" s="31" t="str">
        <f>IF(AND(NOT(ISBLANK(Curs!C64)),OR(MAX(Curs!V64:W64)&lt;5,MAX(Curs!V64:W64)=1)),Curs!C64,"")</f>
        <v/>
      </c>
      <c r="C60" s="10"/>
      <c r="D60" s="10"/>
      <c r="E60" s="10"/>
      <c r="F60" s="24"/>
      <c r="G60" s="24" t="str">
        <f t="shared" si="3"/>
        <v/>
      </c>
      <c r="H60" s="23" t="str">
        <f t="shared" si="4"/>
        <v/>
      </c>
    </row>
    <row r="61" spans="1:8" ht="18" x14ac:dyDescent="0.35">
      <c r="A61" s="30" t="str">
        <f>IF(NOT(ISBLANK(Curs!B65)),Curs!B65,"")</f>
        <v/>
      </c>
      <c r="B61" s="31" t="str">
        <f>IF(AND(NOT(ISBLANK(Curs!C65)),OR(MAX(Curs!V65:W65)&lt;5,MAX(Curs!V65:W65)=1)),Curs!C65,"")</f>
        <v/>
      </c>
      <c r="C61" s="10"/>
      <c r="D61" s="10"/>
      <c r="E61" s="10"/>
      <c r="F61" s="24"/>
      <c r="G61" s="24" t="str">
        <f t="shared" si="3"/>
        <v/>
      </c>
      <c r="H61" s="23" t="str">
        <f t="shared" si="4"/>
        <v/>
      </c>
    </row>
    <row r="62" spans="1:8" ht="18" x14ac:dyDescent="0.35">
      <c r="A62" s="30" t="str">
        <f>IF(NOT(ISBLANK(Curs!B66)),Curs!B66,"")</f>
        <v/>
      </c>
      <c r="B62" s="31" t="str">
        <f>IF(AND(NOT(ISBLANK(Curs!C66)),OR(MAX(Curs!V66:W66)&lt;5,MAX(Curs!V66:W66)=1)),Curs!C66,"")</f>
        <v/>
      </c>
      <c r="C62" s="10"/>
      <c r="D62" s="10"/>
      <c r="E62" s="10"/>
      <c r="F62" s="24"/>
      <c r="G62" s="24" t="str">
        <f t="shared" si="3"/>
        <v/>
      </c>
      <c r="H62" s="23" t="str">
        <f t="shared" si="4"/>
        <v/>
      </c>
    </row>
    <row r="63" spans="1:8" ht="18" x14ac:dyDescent="0.35">
      <c r="A63" s="30" t="str">
        <f>IF(NOT(ISBLANK(Curs!B67)),Curs!B67,"")</f>
        <v/>
      </c>
      <c r="B63" s="31" t="str">
        <f>IF(AND(NOT(ISBLANK(Curs!C67)),OR(MAX(Curs!V67:W67)&lt;5,MAX(Curs!V67:W67)=1)),Curs!C67,"")</f>
        <v/>
      </c>
      <c r="C63" s="10"/>
      <c r="D63" s="10"/>
      <c r="E63" s="10"/>
      <c r="F63" s="24"/>
      <c r="G63" s="24" t="str">
        <f t="shared" si="3"/>
        <v/>
      </c>
      <c r="H63" s="23" t="str">
        <f t="shared" si="4"/>
        <v/>
      </c>
    </row>
    <row r="64" spans="1:8" ht="18" x14ac:dyDescent="0.35">
      <c r="A64" s="30" t="str">
        <f>IF(NOT(ISBLANK(Curs!B68)),Curs!B68,"")</f>
        <v/>
      </c>
      <c r="B64" s="31" t="str">
        <f>IF(AND(NOT(ISBLANK(Curs!C68)),OR(MAX(Curs!V68:W68)&lt;5,MAX(Curs!V68:W68)=1)),Curs!C68,"")</f>
        <v/>
      </c>
      <c r="C64" s="10"/>
      <c r="D64" s="10"/>
      <c r="E64" s="10"/>
      <c r="F64" s="24"/>
      <c r="G64" s="24" t="str">
        <f t="shared" si="3"/>
        <v/>
      </c>
      <c r="H64" s="23" t="str">
        <f t="shared" si="4"/>
        <v/>
      </c>
    </row>
    <row r="65" spans="1:8" ht="18" x14ac:dyDescent="0.35">
      <c r="A65" s="30" t="str">
        <f>IF(NOT(ISBLANK(Curs!B69)),Curs!B69,"")</f>
        <v/>
      </c>
      <c r="B65" s="31" t="str">
        <f>IF(AND(NOT(ISBLANK(Curs!C69)),OR(MAX(Curs!V69:W69)&lt;5,MAX(Curs!V69:W69)=1)),Curs!C69,"")</f>
        <v/>
      </c>
      <c r="C65" s="10"/>
      <c r="D65" s="10"/>
      <c r="E65" s="10"/>
      <c r="F65" s="24"/>
      <c r="G65" s="24" t="str">
        <f t="shared" si="3"/>
        <v/>
      </c>
      <c r="H65" s="23" t="str">
        <f t="shared" si="4"/>
        <v/>
      </c>
    </row>
    <row r="66" spans="1:8" ht="18" x14ac:dyDescent="0.35">
      <c r="A66" s="30" t="str">
        <f>IF(NOT(ISBLANK(Curs!B70)),Curs!B70,"")</f>
        <v/>
      </c>
      <c r="B66" s="31" t="str">
        <f>IF(AND(NOT(ISBLANK(Curs!C70)),OR(MAX(Curs!V70:W70)&lt;5,MAX(Curs!V70:W70)=1)),Curs!C70,"")</f>
        <v/>
      </c>
      <c r="C66" s="10"/>
      <c r="D66" s="10"/>
      <c r="E66" s="10"/>
      <c r="F66" s="24"/>
      <c r="G66" s="24" t="str">
        <f t="shared" ref="G66:G97" si="5">IF(B66="","",ROUND(SUM(C66:F66),0))</f>
        <v/>
      </c>
      <c r="H66" s="23" t="str">
        <f t="shared" ref="H66:H97" si="6">IF(B66="","",
IF(G66=0,"n/p",
IF(AND(G66&gt;=$I$3,G66&lt;=$J$3),$K$3,
IF(AND(G66&gt;=$I$4,G66&lt;=$J$4),$K$4,
IF(AND(G66&gt;=$I$5,G66&lt;=$J$5),$K$5,
IF(AND(G66&gt;=$I$6,G66&lt;=$J$6),$K$6,
IF(AND(G66&gt;=$I$7,G66&lt;=$J$7),$K$7,
IF(AND(G66&gt;=$I$8,G66&lt;=$J$8),$K$8,
IF(AND(G66&gt;=$I$9,G66&lt;=$J$9),$K$9,
IF(AND(G66&gt;=$I$10,G66&lt;=$J$10),$K$10,
IF(AND(G66&gt;=$I$11,G66&lt;=$J$11),$K$11)))))))))))</f>
        <v/>
      </c>
    </row>
    <row r="67" spans="1:8" ht="18" x14ac:dyDescent="0.35">
      <c r="A67" s="30" t="str">
        <f>IF(NOT(ISBLANK(Curs!B71)),Curs!B71,"")</f>
        <v/>
      </c>
      <c r="B67" s="31" t="str">
        <f>IF(AND(NOT(ISBLANK(Curs!C71)),OR(MAX(Curs!V71:W71)&lt;5,MAX(Curs!V71:W71)=1)),Curs!C71,"")</f>
        <v/>
      </c>
      <c r="C67" s="10"/>
      <c r="D67" s="10"/>
      <c r="E67" s="10"/>
      <c r="F67" s="24"/>
      <c r="G67" s="24" t="str">
        <f t="shared" si="5"/>
        <v/>
      </c>
      <c r="H67" s="23" t="str">
        <f t="shared" si="6"/>
        <v/>
      </c>
    </row>
    <row r="68" spans="1:8" ht="18" x14ac:dyDescent="0.35">
      <c r="A68" s="30" t="str">
        <f>IF(NOT(ISBLANK(Curs!B72)),Curs!B72,"")</f>
        <v/>
      </c>
      <c r="B68" s="31" t="str">
        <f>IF(AND(NOT(ISBLANK(Curs!C72)),OR(MAX(Curs!V72:W72)&lt;5,MAX(Curs!V72:W72)=1)),Curs!C72,"")</f>
        <v/>
      </c>
      <c r="C68" s="10"/>
      <c r="D68" s="10"/>
      <c r="E68" s="10"/>
      <c r="F68" s="24"/>
      <c r="G68" s="24" t="str">
        <f t="shared" si="5"/>
        <v/>
      </c>
      <c r="H68" s="23" t="str">
        <f t="shared" si="6"/>
        <v/>
      </c>
    </row>
    <row r="69" spans="1:8" ht="18" x14ac:dyDescent="0.35">
      <c r="A69" s="30" t="str">
        <f>IF(NOT(ISBLANK(Curs!B73)),Curs!B73,"")</f>
        <v/>
      </c>
      <c r="B69" s="31" t="str">
        <f>IF(AND(NOT(ISBLANK(Curs!C73)),OR(MAX(Curs!V73:W73)&lt;5,MAX(Curs!V73:W73)=1)),Curs!C73,"")</f>
        <v/>
      </c>
      <c r="C69" s="10"/>
      <c r="D69" s="10"/>
      <c r="E69" s="10"/>
      <c r="F69" s="24"/>
      <c r="G69" s="24" t="str">
        <f t="shared" si="5"/>
        <v/>
      </c>
      <c r="H69" s="23" t="str">
        <f t="shared" si="6"/>
        <v/>
      </c>
    </row>
    <row r="70" spans="1:8" ht="18" x14ac:dyDescent="0.35">
      <c r="A70" s="30" t="str">
        <f>IF(NOT(ISBLANK(Curs!B74)),Curs!B74,"")</f>
        <v/>
      </c>
      <c r="B70" s="31" t="str">
        <f>IF(AND(NOT(ISBLANK(Curs!C74)),OR(MAX(Curs!V74:W74)&lt;5,MAX(Curs!V74:W74)=1)),Curs!C74,"")</f>
        <v/>
      </c>
      <c r="C70" s="10"/>
      <c r="D70" s="10"/>
      <c r="E70" s="10"/>
      <c r="F70" s="24"/>
      <c r="G70" s="24" t="str">
        <f t="shared" si="5"/>
        <v/>
      </c>
      <c r="H70" s="23" t="str">
        <f t="shared" si="6"/>
        <v/>
      </c>
    </row>
    <row r="71" spans="1:8" ht="18" x14ac:dyDescent="0.35">
      <c r="A71" s="30" t="str">
        <f>IF(NOT(ISBLANK(Curs!B75)),Curs!B75,"")</f>
        <v/>
      </c>
      <c r="B71" s="31" t="str">
        <f>IF(AND(NOT(ISBLANK(Curs!C75)),OR(MAX(Curs!V75:W75)&lt;5,MAX(Curs!V75:W75)=1)),Curs!C75,"")</f>
        <v/>
      </c>
      <c r="C71" s="10"/>
      <c r="D71" s="10"/>
      <c r="E71" s="10"/>
      <c r="F71" s="24"/>
      <c r="G71" s="24" t="str">
        <f t="shared" si="5"/>
        <v/>
      </c>
      <c r="H71" s="23" t="str">
        <f t="shared" si="6"/>
        <v/>
      </c>
    </row>
    <row r="72" spans="1:8" ht="18" x14ac:dyDescent="0.35">
      <c r="A72" s="30" t="str">
        <f>IF(NOT(ISBLANK(Curs!B76)),Curs!B76,"")</f>
        <v/>
      </c>
      <c r="B72" s="31" t="str">
        <f>IF(AND(NOT(ISBLANK(Curs!C76)),OR(MAX(Curs!V76:W76)&lt;5,MAX(Curs!V76:W76)=1)),Curs!C76,"")</f>
        <v/>
      </c>
      <c r="C72" s="10"/>
      <c r="D72" s="10"/>
      <c r="E72" s="10"/>
      <c r="F72" s="24"/>
      <c r="G72" s="24" t="str">
        <f t="shared" si="5"/>
        <v/>
      </c>
      <c r="H72" s="23" t="str">
        <f t="shared" si="6"/>
        <v/>
      </c>
    </row>
    <row r="73" spans="1:8" ht="18" x14ac:dyDescent="0.35">
      <c r="A73" s="30" t="str">
        <f>IF(NOT(ISBLANK(Curs!B77)),Curs!B77,"")</f>
        <v/>
      </c>
      <c r="B73" s="31" t="str">
        <f>IF(AND(NOT(ISBLANK(Curs!C77)),OR(MAX(Curs!V77:W77)&lt;5,MAX(Curs!V77:W77)=1)),Curs!C77,"")</f>
        <v/>
      </c>
      <c r="C73" s="10"/>
      <c r="D73" s="10"/>
      <c r="E73" s="10"/>
      <c r="F73" s="24"/>
      <c r="G73" s="24" t="str">
        <f t="shared" si="5"/>
        <v/>
      </c>
      <c r="H73" s="23" t="str">
        <f t="shared" si="6"/>
        <v/>
      </c>
    </row>
    <row r="74" spans="1:8" ht="18" x14ac:dyDescent="0.35">
      <c r="A74" s="30" t="str">
        <f>IF(NOT(ISBLANK(Curs!B78)),Curs!B78,"")</f>
        <v/>
      </c>
      <c r="B74" s="31" t="str">
        <f>IF(AND(NOT(ISBLANK(Curs!C78)),OR(MAX(Curs!V78:W78)&lt;5,MAX(Curs!V78:W78)=1)),Curs!C78,"")</f>
        <v/>
      </c>
      <c r="C74" s="10"/>
      <c r="D74" s="10"/>
      <c r="E74" s="10"/>
      <c r="F74" s="24"/>
      <c r="G74" s="24" t="str">
        <f t="shared" si="5"/>
        <v/>
      </c>
      <c r="H74" s="23" t="str">
        <f t="shared" si="6"/>
        <v/>
      </c>
    </row>
    <row r="75" spans="1:8" ht="18" x14ac:dyDescent="0.35">
      <c r="A75" s="30" t="str">
        <f>IF(NOT(ISBLANK(Curs!B79)),Curs!B79,"")</f>
        <v/>
      </c>
      <c r="B75" s="31" t="str">
        <f>IF(AND(NOT(ISBLANK(Curs!C79)),OR(MAX(Curs!V79:W79)&lt;5,MAX(Curs!V79:W79)=1)),Curs!C79,"")</f>
        <v/>
      </c>
      <c r="C75" s="10"/>
      <c r="D75" s="10"/>
      <c r="E75" s="10"/>
      <c r="F75" s="24"/>
      <c r="G75" s="24" t="str">
        <f t="shared" si="5"/>
        <v/>
      </c>
      <c r="H75" s="23" t="str">
        <f t="shared" si="6"/>
        <v/>
      </c>
    </row>
    <row r="76" spans="1:8" ht="18" x14ac:dyDescent="0.35">
      <c r="A76" s="30" t="str">
        <f>IF(NOT(ISBLANK(Curs!B80)),Curs!B80,"")</f>
        <v/>
      </c>
      <c r="B76" s="31" t="str">
        <f>IF(AND(NOT(ISBLANK(Curs!C80)),OR(MAX(Curs!V80:W80)&lt;5,MAX(Curs!V80:W80)=1)),Curs!C80,"")</f>
        <v/>
      </c>
      <c r="C76" s="10"/>
      <c r="D76" s="10"/>
      <c r="E76" s="10"/>
      <c r="F76" s="24"/>
      <c r="G76" s="24" t="str">
        <f t="shared" si="5"/>
        <v/>
      </c>
      <c r="H76" s="23" t="str">
        <f t="shared" si="6"/>
        <v/>
      </c>
    </row>
    <row r="77" spans="1:8" ht="18" x14ac:dyDescent="0.35">
      <c r="A77" s="30" t="str">
        <f>IF(NOT(ISBLANK(Curs!B81)),Curs!B81,"")</f>
        <v/>
      </c>
      <c r="B77" s="31" t="str">
        <f>IF(AND(NOT(ISBLANK(Curs!C81)),OR(MAX(Curs!V81:W81)&lt;5,MAX(Curs!V81:W81)=1)),Curs!C81,"")</f>
        <v/>
      </c>
      <c r="C77" s="10"/>
      <c r="D77" s="10"/>
      <c r="E77" s="10"/>
      <c r="F77" s="24"/>
      <c r="G77" s="24" t="str">
        <f t="shared" si="5"/>
        <v/>
      </c>
      <c r="H77" s="23" t="str">
        <f t="shared" si="6"/>
        <v/>
      </c>
    </row>
    <row r="78" spans="1:8" ht="18" x14ac:dyDescent="0.35">
      <c r="A78" s="30" t="str">
        <f>IF(NOT(ISBLANK(Curs!B82)),Curs!B82,"")</f>
        <v/>
      </c>
      <c r="B78" s="31" t="str">
        <f>IF(AND(NOT(ISBLANK(Curs!C82)),OR(MAX(Curs!V82:W82)&lt;5,MAX(Curs!V82:W82)=1)),Curs!C82,"")</f>
        <v/>
      </c>
      <c r="C78" s="10"/>
      <c r="D78" s="10"/>
      <c r="E78" s="10"/>
      <c r="F78" s="24"/>
      <c r="G78" s="24" t="str">
        <f t="shared" si="5"/>
        <v/>
      </c>
      <c r="H78" s="23" t="str">
        <f t="shared" si="6"/>
        <v/>
      </c>
    </row>
    <row r="79" spans="1:8" ht="18" x14ac:dyDescent="0.35">
      <c r="A79" s="30" t="str">
        <f>IF(NOT(ISBLANK(Curs!B83)),Curs!B83,"")</f>
        <v/>
      </c>
      <c r="B79" s="31" t="str">
        <f>IF(AND(NOT(ISBLANK(Curs!C83)),OR(MAX(Curs!V83:W83)&lt;5,MAX(Curs!V83:W83)=1)),Curs!C83,"")</f>
        <v/>
      </c>
      <c r="C79" s="10"/>
      <c r="D79" s="10"/>
      <c r="E79" s="10"/>
      <c r="F79" s="24"/>
      <c r="G79" s="24" t="str">
        <f t="shared" si="5"/>
        <v/>
      </c>
      <c r="H79" s="23" t="str">
        <f t="shared" si="6"/>
        <v/>
      </c>
    </row>
    <row r="80" spans="1:8" ht="18" x14ac:dyDescent="0.35">
      <c r="A80" s="30" t="str">
        <f>IF(NOT(ISBLANK(Curs!B84)),Curs!B84,"")</f>
        <v/>
      </c>
      <c r="B80" s="31" t="str">
        <f>IF(AND(NOT(ISBLANK(Curs!C84)),OR(MAX(Curs!V84:W84)&lt;5,MAX(Curs!V84:W84)=1)),Curs!C84,"")</f>
        <v/>
      </c>
      <c r="C80" s="10"/>
      <c r="D80" s="10"/>
      <c r="E80" s="10"/>
      <c r="F80" s="24"/>
      <c r="G80" s="24" t="str">
        <f t="shared" si="5"/>
        <v/>
      </c>
      <c r="H80" s="23" t="str">
        <f t="shared" si="6"/>
        <v/>
      </c>
    </row>
    <row r="81" spans="1:8" ht="18" x14ac:dyDescent="0.35">
      <c r="A81" s="30" t="str">
        <f>IF(NOT(ISBLANK(Curs!B85)),Curs!B85,"")</f>
        <v/>
      </c>
      <c r="B81" s="31" t="str">
        <f>IF(AND(NOT(ISBLANK(Curs!C85)),OR(MAX(Curs!V85:W85)&lt;5,MAX(Curs!V85:W85)=1)),Curs!C85,"")</f>
        <v/>
      </c>
      <c r="C81" s="10"/>
      <c r="D81" s="10"/>
      <c r="E81" s="10"/>
      <c r="F81" s="24"/>
      <c r="G81" s="24" t="str">
        <f t="shared" si="5"/>
        <v/>
      </c>
      <c r="H81" s="23" t="str">
        <f t="shared" si="6"/>
        <v/>
      </c>
    </row>
    <row r="82" spans="1:8" ht="18" x14ac:dyDescent="0.35">
      <c r="A82" s="30" t="str">
        <f>IF(NOT(ISBLANK(Curs!B86)),Curs!B86,"")</f>
        <v/>
      </c>
      <c r="B82" s="31" t="str">
        <f>IF(AND(NOT(ISBLANK(Curs!C86)),OR(MAX(Curs!V86:W86)&lt;5,MAX(Curs!V86:W86)=1)),Curs!C86,"")</f>
        <v/>
      </c>
      <c r="C82" s="10"/>
      <c r="D82" s="10"/>
      <c r="E82" s="10"/>
      <c r="F82" s="24"/>
      <c r="G82" s="24" t="str">
        <f t="shared" si="5"/>
        <v/>
      </c>
      <c r="H82" s="23" t="str">
        <f t="shared" si="6"/>
        <v/>
      </c>
    </row>
    <row r="83" spans="1:8" ht="18" x14ac:dyDescent="0.35">
      <c r="A83" s="30" t="str">
        <f>IF(NOT(ISBLANK(Curs!B87)),Curs!B87,"")</f>
        <v/>
      </c>
      <c r="B83" s="31" t="str">
        <f>IF(AND(NOT(ISBLANK(Curs!C87)),OR(MAX(Curs!V87:W87)&lt;5,MAX(Curs!V87:W87)=1)),Curs!C87,"")</f>
        <v/>
      </c>
      <c r="C83" s="10"/>
      <c r="D83" s="10"/>
      <c r="E83" s="10"/>
      <c r="F83" s="24"/>
      <c r="G83" s="24" t="str">
        <f t="shared" si="5"/>
        <v/>
      </c>
      <c r="H83" s="23" t="str">
        <f t="shared" si="6"/>
        <v/>
      </c>
    </row>
    <row r="84" spans="1:8" ht="18" x14ac:dyDescent="0.35">
      <c r="A84" s="30" t="str">
        <f>IF(NOT(ISBLANK(Curs!B88)),Curs!B88,"")</f>
        <v/>
      </c>
      <c r="B84" s="31" t="str">
        <f>IF(AND(NOT(ISBLANK(Curs!C88)),OR(MAX(Curs!V88:W88)&lt;5,MAX(Curs!V88:W88)=1)),Curs!C88,"")</f>
        <v/>
      </c>
      <c r="C84" s="10"/>
      <c r="D84" s="10"/>
      <c r="E84" s="10"/>
      <c r="F84" s="24"/>
      <c r="G84" s="24" t="str">
        <f t="shared" si="5"/>
        <v/>
      </c>
      <c r="H84" s="23" t="str">
        <f t="shared" si="6"/>
        <v/>
      </c>
    </row>
    <row r="85" spans="1:8" ht="18" x14ac:dyDescent="0.35">
      <c r="A85" s="30" t="str">
        <f>IF(NOT(ISBLANK(Curs!B89)),Curs!B89,"")</f>
        <v/>
      </c>
      <c r="B85" s="31" t="str">
        <f>IF(AND(NOT(ISBLANK(Curs!C89)),OR(MAX(Curs!V89:W89)&lt;5,MAX(Curs!V89:W89)=1)),Curs!C89,"")</f>
        <v/>
      </c>
      <c r="C85" s="10"/>
      <c r="D85" s="10"/>
      <c r="E85" s="10"/>
      <c r="F85" s="24"/>
      <c r="G85" s="24" t="str">
        <f t="shared" si="5"/>
        <v/>
      </c>
      <c r="H85" s="23" t="str">
        <f t="shared" si="6"/>
        <v/>
      </c>
    </row>
    <row r="86" spans="1:8" ht="18" x14ac:dyDescent="0.35">
      <c r="A86" s="30" t="str">
        <f>IF(NOT(ISBLANK(Curs!B90)),Curs!B90,"")</f>
        <v/>
      </c>
      <c r="B86" s="31" t="str">
        <f>IF(AND(NOT(ISBLANK(Curs!C90)),OR(MAX(Curs!V90:W90)&lt;5,MAX(Curs!V90:W90)=1)),Curs!C90,"")</f>
        <v/>
      </c>
      <c r="C86" s="10"/>
      <c r="D86" s="10"/>
      <c r="E86" s="10"/>
      <c r="F86" s="24"/>
      <c r="G86" s="24" t="str">
        <f t="shared" si="5"/>
        <v/>
      </c>
      <c r="H86" s="23" t="str">
        <f t="shared" si="6"/>
        <v/>
      </c>
    </row>
    <row r="87" spans="1:8" ht="18" x14ac:dyDescent="0.35">
      <c r="A87" s="30" t="str">
        <f>IF(NOT(ISBLANK(Curs!B91)),Curs!B91,"")</f>
        <v/>
      </c>
      <c r="B87" s="31" t="str">
        <f>IF(AND(NOT(ISBLANK(Curs!C91)),OR(MAX(Curs!V91:W91)&lt;5,MAX(Curs!V91:W91)=1)),Curs!C91,"")</f>
        <v/>
      </c>
      <c r="C87" s="10"/>
      <c r="D87" s="10"/>
      <c r="E87" s="10"/>
      <c r="F87" s="24"/>
      <c r="G87" s="24" t="str">
        <f t="shared" si="5"/>
        <v/>
      </c>
      <c r="H87" s="23" t="str">
        <f t="shared" si="6"/>
        <v/>
      </c>
    </row>
    <row r="88" spans="1:8" ht="18" x14ac:dyDescent="0.35">
      <c r="A88" s="30" t="str">
        <f>IF(NOT(ISBLANK(Curs!B92)),Curs!B92,"")</f>
        <v/>
      </c>
      <c r="B88" s="31" t="str">
        <f>IF(AND(NOT(ISBLANK(Curs!C92)),OR(MAX(Curs!V92:W92)&lt;5,MAX(Curs!V92:W92)=1)),Curs!C92,"")</f>
        <v/>
      </c>
      <c r="C88" s="10"/>
      <c r="D88" s="10"/>
      <c r="E88" s="10"/>
      <c r="F88" s="24"/>
      <c r="G88" s="24" t="str">
        <f t="shared" si="5"/>
        <v/>
      </c>
      <c r="H88" s="23" t="str">
        <f t="shared" si="6"/>
        <v/>
      </c>
    </row>
    <row r="89" spans="1:8" ht="18" x14ac:dyDescent="0.35">
      <c r="A89" s="30" t="str">
        <f>IF(NOT(ISBLANK(Curs!B93)),Curs!B93,"")</f>
        <v/>
      </c>
      <c r="B89" s="31" t="str">
        <f>IF(AND(NOT(ISBLANK(Curs!C93)),OR(MAX(Curs!V93:W93)&lt;5,MAX(Curs!V93:W93)=1)),Curs!C93,"")</f>
        <v/>
      </c>
      <c r="C89" s="10"/>
      <c r="D89" s="10"/>
      <c r="E89" s="10"/>
      <c r="F89" s="24"/>
      <c r="G89" s="24" t="str">
        <f t="shared" si="5"/>
        <v/>
      </c>
      <c r="H89" s="23" t="str">
        <f t="shared" si="6"/>
        <v/>
      </c>
    </row>
    <row r="90" spans="1:8" ht="18" x14ac:dyDescent="0.35">
      <c r="A90" s="30" t="str">
        <f>IF(NOT(ISBLANK(Curs!B94)),Curs!B94,"")</f>
        <v/>
      </c>
      <c r="B90" s="31" t="str">
        <f>IF(AND(NOT(ISBLANK(Curs!C94)),OR(MAX(Curs!V94:W94)&lt;5,MAX(Curs!V94:W94)=1)),Curs!C94,"")</f>
        <v/>
      </c>
      <c r="C90" s="10"/>
      <c r="D90" s="10"/>
      <c r="E90" s="10"/>
      <c r="F90" s="24"/>
      <c r="G90" s="24" t="str">
        <f t="shared" si="5"/>
        <v/>
      </c>
      <c r="H90" s="23" t="str">
        <f t="shared" si="6"/>
        <v/>
      </c>
    </row>
    <row r="91" spans="1:8" ht="18" x14ac:dyDescent="0.35">
      <c r="A91" s="30" t="str">
        <f>IF(NOT(ISBLANK(Curs!B95)),Curs!B95,"")</f>
        <v/>
      </c>
      <c r="B91" s="31" t="str">
        <f>IF(AND(NOT(ISBLANK(Curs!C95)),OR(MAX(Curs!V95:W95)&lt;5,MAX(Curs!V95:W95)=1)),Curs!C95,"")</f>
        <v/>
      </c>
      <c r="C91" s="10"/>
      <c r="D91" s="10"/>
      <c r="E91" s="10"/>
      <c r="F91" s="24"/>
      <c r="G91" s="24" t="str">
        <f t="shared" si="5"/>
        <v/>
      </c>
      <c r="H91" s="23" t="str">
        <f t="shared" si="6"/>
        <v/>
      </c>
    </row>
    <row r="92" spans="1:8" ht="18" x14ac:dyDescent="0.35">
      <c r="A92" s="30" t="str">
        <f>IF(NOT(ISBLANK(Curs!B96)),Curs!B96,"")</f>
        <v/>
      </c>
      <c r="B92" s="31" t="str">
        <f>IF(AND(NOT(ISBLANK(Curs!C96)),OR(MAX(Curs!V96:W96)&lt;5,MAX(Curs!V96:W96)=1)),Curs!C96,"")</f>
        <v/>
      </c>
      <c r="C92" s="10"/>
      <c r="D92" s="10"/>
      <c r="E92" s="10"/>
      <c r="F92" s="24"/>
      <c r="G92" s="24" t="str">
        <f t="shared" si="5"/>
        <v/>
      </c>
      <c r="H92" s="23" t="str">
        <f t="shared" si="6"/>
        <v/>
      </c>
    </row>
    <row r="93" spans="1:8" ht="18" x14ac:dyDescent="0.35">
      <c r="A93" s="30" t="str">
        <f>IF(NOT(ISBLANK(Curs!B97)),Curs!B97,"")</f>
        <v/>
      </c>
      <c r="B93" s="31" t="str">
        <f>IF(AND(NOT(ISBLANK(Curs!C97)),OR(MAX(Curs!V97:W97)&lt;5,MAX(Curs!V97:W97)=1)),Curs!C97,"")</f>
        <v/>
      </c>
      <c r="C93" s="10"/>
      <c r="D93" s="10"/>
      <c r="E93" s="10"/>
      <c r="F93" s="24"/>
      <c r="G93" s="24" t="str">
        <f t="shared" si="5"/>
        <v/>
      </c>
      <c r="H93" s="23" t="str">
        <f t="shared" si="6"/>
        <v/>
      </c>
    </row>
    <row r="94" spans="1:8" ht="18" x14ac:dyDescent="0.35">
      <c r="A94" s="30" t="str">
        <f>IF(NOT(ISBLANK(Curs!B98)),Curs!B98,"")</f>
        <v/>
      </c>
      <c r="B94" s="31" t="str">
        <f>IF(AND(NOT(ISBLANK(Curs!C98)),OR(MAX(Curs!V98:W98)&lt;5,MAX(Curs!V98:W98)=1)),Curs!C98,"")</f>
        <v/>
      </c>
      <c r="C94" s="10"/>
      <c r="D94" s="10"/>
      <c r="E94" s="10"/>
      <c r="F94" s="24"/>
      <c r="G94" s="24" t="str">
        <f t="shared" si="5"/>
        <v/>
      </c>
      <c r="H94" s="23" t="str">
        <f t="shared" si="6"/>
        <v/>
      </c>
    </row>
    <row r="95" spans="1:8" ht="18" x14ac:dyDescent="0.35">
      <c r="A95" s="30" t="str">
        <f>IF(NOT(ISBLANK(Curs!B99)),Curs!B99,"")</f>
        <v/>
      </c>
      <c r="B95" s="31" t="str">
        <f>IF(AND(NOT(ISBLANK(Curs!C99)),OR(MAX(Curs!V99:W99)&lt;5,MAX(Curs!V99:W99)=1)),Curs!C99,"")</f>
        <v/>
      </c>
      <c r="C95" s="10"/>
      <c r="D95" s="10"/>
      <c r="E95" s="10"/>
      <c r="F95" s="24"/>
      <c r="G95" s="24" t="str">
        <f t="shared" si="5"/>
        <v/>
      </c>
      <c r="H95" s="23" t="str">
        <f t="shared" si="6"/>
        <v/>
      </c>
    </row>
    <row r="96" spans="1:8" ht="18" x14ac:dyDescent="0.35">
      <c r="A96" s="30" t="str">
        <f>IF(NOT(ISBLANK(Curs!B100)),Curs!B100,"")</f>
        <v/>
      </c>
      <c r="B96" s="31" t="str">
        <f>IF(AND(NOT(ISBLANK(Curs!C100)),OR(MAX(Curs!V100:W100)&lt;5,MAX(Curs!V100:W100)=1)),Curs!C100,"")</f>
        <v/>
      </c>
      <c r="C96" s="10"/>
      <c r="D96" s="10"/>
      <c r="E96" s="10"/>
      <c r="F96" s="24"/>
      <c r="G96" s="24" t="str">
        <f t="shared" si="5"/>
        <v/>
      </c>
      <c r="H96" s="23" t="str">
        <f t="shared" si="6"/>
        <v/>
      </c>
    </row>
    <row r="97" spans="1:8" ht="18" x14ac:dyDescent="0.35">
      <c r="A97" s="30" t="str">
        <f>IF(NOT(ISBLANK(Curs!B101)),Curs!B101,"")</f>
        <v/>
      </c>
      <c r="B97" s="31" t="str">
        <f>IF(AND(NOT(ISBLANK(Curs!C101)),OR(MAX(Curs!V101:W101)&lt;5,MAX(Curs!V101:W101)=1)),Curs!C101,"")</f>
        <v/>
      </c>
      <c r="C97" s="10"/>
      <c r="D97" s="10"/>
      <c r="E97" s="10"/>
      <c r="F97" s="24"/>
      <c r="G97" s="24" t="str">
        <f t="shared" si="5"/>
        <v/>
      </c>
      <c r="H97" s="23" t="str">
        <f t="shared" si="6"/>
        <v/>
      </c>
    </row>
    <row r="98" spans="1:8" ht="18" x14ac:dyDescent="0.35">
      <c r="A98" s="30" t="str">
        <f>IF(NOT(ISBLANK(Curs!B102)),Curs!B102,"")</f>
        <v/>
      </c>
      <c r="B98" s="31" t="str">
        <f>IF(AND(NOT(ISBLANK(Curs!C102)),OR(MAX(Curs!V102:W102)&lt;5,MAX(Curs!V102:W102)=1)),Curs!C102,"")</f>
        <v/>
      </c>
      <c r="C98" s="10"/>
      <c r="D98" s="10"/>
      <c r="E98" s="10"/>
      <c r="F98" s="24"/>
      <c r="G98" s="24" t="str">
        <f t="shared" ref="G98:G105" si="7">IF(B98="","",ROUND(SUM(C98:F98),0))</f>
        <v/>
      </c>
      <c r="H98" s="23" t="str">
        <f t="shared" ref="H98:H105" si="8">IF(B98="","",
IF(G98=0,"n/p",
IF(AND(G98&gt;=$I$3,G98&lt;=$J$3),$K$3,
IF(AND(G98&gt;=$I$4,G98&lt;=$J$4),$K$4,
IF(AND(G98&gt;=$I$5,G98&lt;=$J$5),$K$5,
IF(AND(G98&gt;=$I$6,G98&lt;=$J$6),$K$6,
IF(AND(G98&gt;=$I$7,G98&lt;=$J$7),$K$7,
IF(AND(G98&gt;=$I$8,G98&lt;=$J$8),$K$8,
IF(AND(G98&gt;=$I$9,G98&lt;=$J$9),$K$9,
IF(AND(G98&gt;=$I$10,G98&lt;=$J$10),$K$10,
IF(AND(G98&gt;=$I$11,G98&lt;=$J$11),$K$11)))))))))))</f>
        <v/>
      </c>
    </row>
    <row r="99" spans="1:8" ht="18" x14ac:dyDescent="0.35">
      <c r="A99" s="30" t="str">
        <f>IF(NOT(ISBLANK(Curs!B103)),Curs!B103,"")</f>
        <v/>
      </c>
      <c r="B99" s="31" t="str">
        <f>IF(AND(NOT(ISBLANK(Curs!C103)),OR(MAX(Curs!V103:W103)&lt;5,MAX(Curs!V103:W103)=1)),Curs!C103,"")</f>
        <v/>
      </c>
      <c r="C99" s="10"/>
      <c r="D99" s="10"/>
      <c r="E99" s="10"/>
      <c r="F99" s="24"/>
      <c r="G99" s="24" t="str">
        <f t="shared" si="7"/>
        <v/>
      </c>
      <c r="H99" s="23" t="str">
        <f t="shared" si="8"/>
        <v/>
      </c>
    </row>
    <row r="100" spans="1:8" ht="18" x14ac:dyDescent="0.35">
      <c r="A100" s="30" t="str">
        <f>IF(NOT(ISBLANK(Curs!B104)),Curs!B104,"")</f>
        <v/>
      </c>
      <c r="B100" s="31" t="str">
        <f>IF(AND(NOT(ISBLANK(Curs!C104)),OR(MAX(Curs!V104:W104)&lt;5,MAX(Curs!V104:W104)=1)),Curs!C104,"")</f>
        <v/>
      </c>
      <c r="C100" s="10"/>
      <c r="D100" s="10"/>
      <c r="E100" s="10"/>
      <c r="F100" s="24"/>
      <c r="G100" s="24" t="str">
        <f t="shared" si="7"/>
        <v/>
      </c>
      <c r="H100" s="23" t="str">
        <f t="shared" si="8"/>
        <v/>
      </c>
    </row>
    <row r="101" spans="1:8" ht="18" x14ac:dyDescent="0.35">
      <c r="A101" s="30" t="str">
        <f>IF(NOT(ISBLANK(Curs!B105)),Curs!B105,"")</f>
        <v/>
      </c>
      <c r="B101" s="31" t="str">
        <f>IF(AND(NOT(ISBLANK(Curs!C105)),OR(MAX(Curs!V105:W105)&lt;5,MAX(Curs!V105:W105)=1)),Curs!C105,"")</f>
        <v/>
      </c>
      <c r="C101" s="10"/>
      <c r="D101" s="10"/>
      <c r="E101" s="10"/>
      <c r="F101" s="24"/>
      <c r="G101" s="24" t="str">
        <f t="shared" si="7"/>
        <v/>
      </c>
      <c r="H101" s="23" t="str">
        <f t="shared" si="8"/>
        <v/>
      </c>
    </row>
    <row r="102" spans="1:8" ht="18" x14ac:dyDescent="0.35">
      <c r="A102" s="30" t="str">
        <f>IF(NOT(ISBLANK(Curs!B106)),Curs!B106,"")</f>
        <v/>
      </c>
      <c r="B102" s="31" t="str">
        <f>IF(AND(NOT(ISBLANK(Curs!C106)),OR(MAX(Curs!V106:W106)&lt;5,MAX(Curs!V106:W106)=1)),Curs!C106,"")</f>
        <v/>
      </c>
      <c r="C102" s="10"/>
      <c r="D102" s="10"/>
      <c r="E102" s="10"/>
      <c r="F102" s="24"/>
      <c r="G102" s="24" t="str">
        <f t="shared" si="7"/>
        <v/>
      </c>
      <c r="H102" s="23" t="str">
        <f t="shared" si="8"/>
        <v/>
      </c>
    </row>
    <row r="103" spans="1:8" ht="18" x14ac:dyDescent="0.35">
      <c r="A103" s="30" t="str">
        <f>IF(NOT(ISBLANK(Curs!B107)),Curs!B107,"")</f>
        <v/>
      </c>
      <c r="B103" s="31" t="str">
        <f>IF(AND(NOT(ISBLANK(Curs!C107)),OR(MAX(Curs!V107:W107)&lt;5,MAX(Curs!V107:W107)=1)),Curs!C107,"")</f>
        <v/>
      </c>
      <c r="C103" s="10"/>
      <c r="D103" s="10"/>
      <c r="E103" s="10"/>
      <c r="F103" s="24"/>
      <c r="G103" s="24" t="str">
        <f t="shared" si="7"/>
        <v/>
      </c>
      <c r="H103" s="23" t="str">
        <f t="shared" si="8"/>
        <v/>
      </c>
    </row>
    <row r="104" spans="1:8" ht="18" x14ac:dyDescent="0.35">
      <c r="A104" s="30" t="str">
        <f>IF(NOT(ISBLANK(Curs!B108)),Curs!B108,"")</f>
        <v/>
      </c>
      <c r="B104" s="31" t="str">
        <f>IF(AND(NOT(ISBLANK(Curs!C108)),OR(MAX(Curs!V108:W108)&lt;5,MAX(Curs!V108:W108)=1)),Curs!C108,"")</f>
        <v/>
      </c>
      <c r="C104" s="10"/>
      <c r="D104" s="10"/>
      <c r="E104" s="10"/>
      <c r="F104" s="24"/>
      <c r="G104" s="24" t="str">
        <f t="shared" si="7"/>
        <v/>
      </c>
      <c r="H104" s="23" t="str">
        <f t="shared" si="8"/>
        <v/>
      </c>
    </row>
    <row r="105" spans="1:8" ht="18" x14ac:dyDescent="0.35">
      <c r="A105" s="30" t="str">
        <f>IF(NOT(ISBLANK(Curs!B109)),Curs!B109,"")</f>
        <v/>
      </c>
      <c r="B105" s="31" t="str">
        <f>IF(AND(NOT(ISBLANK(Curs!C109)),OR(MAX(Curs!V109:W109)&lt;5,MAX(Curs!V109:W109)=1)),Curs!C109,"")</f>
        <v/>
      </c>
      <c r="C105" s="10"/>
      <c r="D105" s="10"/>
      <c r="E105" s="10"/>
      <c r="F105" s="24"/>
      <c r="G105" s="24" t="str">
        <f t="shared" si="7"/>
        <v/>
      </c>
      <c r="H105" s="23" t="str">
        <f t="shared" si="8"/>
        <v/>
      </c>
    </row>
  </sheetData>
  <mergeCells count="1">
    <mergeCell ref="L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T105"/>
  <sheetViews>
    <sheetView zoomScale="85" zoomScaleNormal="85" workbookViewId="0">
      <selection activeCell="K21" sqref="K21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69</v>
      </c>
      <c r="D1" s="21" t="s">
        <v>36</v>
      </c>
      <c r="E1" s="21" t="s">
        <v>37</v>
      </c>
      <c r="F1" s="21" t="s">
        <v>38</v>
      </c>
      <c r="G1" s="21" t="s">
        <v>39</v>
      </c>
      <c r="H1" s="25" t="s">
        <v>34</v>
      </c>
      <c r="I1" s="5" t="s">
        <v>29</v>
      </c>
      <c r="J1" s="6" t="s">
        <v>30</v>
      </c>
      <c r="K1" s="7"/>
      <c r="L1" s="6"/>
      <c r="M1" s="207" t="s">
        <v>67</v>
      </c>
      <c r="N1" s="207"/>
      <c r="O1" s="8"/>
      <c r="P1" s="9"/>
      <c r="Q1" s="9"/>
      <c r="R1" s="9"/>
      <c r="S1" s="9"/>
      <c r="T1" s="9"/>
    </row>
    <row r="2" spans="1:20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10"/>
      <c r="G2" s="10"/>
      <c r="H2" s="24">
        <f>IF(B2="","",ROUND(SUM(C2:G2),0))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IF(AND(H2&gt;=$J$11,H2&lt;=$K$11),$L$11)))))))))))</f>
        <v>n/p</v>
      </c>
      <c r="J2" s="6" t="s">
        <v>32</v>
      </c>
      <c r="K2" s="6"/>
      <c r="L2" s="12" t="s">
        <v>29</v>
      </c>
      <c r="M2" s="27" t="s">
        <v>29</v>
      </c>
      <c r="N2" s="27" t="s">
        <v>31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10"/>
      <c r="G3" s="10"/>
      <c r="H3" s="24" t="str">
        <f t="shared" ref="H3:H66" si="0">IF(B3="","",ROUND(SUM(C3:G3),0))</f>
        <v/>
      </c>
      <c r="I3" s="23" t="str">
        <f t="shared" ref="I3:I66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10"/>
      <c r="G4" s="10"/>
      <c r="H4" s="24" t="str">
        <f t="shared" si="0"/>
        <v/>
      </c>
      <c r="I4" s="23" t="str">
        <f t="shared" si="1"/>
        <v/>
      </c>
      <c r="J4" s="22">
        <v>4</v>
      </c>
      <c r="K4" s="22">
        <v>5</v>
      </c>
      <c r="L4" s="12">
        <v>3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10"/>
      <c r="G5" s="10"/>
      <c r="H5" s="24" t="str">
        <f t="shared" si="0"/>
        <v/>
      </c>
      <c r="I5" s="23" t="str">
        <f t="shared" si="1"/>
        <v/>
      </c>
      <c r="J5" s="22">
        <v>6</v>
      </c>
      <c r="K5" s="22">
        <v>9</v>
      </c>
      <c r="L5" s="12">
        <v>4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10"/>
      <c r="G6" s="10"/>
      <c r="H6" s="24" t="str">
        <f t="shared" si="0"/>
        <v/>
      </c>
      <c r="I6" s="23" t="str">
        <f t="shared" si="1"/>
        <v/>
      </c>
      <c r="J6" s="22">
        <v>10</v>
      </c>
      <c r="K6" s="22">
        <v>13</v>
      </c>
      <c r="L6" s="12">
        <v>5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10"/>
      <c r="G7" s="10"/>
      <c r="H7" s="24" t="str">
        <f t="shared" si="0"/>
        <v/>
      </c>
      <c r="I7" s="23" t="str">
        <f t="shared" si="1"/>
        <v/>
      </c>
      <c r="J7" s="22">
        <v>14</v>
      </c>
      <c r="K7" s="22">
        <v>18</v>
      </c>
      <c r="L7" s="12">
        <v>6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10"/>
      <c r="G8" s="10"/>
      <c r="H8" s="24" t="str">
        <f t="shared" si="0"/>
        <v/>
      </c>
      <c r="I8" s="23" t="str">
        <f t="shared" si="1"/>
        <v/>
      </c>
      <c r="J8" s="22">
        <v>19</v>
      </c>
      <c r="K8" s="22">
        <v>22</v>
      </c>
      <c r="L8" s="12">
        <v>7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10"/>
      <c r="G9" s="10"/>
      <c r="H9" s="24" t="str">
        <f t="shared" si="0"/>
        <v/>
      </c>
      <c r="I9" s="23" t="str">
        <f t="shared" si="1"/>
        <v/>
      </c>
      <c r="J9" s="22">
        <v>23</v>
      </c>
      <c r="K9" s="22">
        <v>26</v>
      </c>
      <c r="L9" s="12">
        <v>8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10"/>
      <c r="G10" s="10"/>
      <c r="H10" s="24" t="str">
        <f t="shared" si="0"/>
        <v/>
      </c>
      <c r="I10" s="23" t="str">
        <f t="shared" si="1"/>
        <v/>
      </c>
      <c r="J10" s="22">
        <v>27</v>
      </c>
      <c r="K10" s="22">
        <v>28</v>
      </c>
      <c r="L10" s="12">
        <v>9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10"/>
      <c r="G11" s="10"/>
      <c r="H11" s="24" t="str">
        <f t="shared" si="0"/>
        <v/>
      </c>
      <c r="I11" s="23" t="str">
        <f t="shared" si="1"/>
        <v/>
      </c>
      <c r="J11" s="22">
        <v>29</v>
      </c>
      <c r="K11" s="22">
        <v>30</v>
      </c>
      <c r="L11" s="12">
        <v>10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10"/>
      <c r="G12" s="10"/>
      <c r="H12" s="24" t="str">
        <f t="shared" si="0"/>
        <v/>
      </c>
      <c r="I12" s="23" t="str">
        <f t="shared" si="1"/>
        <v/>
      </c>
      <c r="J12" s="22"/>
      <c r="K12" s="22"/>
      <c r="L12" s="12"/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10"/>
      <c r="G13" s="10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33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10"/>
      <c r="G14" s="10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10"/>
      <c r="G15" s="10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10"/>
      <c r="G16" s="10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10"/>
      <c r="G17" s="10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10"/>
      <c r="G18" s="10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10"/>
      <c r="G19" s="10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10"/>
      <c r="G20" s="10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10"/>
      <c r="G21" s="10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10"/>
      <c r="G22" s="10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10"/>
      <c r="G23" s="10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10"/>
      <c r="G24" s="10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10"/>
      <c r="G25" s="10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10"/>
      <c r="G26" s="10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10"/>
      <c r="G27" s="10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10"/>
      <c r="G28" s="10"/>
      <c r="H28" s="24" t="str">
        <f t="shared" si="0"/>
        <v/>
      </c>
      <c r="I28" s="23" t="str">
        <f t="shared" si="1"/>
        <v/>
      </c>
      <c r="J28"/>
    </row>
    <row r="29" spans="1: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10"/>
      <c r="G29" s="10"/>
      <c r="H29" s="24" t="str">
        <f t="shared" si="0"/>
        <v/>
      </c>
      <c r="I29" s="23" t="str">
        <f t="shared" si="1"/>
        <v/>
      </c>
      <c r="J29"/>
    </row>
    <row r="30" spans="1: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10"/>
      <c r="G30" s="10"/>
      <c r="H30" s="24" t="str">
        <f t="shared" si="0"/>
        <v/>
      </c>
      <c r="I30" s="23" t="str">
        <f t="shared" si="1"/>
        <v/>
      </c>
      <c r="J30"/>
    </row>
    <row r="31" spans="1: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10"/>
      <c r="G31" s="10"/>
      <c r="H31" s="24" t="str">
        <f t="shared" si="0"/>
        <v/>
      </c>
      <c r="I31" s="23" t="str">
        <f t="shared" si="1"/>
        <v/>
      </c>
      <c r="J31"/>
    </row>
    <row r="32" spans="1: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10"/>
      <c r="G32" s="10"/>
      <c r="H32" s="24" t="str">
        <f t="shared" si="0"/>
        <v/>
      </c>
      <c r="I32" s="23" t="str">
        <f t="shared" si="1"/>
        <v/>
      </c>
      <c r="J32"/>
    </row>
    <row r="33" spans="1:10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10"/>
      <c r="G33" s="10"/>
      <c r="H33" s="24" t="str">
        <f t="shared" si="0"/>
        <v/>
      </c>
      <c r="I33" s="23" t="str">
        <f t="shared" si="1"/>
        <v/>
      </c>
      <c r="J33"/>
    </row>
    <row r="34" spans="1:10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10"/>
      <c r="G34" s="10"/>
      <c r="H34" s="24" t="str">
        <f t="shared" si="0"/>
        <v/>
      </c>
      <c r="I34" s="23" t="str">
        <f t="shared" si="1"/>
        <v/>
      </c>
      <c r="J34"/>
    </row>
    <row r="35" spans="1:10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10"/>
      <c r="G35" s="10"/>
      <c r="H35" s="24" t="str">
        <f t="shared" si="0"/>
        <v/>
      </c>
      <c r="I35" s="23" t="str">
        <f t="shared" si="1"/>
        <v/>
      </c>
      <c r="J35"/>
    </row>
    <row r="36" spans="1:10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10"/>
      <c r="G36" s="10"/>
      <c r="H36" s="24" t="str">
        <f t="shared" si="0"/>
        <v/>
      </c>
      <c r="I36" s="23" t="str">
        <f t="shared" si="1"/>
        <v/>
      </c>
      <c r="J36"/>
    </row>
    <row r="37" spans="1:10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10"/>
      <c r="G37" s="10"/>
      <c r="H37" s="24" t="str">
        <f t="shared" si="0"/>
        <v/>
      </c>
      <c r="I37" s="23" t="str">
        <f t="shared" si="1"/>
        <v/>
      </c>
    </row>
    <row r="38" spans="1:10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10"/>
      <c r="G38" s="10"/>
      <c r="H38" s="24" t="str">
        <f t="shared" si="0"/>
        <v/>
      </c>
      <c r="I38" s="23" t="str">
        <f t="shared" si="1"/>
        <v/>
      </c>
    </row>
    <row r="39" spans="1:10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10"/>
      <c r="G39" s="10"/>
      <c r="H39" s="24" t="str">
        <f t="shared" si="0"/>
        <v/>
      </c>
      <c r="I39" s="23" t="str">
        <f t="shared" si="1"/>
        <v/>
      </c>
    </row>
    <row r="40" spans="1:10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10"/>
      <c r="G40" s="10"/>
      <c r="H40" s="24" t="str">
        <f t="shared" si="0"/>
        <v/>
      </c>
      <c r="I40" s="23" t="str">
        <f t="shared" si="1"/>
        <v/>
      </c>
    </row>
    <row r="41" spans="1:10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10"/>
      <c r="G41" s="10"/>
      <c r="H41" s="24" t="str">
        <f t="shared" si="0"/>
        <v/>
      </c>
      <c r="I41" s="23" t="str">
        <f t="shared" si="1"/>
        <v/>
      </c>
    </row>
    <row r="42" spans="1:10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10"/>
      <c r="G42" s="10"/>
      <c r="H42" s="24" t="str">
        <f t="shared" si="0"/>
        <v/>
      </c>
      <c r="I42" s="23" t="str">
        <f t="shared" si="1"/>
        <v/>
      </c>
    </row>
    <row r="43" spans="1:10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10"/>
      <c r="G43" s="10"/>
      <c r="H43" s="24" t="str">
        <f t="shared" si="0"/>
        <v/>
      </c>
      <c r="I43" s="23" t="str">
        <f t="shared" si="1"/>
        <v/>
      </c>
    </row>
    <row r="44" spans="1:10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10"/>
      <c r="G44" s="10"/>
      <c r="H44" s="24" t="str">
        <f t="shared" si="0"/>
        <v/>
      </c>
      <c r="I44" s="23" t="str">
        <f t="shared" si="1"/>
        <v/>
      </c>
    </row>
    <row r="45" spans="1:10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10"/>
      <c r="G45" s="10"/>
      <c r="H45" s="24" t="str">
        <f t="shared" si="0"/>
        <v/>
      </c>
      <c r="I45" s="23" t="str">
        <f t="shared" si="1"/>
        <v/>
      </c>
    </row>
    <row r="46" spans="1:10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10"/>
      <c r="G46" s="10"/>
      <c r="H46" s="24" t="str">
        <f t="shared" si="0"/>
        <v/>
      </c>
      <c r="I46" s="23" t="str">
        <f t="shared" si="1"/>
        <v/>
      </c>
    </row>
    <row r="47" spans="1:10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10"/>
      <c r="G47" s="10"/>
      <c r="H47" s="24" t="str">
        <f t="shared" si="0"/>
        <v/>
      </c>
      <c r="I47" s="23" t="str">
        <f t="shared" si="1"/>
        <v/>
      </c>
    </row>
    <row r="48" spans="1:10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10"/>
      <c r="G48" s="10"/>
      <c r="H48" s="24" t="str">
        <f t="shared" si="0"/>
        <v/>
      </c>
      <c r="I48" s="23" t="str">
        <f t="shared" si="1"/>
        <v/>
      </c>
    </row>
    <row r="49" spans="1:9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10"/>
      <c r="G49" s="10"/>
      <c r="H49" s="24" t="str">
        <f t="shared" si="0"/>
        <v/>
      </c>
      <c r="I49" s="23" t="str">
        <f t="shared" si="1"/>
        <v/>
      </c>
    </row>
    <row r="50" spans="1:9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10"/>
      <c r="G50" s="10"/>
      <c r="H50" s="24" t="str">
        <f t="shared" si="0"/>
        <v/>
      </c>
      <c r="I50" s="23" t="str">
        <f t="shared" si="1"/>
        <v/>
      </c>
    </row>
    <row r="51" spans="1:9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10"/>
      <c r="G51" s="10"/>
      <c r="H51" s="24" t="str">
        <f t="shared" si="0"/>
        <v/>
      </c>
      <c r="I51" s="23" t="str">
        <f t="shared" si="1"/>
        <v/>
      </c>
    </row>
    <row r="52" spans="1:9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10"/>
      <c r="G52" s="10"/>
      <c r="H52" s="24" t="str">
        <f t="shared" si="0"/>
        <v/>
      </c>
      <c r="I52" s="23" t="str">
        <f t="shared" si="1"/>
        <v/>
      </c>
    </row>
    <row r="53" spans="1:9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10"/>
      <c r="G53" s="10"/>
      <c r="H53" s="24" t="str">
        <f t="shared" si="0"/>
        <v/>
      </c>
      <c r="I53" s="23" t="str">
        <f t="shared" si="1"/>
        <v/>
      </c>
    </row>
    <row r="54" spans="1:9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10"/>
      <c r="G54" s="10"/>
      <c r="H54" s="24" t="str">
        <f t="shared" si="0"/>
        <v/>
      </c>
      <c r="I54" s="23" t="str">
        <f t="shared" si="1"/>
        <v/>
      </c>
    </row>
    <row r="55" spans="1:9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10"/>
      <c r="G55" s="10"/>
      <c r="H55" s="24" t="str">
        <f t="shared" si="0"/>
        <v/>
      </c>
      <c r="I55" s="23" t="str">
        <f t="shared" si="1"/>
        <v/>
      </c>
    </row>
    <row r="56" spans="1:9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10"/>
      <c r="G56" s="10"/>
      <c r="H56" s="24" t="str">
        <f t="shared" si="0"/>
        <v/>
      </c>
      <c r="I56" s="23" t="str">
        <f t="shared" si="1"/>
        <v/>
      </c>
    </row>
    <row r="57" spans="1:9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10"/>
      <c r="G57" s="10"/>
      <c r="H57" s="24" t="str">
        <f t="shared" si="0"/>
        <v/>
      </c>
      <c r="I57" s="23" t="str">
        <f t="shared" si="1"/>
        <v/>
      </c>
    </row>
    <row r="58" spans="1:9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10"/>
      <c r="G58" s="10"/>
      <c r="H58" s="24" t="str">
        <f t="shared" si="0"/>
        <v/>
      </c>
      <c r="I58" s="23" t="str">
        <f t="shared" si="1"/>
        <v/>
      </c>
    </row>
    <row r="59" spans="1:9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10"/>
      <c r="G59" s="10"/>
      <c r="H59" s="24" t="str">
        <f t="shared" si="0"/>
        <v/>
      </c>
      <c r="I59" s="23" t="str">
        <f t="shared" si="1"/>
        <v/>
      </c>
    </row>
    <row r="60" spans="1:9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10"/>
      <c r="G60" s="10"/>
      <c r="H60" s="24" t="str">
        <f t="shared" si="0"/>
        <v/>
      </c>
      <c r="I60" s="23" t="str">
        <f t="shared" si="1"/>
        <v/>
      </c>
    </row>
    <row r="61" spans="1:9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10"/>
      <c r="G61" s="10"/>
      <c r="H61" s="24" t="str">
        <f t="shared" si="0"/>
        <v/>
      </c>
      <c r="I61" s="23" t="str">
        <f t="shared" si="1"/>
        <v/>
      </c>
    </row>
    <row r="62" spans="1:9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10"/>
      <c r="G62" s="10"/>
      <c r="H62" s="24" t="str">
        <f t="shared" si="0"/>
        <v/>
      </c>
      <c r="I62" s="23" t="str">
        <f t="shared" si="1"/>
        <v/>
      </c>
    </row>
    <row r="63" spans="1:9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10"/>
      <c r="G63" s="10"/>
      <c r="H63" s="24" t="str">
        <f t="shared" si="0"/>
        <v/>
      </c>
      <c r="I63" s="23" t="str">
        <f t="shared" si="1"/>
        <v/>
      </c>
    </row>
    <row r="64" spans="1:9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10"/>
      <c r="G64" s="10"/>
      <c r="H64" s="24" t="str">
        <f t="shared" si="0"/>
        <v/>
      </c>
      <c r="I64" s="23" t="str">
        <f t="shared" si="1"/>
        <v/>
      </c>
    </row>
    <row r="65" spans="1:9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10"/>
      <c r="G65" s="10"/>
      <c r="H65" s="24" t="str">
        <f t="shared" si="0"/>
        <v/>
      </c>
      <c r="I65" s="23" t="str">
        <f t="shared" si="1"/>
        <v/>
      </c>
    </row>
    <row r="66" spans="1:9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10"/>
      <c r="G66" s="10"/>
      <c r="H66" s="24" t="str">
        <f t="shared" si="0"/>
        <v/>
      </c>
      <c r="I66" s="23" t="str">
        <f t="shared" si="1"/>
        <v/>
      </c>
    </row>
    <row r="67" spans="1:9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10"/>
      <c r="G67" s="10"/>
      <c r="H67" s="24" t="str">
        <f t="shared" ref="H67:H105" si="3">IF(B67="","",ROUND(SUM(C67:G67),0))</f>
        <v/>
      </c>
      <c r="I67" s="23" t="str">
        <f t="shared" ref="I67:I105" si="4">IF(B67="","",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IF(AND(H67&gt;=$J$11,H67&lt;=$K$11),$L$11)))))))))))</f>
        <v/>
      </c>
    </row>
    <row r="68" spans="1:9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10"/>
      <c r="G68" s="10"/>
      <c r="H68" s="24" t="str">
        <f t="shared" si="3"/>
        <v/>
      </c>
      <c r="I68" s="23" t="str">
        <f t="shared" si="4"/>
        <v/>
      </c>
    </row>
    <row r="69" spans="1:9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10"/>
      <c r="G69" s="10"/>
      <c r="H69" s="24" t="str">
        <f t="shared" si="3"/>
        <v/>
      </c>
      <c r="I69" s="23" t="str">
        <f t="shared" si="4"/>
        <v/>
      </c>
    </row>
    <row r="70" spans="1:9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10"/>
      <c r="G70" s="10"/>
      <c r="H70" s="24" t="str">
        <f t="shared" si="3"/>
        <v/>
      </c>
      <c r="I70" s="23" t="str">
        <f t="shared" si="4"/>
        <v/>
      </c>
    </row>
    <row r="71" spans="1:9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10"/>
      <c r="G71" s="10"/>
      <c r="H71" s="24" t="str">
        <f t="shared" si="3"/>
        <v/>
      </c>
      <c r="I71" s="23" t="str">
        <f t="shared" si="4"/>
        <v/>
      </c>
    </row>
    <row r="72" spans="1:9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10"/>
      <c r="G72" s="10"/>
      <c r="H72" s="24" t="str">
        <f t="shared" si="3"/>
        <v/>
      </c>
      <c r="I72" s="23" t="str">
        <f t="shared" si="4"/>
        <v/>
      </c>
    </row>
    <row r="73" spans="1:9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10"/>
      <c r="G73" s="10"/>
      <c r="H73" s="24" t="str">
        <f t="shared" si="3"/>
        <v/>
      </c>
      <c r="I73" s="23" t="str">
        <f t="shared" si="4"/>
        <v/>
      </c>
    </row>
    <row r="74" spans="1:9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10"/>
      <c r="G74" s="10"/>
      <c r="H74" s="24" t="str">
        <f t="shared" si="3"/>
        <v/>
      </c>
      <c r="I74" s="23" t="str">
        <f t="shared" si="4"/>
        <v/>
      </c>
    </row>
    <row r="75" spans="1:9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10"/>
      <c r="G75" s="10"/>
      <c r="H75" s="24" t="str">
        <f t="shared" si="3"/>
        <v/>
      </c>
      <c r="I75" s="23" t="str">
        <f t="shared" si="4"/>
        <v/>
      </c>
    </row>
    <row r="76" spans="1:9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10"/>
      <c r="G76" s="10"/>
      <c r="H76" s="24" t="str">
        <f t="shared" si="3"/>
        <v/>
      </c>
      <c r="I76" s="23" t="str">
        <f t="shared" si="4"/>
        <v/>
      </c>
    </row>
    <row r="77" spans="1:9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10"/>
      <c r="G77" s="10"/>
      <c r="H77" s="24" t="str">
        <f t="shared" si="3"/>
        <v/>
      </c>
      <c r="I77" s="23" t="str">
        <f t="shared" si="4"/>
        <v/>
      </c>
    </row>
    <row r="78" spans="1:9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10"/>
      <c r="G78" s="10"/>
      <c r="H78" s="24" t="str">
        <f t="shared" si="3"/>
        <v/>
      </c>
      <c r="I78" s="23" t="str">
        <f t="shared" si="4"/>
        <v/>
      </c>
    </row>
    <row r="79" spans="1:9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10"/>
      <c r="G79" s="10"/>
      <c r="H79" s="24" t="str">
        <f t="shared" si="3"/>
        <v/>
      </c>
      <c r="I79" s="23" t="str">
        <f t="shared" si="4"/>
        <v/>
      </c>
    </row>
    <row r="80" spans="1:9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10"/>
      <c r="G80" s="10"/>
      <c r="H80" s="24" t="str">
        <f t="shared" si="3"/>
        <v/>
      </c>
      <c r="I80" s="23" t="str">
        <f t="shared" si="4"/>
        <v/>
      </c>
    </row>
    <row r="81" spans="1:9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10"/>
      <c r="G81" s="10"/>
      <c r="H81" s="24" t="str">
        <f t="shared" si="3"/>
        <v/>
      </c>
      <c r="I81" s="23" t="str">
        <f t="shared" si="4"/>
        <v/>
      </c>
    </row>
    <row r="82" spans="1:9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10"/>
      <c r="G82" s="10"/>
      <c r="H82" s="24" t="str">
        <f t="shared" si="3"/>
        <v/>
      </c>
      <c r="I82" s="23" t="str">
        <f t="shared" si="4"/>
        <v/>
      </c>
    </row>
    <row r="83" spans="1:9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10"/>
      <c r="G83" s="10"/>
      <c r="H83" s="24" t="str">
        <f t="shared" si="3"/>
        <v/>
      </c>
      <c r="I83" s="23" t="str">
        <f t="shared" si="4"/>
        <v/>
      </c>
    </row>
    <row r="84" spans="1:9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10"/>
      <c r="G84" s="10"/>
      <c r="H84" s="24" t="str">
        <f t="shared" si="3"/>
        <v/>
      </c>
      <c r="I84" s="23" t="str">
        <f t="shared" si="4"/>
        <v/>
      </c>
    </row>
    <row r="85" spans="1:9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10"/>
      <c r="G85" s="10"/>
      <c r="H85" s="24" t="str">
        <f t="shared" si="3"/>
        <v/>
      </c>
      <c r="I85" s="23" t="str">
        <f t="shared" si="4"/>
        <v/>
      </c>
    </row>
    <row r="86" spans="1:9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10"/>
      <c r="G86" s="10"/>
      <c r="H86" s="24" t="str">
        <f t="shared" si="3"/>
        <v/>
      </c>
      <c r="I86" s="23" t="str">
        <f t="shared" si="4"/>
        <v/>
      </c>
    </row>
    <row r="87" spans="1:9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10"/>
      <c r="G87" s="10"/>
      <c r="H87" s="24" t="str">
        <f t="shared" si="3"/>
        <v/>
      </c>
      <c r="I87" s="23" t="str">
        <f t="shared" si="4"/>
        <v/>
      </c>
    </row>
    <row r="88" spans="1:9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10"/>
      <c r="G88" s="10"/>
      <c r="H88" s="24" t="str">
        <f t="shared" si="3"/>
        <v/>
      </c>
      <c r="I88" s="23" t="str">
        <f t="shared" si="4"/>
        <v/>
      </c>
    </row>
    <row r="89" spans="1:9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10"/>
      <c r="G89" s="10"/>
      <c r="H89" s="24" t="str">
        <f t="shared" si="3"/>
        <v/>
      </c>
      <c r="I89" s="23" t="str">
        <f t="shared" si="4"/>
        <v/>
      </c>
    </row>
    <row r="90" spans="1:9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10"/>
      <c r="G90" s="10"/>
      <c r="H90" s="24" t="str">
        <f t="shared" si="3"/>
        <v/>
      </c>
      <c r="I90" s="23" t="str">
        <f t="shared" si="4"/>
        <v/>
      </c>
    </row>
    <row r="91" spans="1:9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10"/>
      <c r="G91" s="10"/>
      <c r="H91" s="24" t="str">
        <f t="shared" si="3"/>
        <v/>
      </c>
      <c r="I91" s="23" t="str">
        <f t="shared" si="4"/>
        <v/>
      </c>
    </row>
    <row r="92" spans="1:9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10"/>
      <c r="G92" s="10"/>
      <c r="H92" s="24" t="str">
        <f t="shared" si="3"/>
        <v/>
      </c>
      <c r="I92" s="23" t="str">
        <f t="shared" si="4"/>
        <v/>
      </c>
    </row>
    <row r="93" spans="1:9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10"/>
      <c r="G93" s="10"/>
      <c r="H93" s="24" t="str">
        <f t="shared" si="3"/>
        <v/>
      </c>
      <c r="I93" s="23" t="str">
        <f t="shared" si="4"/>
        <v/>
      </c>
    </row>
    <row r="94" spans="1:9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10"/>
      <c r="G94" s="10"/>
      <c r="H94" s="24" t="str">
        <f t="shared" si="3"/>
        <v/>
      </c>
      <c r="I94" s="23" t="str">
        <f t="shared" si="4"/>
        <v/>
      </c>
    </row>
    <row r="95" spans="1:9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10"/>
      <c r="G95" s="10"/>
      <c r="H95" s="24" t="str">
        <f t="shared" si="3"/>
        <v/>
      </c>
      <c r="I95" s="23" t="str">
        <f t="shared" si="4"/>
        <v/>
      </c>
    </row>
    <row r="96" spans="1:9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10"/>
      <c r="G96" s="10"/>
      <c r="H96" s="24" t="str">
        <f t="shared" si="3"/>
        <v/>
      </c>
      <c r="I96" s="23" t="str">
        <f t="shared" si="4"/>
        <v/>
      </c>
    </row>
    <row r="97" spans="1:9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10"/>
      <c r="G97" s="10"/>
      <c r="H97" s="24" t="str">
        <f t="shared" si="3"/>
        <v/>
      </c>
      <c r="I97" s="23" t="str">
        <f t="shared" si="4"/>
        <v/>
      </c>
    </row>
    <row r="98" spans="1:9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10"/>
      <c r="G98" s="10"/>
      <c r="H98" s="24" t="str">
        <f t="shared" si="3"/>
        <v/>
      </c>
      <c r="I98" s="23" t="str">
        <f t="shared" si="4"/>
        <v/>
      </c>
    </row>
    <row r="99" spans="1:9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10"/>
      <c r="G99" s="10"/>
      <c r="H99" s="24" t="str">
        <f t="shared" si="3"/>
        <v/>
      </c>
      <c r="I99" s="23" t="str">
        <f t="shared" si="4"/>
        <v/>
      </c>
    </row>
    <row r="100" spans="1:9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10"/>
      <c r="G100" s="10"/>
      <c r="H100" s="24" t="str">
        <f t="shared" si="3"/>
        <v/>
      </c>
      <c r="I100" s="23" t="str">
        <f t="shared" si="4"/>
        <v/>
      </c>
    </row>
    <row r="101" spans="1:9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10"/>
      <c r="G101" s="10"/>
      <c r="H101" s="24" t="str">
        <f t="shared" si="3"/>
        <v/>
      </c>
      <c r="I101" s="23" t="str">
        <f t="shared" si="4"/>
        <v/>
      </c>
    </row>
    <row r="102" spans="1:9" x14ac:dyDescent="0.35">
      <c r="A102" s="30" t="str">
        <f>IF(NOT(ISBLANK(Curs!B106)),Curs!B106,"")</f>
        <v/>
      </c>
      <c r="B102" s="31" t="str">
        <f>IF(NOT(ISBLANK(Curs!C106)),Curs!C106,"")</f>
        <v/>
      </c>
      <c r="C102" s="10"/>
      <c r="D102" s="10"/>
      <c r="E102" s="10"/>
      <c r="F102" s="10"/>
      <c r="G102" s="10"/>
      <c r="H102" s="24" t="str">
        <f t="shared" si="3"/>
        <v/>
      </c>
      <c r="I102" s="23" t="str">
        <f t="shared" si="4"/>
        <v/>
      </c>
    </row>
    <row r="103" spans="1:9" x14ac:dyDescent="0.35">
      <c r="A103" s="30" t="str">
        <f>IF(NOT(ISBLANK(Curs!B107)),Curs!B107,"")</f>
        <v/>
      </c>
      <c r="B103" s="31" t="str">
        <f>IF(NOT(ISBLANK(Curs!C107)),Curs!C107,"")</f>
        <v/>
      </c>
      <c r="C103" s="10"/>
      <c r="D103" s="10"/>
      <c r="E103" s="10"/>
      <c r="F103" s="10"/>
      <c r="G103" s="10"/>
      <c r="H103" s="24" t="str">
        <f t="shared" si="3"/>
        <v/>
      </c>
      <c r="I103" s="23" t="str">
        <f t="shared" si="4"/>
        <v/>
      </c>
    </row>
    <row r="104" spans="1:9" x14ac:dyDescent="0.35">
      <c r="A104" s="30" t="str">
        <f>IF(NOT(ISBLANK(Curs!B108)),Curs!B108,"")</f>
        <v/>
      </c>
      <c r="B104" s="31" t="str">
        <f>IF(NOT(ISBLANK(Curs!C108)),Curs!C108,"")</f>
        <v/>
      </c>
      <c r="C104" s="10"/>
      <c r="D104" s="10"/>
      <c r="E104" s="10"/>
      <c r="F104" s="10"/>
      <c r="G104" s="10"/>
      <c r="H104" s="24" t="str">
        <f t="shared" si="3"/>
        <v/>
      </c>
      <c r="I104" s="23" t="str">
        <f t="shared" si="4"/>
        <v/>
      </c>
    </row>
    <row r="105" spans="1:9" x14ac:dyDescent="0.35">
      <c r="A105" s="30" t="str">
        <f>IF(NOT(ISBLANK(Curs!B109)),Curs!B109,"")</f>
        <v/>
      </c>
      <c r="B105" s="31" t="str">
        <f>IF(NOT(ISBLANK(Curs!C109)),Curs!C109,"")</f>
        <v/>
      </c>
      <c r="C105" s="10"/>
      <c r="D105" s="10"/>
      <c r="E105" s="10"/>
      <c r="F105" s="10"/>
      <c r="G105" s="10"/>
      <c r="H105" s="24" t="str">
        <f t="shared" si="3"/>
        <v/>
      </c>
      <c r="I105" s="23" t="str">
        <f t="shared" si="4"/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505D-07FF-4A75-9349-E1414F09E86F}">
  <dimension ref="A1:T105"/>
  <sheetViews>
    <sheetView zoomScale="85" zoomScaleNormal="85" workbookViewId="0">
      <selection activeCell="O19" sqref="O19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69</v>
      </c>
      <c r="D1" s="21" t="s">
        <v>36</v>
      </c>
      <c r="E1" s="21" t="s">
        <v>37</v>
      </c>
      <c r="F1" s="21" t="s">
        <v>38</v>
      </c>
      <c r="G1" s="21" t="s">
        <v>39</v>
      </c>
      <c r="H1" s="25" t="s">
        <v>34</v>
      </c>
      <c r="I1" s="5" t="s">
        <v>29</v>
      </c>
      <c r="J1" s="6" t="s">
        <v>30</v>
      </c>
      <c r="K1" s="7"/>
      <c r="L1" s="6"/>
      <c r="M1" s="207" t="s">
        <v>67</v>
      </c>
      <c r="N1" s="207"/>
      <c r="O1" s="8"/>
      <c r="P1" s="9"/>
      <c r="Q1" s="9"/>
      <c r="R1" s="9"/>
      <c r="S1" s="9"/>
      <c r="T1" s="9"/>
    </row>
    <row r="2" spans="1:20" x14ac:dyDescent="0.35">
      <c r="A2" s="30">
        <f>IF(NOT(ISBLANK(Curs!B6)),Curs!B6,"")</f>
        <v>1</v>
      </c>
      <c r="B2" s="31" t="str">
        <f>IF(AND(NOT(ISBLANK(Curs!C6)),OR(Curs!Y6="n/p",Curs!Y6&lt;5)),Curs!C6,"")</f>
        <v>Nume, Prenume</v>
      </c>
      <c r="C2" s="10"/>
      <c r="D2" s="10"/>
      <c r="E2" s="10"/>
      <c r="F2" s="10"/>
      <c r="G2" s="10"/>
      <c r="H2" s="24">
        <f>IF(B2="","",ROUND(SUM(C2:G2),1))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IF(AND(H2&gt;=$J$11,H2&lt;=$K$11),$L$11)))))))))))</f>
        <v>n/p</v>
      </c>
      <c r="J2" s="6" t="s">
        <v>32</v>
      </c>
      <c r="K2" s="6"/>
      <c r="L2" s="12" t="s">
        <v>29</v>
      </c>
      <c r="M2" s="27" t="s">
        <v>29</v>
      </c>
      <c r="N2" s="27" t="s">
        <v>31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IF(NOT(ISBLANK(Curs!B7)),Curs!B7,"")</f>
        <v/>
      </c>
      <c r="B3" s="31" t="str">
        <f>IF(AND(NOT(ISBLANK(Curs!C7)),OR(Curs!Y7="n/p",Curs!Y7&lt;5)),Curs!C7,"")</f>
        <v/>
      </c>
      <c r="C3" s="10"/>
      <c r="D3" s="10"/>
      <c r="E3" s="10"/>
      <c r="F3" s="10"/>
      <c r="G3" s="10"/>
      <c r="H3" s="24" t="str">
        <f t="shared" ref="H3:H66" si="0">IF(B3="","",ROUND(SUM(C3:G3),1))</f>
        <v/>
      </c>
      <c r="I3" s="23" t="str">
        <f t="shared" ref="I3:I31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IF(NOT(ISBLANK(Curs!B8)),Curs!B8,"")</f>
        <v/>
      </c>
      <c r="B4" s="31" t="str">
        <f>IF(AND(NOT(ISBLANK(Curs!C8)),OR(Curs!Y8="n/p",Curs!Y8&lt;5)),Curs!C8,"")</f>
        <v/>
      </c>
      <c r="C4" s="10"/>
      <c r="D4" s="10"/>
      <c r="E4" s="10"/>
      <c r="F4" s="10"/>
      <c r="G4" s="10"/>
      <c r="H4" s="24" t="str">
        <f t="shared" si="0"/>
        <v/>
      </c>
      <c r="I4" s="23" t="str">
        <f t="shared" si="1"/>
        <v/>
      </c>
      <c r="J4" s="22">
        <v>4</v>
      </c>
      <c r="K4" s="22">
        <v>5</v>
      </c>
      <c r="L4" s="12">
        <v>3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IF(NOT(ISBLANK(Curs!B9)),Curs!B9,"")</f>
        <v/>
      </c>
      <c r="B5" s="31" t="str">
        <f>IF(AND(NOT(ISBLANK(Curs!C9)),OR(Curs!Y9="n/p",Curs!Y9&lt;5)),Curs!C9,"")</f>
        <v/>
      </c>
      <c r="C5" s="10"/>
      <c r="D5" s="10"/>
      <c r="E5" s="10"/>
      <c r="F5" s="10"/>
      <c r="G5" s="10"/>
      <c r="H5" s="24" t="str">
        <f t="shared" si="0"/>
        <v/>
      </c>
      <c r="I5" s="23" t="str">
        <f t="shared" si="1"/>
        <v/>
      </c>
      <c r="J5" s="22">
        <v>6</v>
      </c>
      <c r="K5" s="22">
        <v>9</v>
      </c>
      <c r="L5" s="12">
        <v>4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IF(NOT(ISBLANK(Curs!B10)),Curs!B10,"")</f>
        <v/>
      </c>
      <c r="B6" s="31" t="str">
        <f>IF(AND(NOT(ISBLANK(Curs!C10)),OR(Curs!Y10="n/p",Curs!Y10&lt;5)),Curs!C10,"")</f>
        <v/>
      </c>
      <c r="C6" s="10"/>
      <c r="D6" s="10"/>
      <c r="E6" s="10"/>
      <c r="F6" s="10"/>
      <c r="G6" s="10"/>
      <c r="H6" s="24" t="str">
        <f t="shared" si="0"/>
        <v/>
      </c>
      <c r="I6" s="23" t="str">
        <f t="shared" si="1"/>
        <v/>
      </c>
      <c r="J6" s="22">
        <v>10</v>
      </c>
      <c r="K6" s="22">
        <v>13</v>
      </c>
      <c r="L6" s="12">
        <v>5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IF(NOT(ISBLANK(Curs!B11)),Curs!B11,"")</f>
        <v/>
      </c>
      <c r="B7" s="31" t="str">
        <f>IF(AND(NOT(ISBLANK(Curs!C11)),OR(Curs!Y11="n/p",Curs!Y11&lt;5)),Curs!C11,"")</f>
        <v/>
      </c>
      <c r="C7" s="10"/>
      <c r="D7" s="10"/>
      <c r="E7" s="10"/>
      <c r="F7" s="10"/>
      <c r="G7" s="10"/>
      <c r="H7" s="24" t="str">
        <f t="shared" si="0"/>
        <v/>
      </c>
      <c r="I7" s="23" t="str">
        <f t="shared" si="1"/>
        <v/>
      </c>
      <c r="J7" s="22">
        <v>14</v>
      </c>
      <c r="K7" s="22">
        <v>18</v>
      </c>
      <c r="L7" s="12">
        <v>6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IF(NOT(ISBLANK(Curs!B12)),Curs!B12,"")</f>
        <v/>
      </c>
      <c r="B8" s="31" t="str">
        <f>IF(AND(NOT(ISBLANK(Curs!C12)),OR(Curs!Y12="n/p",Curs!Y12&lt;5)),Curs!C12,"")</f>
        <v/>
      </c>
      <c r="C8" s="10"/>
      <c r="D8" s="10"/>
      <c r="E8" s="10"/>
      <c r="F8" s="10"/>
      <c r="G8" s="10"/>
      <c r="H8" s="24" t="str">
        <f t="shared" si="0"/>
        <v/>
      </c>
      <c r="I8" s="23" t="str">
        <f t="shared" si="1"/>
        <v/>
      </c>
      <c r="J8" s="22">
        <v>19</v>
      </c>
      <c r="K8" s="22">
        <v>22</v>
      </c>
      <c r="L8" s="12">
        <v>7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IF(NOT(ISBLANK(Curs!B13)),Curs!B13,"")</f>
        <v/>
      </c>
      <c r="B9" s="31" t="str">
        <f>IF(AND(NOT(ISBLANK(Curs!C13)),OR(Curs!Y13="n/p",Curs!Y13&lt;5)),Curs!C13,"")</f>
        <v/>
      </c>
      <c r="C9" s="10"/>
      <c r="D9" s="10"/>
      <c r="E9" s="10"/>
      <c r="F9" s="10"/>
      <c r="G9" s="10"/>
      <c r="H9" s="24" t="str">
        <f t="shared" si="0"/>
        <v/>
      </c>
      <c r="I9" s="23" t="str">
        <f t="shared" si="1"/>
        <v/>
      </c>
      <c r="J9" s="22">
        <v>23</v>
      </c>
      <c r="K9" s="22">
        <v>26</v>
      </c>
      <c r="L9" s="12">
        <v>8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IF(NOT(ISBLANK(Curs!B14)),Curs!B14,"")</f>
        <v/>
      </c>
      <c r="B10" s="31" t="str">
        <f>IF(AND(NOT(ISBLANK(Curs!C14)),OR(Curs!Y14="n/p",Curs!Y14&lt;5)),Curs!C14,"")</f>
        <v/>
      </c>
      <c r="C10" s="10"/>
      <c r="D10" s="10"/>
      <c r="E10" s="10"/>
      <c r="F10" s="10"/>
      <c r="G10" s="10"/>
      <c r="H10" s="24" t="str">
        <f t="shared" si="0"/>
        <v/>
      </c>
      <c r="I10" s="23" t="str">
        <f t="shared" si="1"/>
        <v/>
      </c>
      <c r="J10" s="22">
        <v>27</v>
      </c>
      <c r="K10" s="22">
        <v>28</v>
      </c>
      <c r="L10" s="12">
        <v>9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IF(NOT(ISBLANK(Curs!B15)),Curs!B15,"")</f>
        <v/>
      </c>
      <c r="B11" s="31" t="str">
        <f>IF(AND(NOT(ISBLANK(Curs!C15)),OR(Curs!Y15="n/p",Curs!Y15&lt;5)),Curs!C15,"")</f>
        <v/>
      </c>
      <c r="C11" s="10"/>
      <c r="D11" s="10"/>
      <c r="E11" s="10"/>
      <c r="F11" s="10"/>
      <c r="G11" s="10"/>
      <c r="H11" s="24" t="str">
        <f t="shared" si="0"/>
        <v/>
      </c>
      <c r="I11" s="23" t="str">
        <f t="shared" si="1"/>
        <v/>
      </c>
      <c r="J11" s="22">
        <v>29</v>
      </c>
      <c r="K11" s="22">
        <v>30</v>
      </c>
      <c r="L11" s="12">
        <v>10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IF(NOT(ISBLANK(Curs!B16)),Curs!B16,"")</f>
        <v/>
      </c>
      <c r="B12" s="31" t="str">
        <f>IF(AND(NOT(ISBLANK(Curs!C16)),OR(Curs!Y16="n/p",Curs!Y16&lt;5)),Curs!C16,"")</f>
        <v/>
      </c>
      <c r="C12" s="10"/>
      <c r="D12" s="10"/>
      <c r="E12" s="10"/>
      <c r="F12" s="10"/>
      <c r="G12" s="10"/>
      <c r="H12" s="24" t="str">
        <f t="shared" si="0"/>
        <v/>
      </c>
      <c r="I12" s="23" t="str">
        <f t="shared" si="1"/>
        <v/>
      </c>
      <c r="J12" s="22"/>
      <c r="K12" s="22"/>
      <c r="L12" s="12"/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IF(NOT(ISBLANK(Curs!B17)),Curs!B17,"")</f>
        <v/>
      </c>
      <c r="B13" s="31" t="str">
        <f>IF(AND(NOT(ISBLANK(Curs!C17)),OR(Curs!Y17="n/p",Curs!Y17&lt;5)),Curs!C17,"")</f>
        <v/>
      </c>
      <c r="C13" s="10"/>
      <c r="D13" s="10"/>
      <c r="E13" s="10"/>
      <c r="F13" s="10"/>
      <c r="G13" s="10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33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IF(NOT(ISBLANK(Curs!B18)),Curs!B18,"")</f>
        <v/>
      </c>
      <c r="B14" s="31" t="str">
        <f>IF(AND(NOT(ISBLANK(Curs!C18)),OR(Curs!Y18="n/p",Curs!Y18&lt;5)),Curs!C18,"")</f>
        <v/>
      </c>
      <c r="C14" s="10"/>
      <c r="D14" s="10"/>
      <c r="E14" s="10"/>
      <c r="F14" s="10"/>
      <c r="G14" s="10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IF(NOT(ISBLANK(Curs!B19)),Curs!B19,"")</f>
        <v/>
      </c>
      <c r="B15" s="31" t="str">
        <f>IF(AND(NOT(ISBLANK(Curs!C19)),OR(Curs!Y19="n/p",Curs!Y19&lt;5)),Curs!C19,"")</f>
        <v/>
      </c>
      <c r="C15" s="10"/>
      <c r="D15" s="10"/>
      <c r="E15" s="10"/>
      <c r="F15" s="10"/>
      <c r="G15" s="10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x14ac:dyDescent="0.35">
      <c r="A16" s="30" t="str">
        <f>IF(NOT(ISBLANK(Curs!B20)),Curs!B20,"")</f>
        <v/>
      </c>
      <c r="B16" s="31" t="str">
        <f>IF(AND(NOT(ISBLANK(Curs!C20)),OR(Curs!Y20="n/p",Curs!Y20&lt;5)),Curs!C20,"")</f>
        <v/>
      </c>
      <c r="C16" s="10"/>
      <c r="D16" s="10"/>
      <c r="E16" s="10"/>
      <c r="F16" s="10"/>
      <c r="G16" s="10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x14ac:dyDescent="0.35">
      <c r="A17" s="30" t="str">
        <f>IF(NOT(ISBLANK(Curs!B21)),Curs!B21,"")</f>
        <v/>
      </c>
      <c r="B17" s="31" t="str">
        <f>IF(AND(NOT(ISBLANK(Curs!C21)),OR(Curs!Y21="n/p",Curs!Y21&lt;5)),Curs!C21,"")</f>
        <v/>
      </c>
      <c r="C17" s="10"/>
      <c r="D17" s="10"/>
      <c r="E17" s="10"/>
      <c r="F17" s="10"/>
      <c r="G17" s="10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x14ac:dyDescent="0.35">
      <c r="A18" s="30" t="str">
        <f>IF(NOT(ISBLANK(Curs!B22)),Curs!B22,"")</f>
        <v/>
      </c>
      <c r="B18" s="31" t="str">
        <f>IF(AND(NOT(ISBLANK(Curs!C22)),OR(Curs!Y22="n/p",Curs!Y22&lt;5)),Curs!C22,"")</f>
        <v/>
      </c>
      <c r="C18" s="10"/>
      <c r="D18" s="10"/>
      <c r="E18" s="10"/>
      <c r="F18" s="10"/>
      <c r="G18" s="10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x14ac:dyDescent="0.35">
      <c r="A19" s="30" t="str">
        <f>IF(NOT(ISBLANK(Curs!B23)),Curs!B23,"")</f>
        <v/>
      </c>
      <c r="B19" s="31" t="str">
        <f>IF(AND(NOT(ISBLANK(Curs!C23)),OR(Curs!Y23="n/p",Curs!Y23&lt;5)),Curs!C23,"")</f>
        <v/>
      </c>
      <c r="C19" s="10"/>
      <c r="D19" s="10"/>
      <c r="E19" s="10"/>
      <c r="F19" s="10"/>
      <c r="G19" s="10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x14ac:dyDescent="0.35">
      <c r="A20" s="30" t="str">
        <f>IF(NOT(ISBLANK(Curs!B24)),Curs!B24,"")</f>
        <v/>
      </c>
      <c r="B20" s="31" t="str">
        <f>IF(AND(NOT(ISBLANK(Curs!C24)),OR(Curs!Y24="n/p",Curs!Y24&lt;5)),Curs!C24,"")</f>
        <v/>
      </c>
      <c r="C20" s="10"/>
      <c r="D20" s="10"/>
      <c r="E20" s="10"/>
      <c r="F20" s="10"/>
      <c r="G20" s="10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x14ac:dyDescent="0.35">
      <c r="A21" s="30" t="str">
        <f>IF(NOT(ISBLANK(Curs!B25)),Curs!B25,"")</f>
        <v/>
      </c>
      <c r="B21" s="31" t="str">
        <f>IF(AND(NOT(ISBLANK(Curs!C25)),OR(Curs!Y25="n/p",Curs!Y25&lt;5)),Curs!C25,"")</f>
        <v/>
      </c>
      <c r="C21" s="10"/>
      <c r="D21" s="10"/>
      <c r="E21" s="10"/>
      <c r="F21" s="10"/>
      <c r="G21" s="10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x14ac:dyDescent="0.35">
      <c r="A22" s="30" t="str">
        <f>IF(NOT(ISBLANK(Curs!B26)),Curs!B26,"")</f>
        <v/>
      </c>
      <c r="B22" s="31" t="str">
        <f>IF(AND(NOT(ISBLANK(Curs!C26)),OR(Curs!Y26="n/p",Curs!Y26&lt;5)),Curs!C26,"")</f>
        <v/>
      </c>
      <c r="C22" s="10"/>
      <c r="D22" s="10"/>
      <c r="E22" s="10"/>
      <c r="F22" s="10"/>
      <c r="G22" s="10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x14ac:dyDescent="0.35">
      <c r="A23" s="30" t="str">
        <f>IF(NOT(ISBLANK(Curs!B27)),Curs!B27,"")</f>
        <v/>
      </c>
      <c r="B23" s="31" t="str">
        <f>IF(AND(NOT(ISBLANK(Curs!C27)),OR(Curs!Y27="n/p",Curs!Y27&lt;5)),Curs!C27,"")</f>
        <v/>
      </c>
      <c r="C23" s="10"/>
      <c r="D23" s="10"/>
      <c r="E23" s="10"/>
      <c r="F23" s="10"/>
      <c r="G23" s="10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x14ac:dyDescent="0.35">
      <c r="A24" s="30" t="str">
        <f>IF(NOT(ISBLANK(Curs!B28)),Curs!B28,"")</f>
        <v/>
      </c>
      <c r="B24" s="31" t="str">
        <f>IF(AND(NOT(ISBLANK(Curs!C28)),OR(Curs!Y28="n/p",Curs!Y28&lt;5)),Curs!C28,"")</f>
        <v/>
      </c>
      <c r="C24" s="10"/>
      <c r="D24" s="10"/>
      <c r="E24" s="10"/>
      <c r="F24" s="10"/>
      <c r="G24" s="10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x14ac:dyDescent="0.35">
      <c r="A25" s="30" t="str">
        <f>IF(NOT(ISBLANK(Curs!B29)),Curs!B29,"")</f>
        <v/>
      </c>
      <c r="B25" s="31" t="str">
        <f>IF(AND(NOT(ISBLANK(Curs!C29)),OR(Curs!Y29="n/p",Curs!Y29&lt;5)),Curs!C29,"")</f>
        <v/>
      </c>
      <c r="C25" s="10"/>
      <c r="D25" s="10"/>
      <c r="E25" s="10"/>
      <c r="F25" s="10"/>
      <c r="G25" s="10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x14ac:dyDescent="0.35">
      <c r="A26" s="30" t="str">
        <f>IF(NOT(ISBLANK(Curs!B30)),Curs!B30,"")</f>
        <v/>
      </c>
      <c r="B26" s="31" t="str">
        <f>IF(AND(NOT(ISBLANK(Curs!C30)),OR(Curs!Y30="n/p",Curs!Y30&lt;5)),Curs!C30,"")</f>
        <v/>
      </c>
      <c r="C26" s="10"/>
      <c r="D26" s="10"/>
      <c r="E26" s="10"/>
      <c r="F26" s="10"/>
      <c r="G26" s="10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x14ac:dyDescent="0.35">
      <c r="A27" s="30" t="str">
        <f>IF(NOT(ISBLANK(Curs!B31)),Curs!B31,"")</f>
        <v/>
      </c>
      <c r="B27" s="31" t="str">
        <f>IF(AND(NOT(ISBLANK(Curs!C31)),OR(Curs!Y31="n/p",Curs!Y31&lt;5)),Curs!C31,"")</f>
        <v/>
      </c>
      <c r="C27" s="10"/>
      <c r="D27" s="10"/>
      <c r="E27" s="10"/>
      <c r="F27" s="10"/>
      <c r="G27" s="10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IF(NOT(ISBLANK(Curs!B32)),Curs!B32,"")</f>
        <v/>
      </c>
      <c r="B28" s="31" t="str">
        <f>IF(AND(NOT(ISBLANK(Curs!C32)),OR(Curs!Y32="n/p",Curs!Y32&lt;5)),Curs!C32,"")</f>
        <v/>
      </c>
      <c r="C28" s="10"/>
      <c r="D28" s="10"/>
      <c r="E28" s="10"/>
      <c r="F28" s="10"/>
      <c r="G28" s="10"/>
      <c r="H28" s="24" t="str">
        <f t="shared" si="0"/>
        <v/>
      </c>
      <c r="I28" s="23" t="str">
        <f t="shared" si="1"/>
        <v/>
      </c>
      <c r="J28"/>
    </row>
    <row r="29" spans="1:18" x14ac:dyDescent="0.35">
      <c r="A29" s="30" t="str">
        <f>IF(NOT(ISBLANK(Curs!B33)),Curs!B33,"")</f>
        <v/>
      </c>
      <c r="B29" s="31" t="str">
        <f>IF(AND(NOT(ISBLANK(Curs!C33)),OR(Curs!Y33="n/p",Curs!Y33&lt;5)),Curs!C33,"")</f>
        <v/>
      </c>
      <c r="C29" s="10"/>
      <c r="D29" s="10"/>
      <c r="E29" s="10"/>
      <c r="F29" s="10"/>
      <c r="G29" s="10"/>
      <c r="H29" s="24" t="str">
        <f t="shared" si="0"/>
        <v/>
      </c>
      <c r="I29" s="23" t="str">
        <f t="shared" si="1"/>
        <v/>
      </c>
      <c r="J29"/>
    </row>
    <row r="30" spans="1:18" x14ac:dyDescent="0.35">
      <c r="A30" s="30" t="str">
        <f>IF(NOT(ISBLANK(Curs!B34)),Curs!B34,"")</f>
        <v/>
      </c>
      <c r="B30" s="31" t="str">
        <f>IF(AND(NOT(ISBLANK(Curs!C34)),OR(Curs!Y34="n/p",Curs!Y34&lt;5)),Curs!C34,"")</f>
        <v/>
      </c>
      <c r="C30" s="10"/>
      <c r="D30" s="10"/>
      <c r="E30" s="10"/>
      <c r="F30" s="10"/>
      <c r="G30" s="10"/>
      <c r="H30" s="24" t="str">
        <f t="shared" si="0"/>
        <v/>
      </c>
      <c r="I30" s="23" t="str">
        <f t="shared" si="1"/>
        <v/>
      </c>
      <c r="J30"/>
    </row>
    <row r="31" spans="1:18" x14ac:dyDescent="0.35">
      <c r="A31" s="30" t="str">
        <f>IF(NOT(ISBLANK(Curs!B35)),Curs!B35,"")</f>
        <v/>
      </c>
      <c r="B31" s="31" t="str">
        <f>IF(AND(NOT(ISBLANK(Curs!C35)),OR(Curs!Y35="n/p",Curs!Y35&lt;5)),Curs!C35,"")</f>
        <v/>
      </c>
      <c r="C31" s="10"/>
      <c r="D31" s="10"/>
      <c r="E31" s="10"/>
      <c r="F31" s="10"/>
      <c r="G31" s="10"/>
      <c r="H31" s="24" t="str">
        <f t="shared" si="0"/>
        <v/>
      </c>
      <c r="I31" s="23" t="str">
        <f t="shared" si="1"/>
        <v/>
      </c>
      <c r="J31"/>
    </row>
    <row r="32" spans="1:18" x14ac:dyDescent="0.35">
      <c r="A32" s="30" t="str">
        <f>IF(NOT(ISBLANK(Curs!B36)),Curs!B36,"")</f>
        <v/>
      </c>
      <c r="B32" s="31" t="str">
        <f>IF(AND(NOT(ISBLANK(Curs!C36)),OR(Curs!Y36="n/p",Curs!Y36&lt;5)),Curs!C36,"")</f>
        <v/>
      </c>
      <c r="C32" s="10"/>
      <c r="D32" s="10"/>
      <c r="E32" s="10"/>
      <c r="F32" s="10"/>
      <c r="G32" s="10"/>
      <c r="H32" s="24" t="str">
        <f t="shared" si="0"/>
        <v/>
      </c>
      <c r="I32" s="23" t="str">
        <f>IF(NOT(ISBLANK(Curs!C36)),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IF(NOT(ISBLANK(Curs!B37)),Curs!B37,"")</f>
        <v/>
      </c>
      <c r="B33" s="31" t="str">
        <f>IF(AND(NOT(ISBLANK(Curs!C37)),OR(Curs!Y37="n/p",Curs!Y37&lt;5)),Curs!C37,"")</f>
        <v/>
      </c>
      <c r="C33" s="10"/>
      <c r="D33" s="10"/>
      <c r="E33" s="10"/>
      <c r="F33" s="10"/>
      <c r="G33" s="10"/>
      <c r="H33" s="24" t="str">
        <f t="shared" si="0"/>
        <v/>
      </c>
      <c r="I33" s="23" t="str">
        <f>IF(NOT(ISBLANK(Curs!C37)),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IF(NOT(ISBLANK(Curs!B38)),Curs!B38,"")</f>
        <v/>
      </c>
      <c r="B34" s="31" t="str">
        <f>IF(AND(NOT(ISBLANK(Curs!C38)),OR(Curs!Y38="n/p",Curs!Y38&lt;5)),Curs!C38,"")</f>
        <v/>
      </c>
      <c r="C34" s="10"/>
      <c r="D34" s="10"/>
      <c r="E34" s="10"/>
      <c r="F34" s="10"/>
      <c r="G34" s="10"/>
      <c r="H34" s="24" t="str">
        <f t="shared" si="0"/>
        <v/>
      </c>
      <c r="I34" s="23" t="str">
        <f>IF(NOT(ISBLANK(Curs!C38)),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IF(NOT(ISBLANK(Curs!B39)),Curs!B39,"")</f>
        <v/>
      </c>
      <c r="B35" s="31" t="str">
        <f>IF(AND(NOT(ISBLANK(Curs!C39)),OR(Curs!Y39="n/p",Curs!Y39&lt;5)),Curs!C39,"")</f>
        <v/>
      </c>
      <c r="C35" s="10"/>
      <c r="D35" s="10"/>
      <c r="E35" s="10"/>
      <c r="F35" s="10"/>
      <c r="G35" s="10"/>
      <c r="H35" s="24" t="str">
        <f t="shared" si="0"/>
        <v/>
      </c>
      <c r="I35" s="23" t="str">
        <f>IF(NOT(ISBLANK(Curs!C39)),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IF(NOT(ISBLANK(Curs!B40)),Curs!B40,"")</f>
        <v/>
      </c>
      <c r="B36" s="31" t="str">
        <f>IF(AND(NOT(ISBLANK(Curs!C40)),OR(Curs!Y40="n/p",Curs!Y40&lt;5)),Curs!C40,"")</f>
        <v/>
      </c>
      <c r="C36" s="10"/>
      <c r="D36" s="10"/>
      <c r="E36" s="10"/>
      <c r="F36" s="10"/>
      <c r="G36" s="10"/>
      <c r="H36" s="24" t="str">
        <f t="shared" si="0"/>
        <v/>
      </c>
      <c r="I36" s="23" t="str">
        <f>IF(NOT(ISBLANK(Curs!C40)),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IF(NOT(ISBLANK(Curs!B41)),Curs!B41,"")</f>
        <v/>
      </c>
      <c r="B37" s="31" t="str">
        <f>IF(AND(NOT(ISBLANK(Curs!C41)),OR(Curs!Y41="n/p",Curs!Y41&lt;5)),Curs!C41,"")</f>
        <v/>
      </c>
      <c r="C37" s="10"/>
      <c r="D37" s="10"/>
      <c r="E37" s="10"/>
      <c r="F37" s="10"/>
      <c r="G37" s="10"/>
      <c r="H37" s="24" t="str">
        <f t="shared" si="0"/>
        <v/>
      </c>
      <c r="I37" s="23" t="str">
        <f>IF(NOT(ISBLANK(Curs!C41)),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IF(NOT(ISBLANK(Curs!B42)),Curs!B42,"")</f>
        <v/>
      </c>
      <c r="B38" s="31" t="str">
        <f>IF(AND(NOT(ISBLANK(Curs!C42)),OR(Curs!Y42="n/p",Curs!Y42&lt;5)),Curs!C42,"")</f>
        <v/>
      </c>
      <c r="C38" s="10"/>
      <c r="D38" s="10"/>
      <c r="E38" s="10"/>
      <c r="F38" s="10"/>
      <c r="G38" s="10"/>
      <c r="H38" s="24" t="str">
        <f t="shared" si="0"/>
        <v/>
      </c>
      <c r="I38" s="23" t="str">
        <f>IF(NOT(ISBLANK(Curs!C42)),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10"/>
      <c r="G39" s="10"/>
      <c r="H39" s="24" t="str">
        <f t="shared" si="0"/>
        <v/>
      </c>
      <c r="I39" s="23" t="str">
        <f>IF(NOT(ISBLANK(Curs!C43)),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10"/>
      <c r="G40" s="10"/>
      <c r="H40" s="24" t="str">
        <f t="shared" si="0"/>
        <v/>
      </c>
      <c r="I40" s="23" t="str">
        <f>IF(NOT(ISBLANK(Curs!C44)),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10"/>
      <c r="G41" s="10"/>
      <c r="H41" s="24" t="str">
        <f t="shared" si="0"/>
        <v/>
      </c>
      <c r="I41" s="23" t="str">
        <f>IF(NOT(ISBLANK(Curs!C45)),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10"/>
      <c r="G42" s="10"/>
      <c r="H42" s="24" t="str">
        <f t="shared" si="0"/>
        <v/>
      </c>
      <c r="I42" s="23" t="str">
        <f>IF(NOT(ISBLANK(Curs!C46)),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10"/>
      <c r="G43" s="10"/>
      <c r="H43" s="24" t="str">
        <f t="shared" si="0"/>
        <v/>
      </c>
      <c r="I43" s="23" t="str">
        <f>IF(NOT(ISBLANK(Curs!C47)),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10"/>
      <c r="G44" s="10"/>
      <c r="H44" s="24" t="str">
        <f t="shared" si="0"/>
        <v/>
      </c>
      <c r="I44" s="23" t="str">
        <f>IF(NOT(ISBLANK(Curs!C48)),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10"/>
      <c r="G45" s="10"/>
      <c r="H45" s="24" t="str">
        <f t="shared" si="0"/>
        <v/>
      </c>
      <c r="I45" s="23" t="str">
        <f>IF(NOT(ISBLANK(Curs!C49)),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10"/>
      <c r="G46" s="10"/>
      <c r="H46" s="24" t="str">
        <f t="shared" si="0"/>
        <v/>
      </c>
      <c r="I46" s="23" t="str">
        <f>IF(NOT(ISBLANK(Curs!C50)),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10"/>
      <c r="G47" s="10"/>
      <c r="H47" s="24" t="str">
        <f t="shared" si="0"/>
        <v/>
      </c>
      <c r="I47" s="23" t="str">
        <f>IF(NOT(ISBLANK(Curs!C51)),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10"/>
      <c r="G48" s="10"/>
      <c r="H48" s="24" t="str">
        <f t="shared" si="0"/>
        <v/>
      </c>
      <c r="I48" s="23" t="str">
        <f>IF(NOT(ISBLANK(Curs!C52)),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10"/>
      <c r="G49" s="10"/>
      <c r="H49" s="24" t="str">
        <f t="shared" si="0"/>
        <v/>
      </c>
      <c r="I49" s="23" t="str">
        <f>IF(NOT(ISBLANK(Curs!C53)),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10"/>
      <c r="G50" s="10"/>
      <c r="H50" s="24" t="str">
        <f t="shared" si="0"/>
        <v/>
      </c>
      <c r="I50" s="23" t="str">
        <f>IF(NOT(ISBLANK(Curs!C54)),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10"/>
      <c r="G51" s="10"/>
      <c r="H51" s="24" t="str">
        <f t="shared" si="0"/>
        <v/>
      </c>
      <c r="I51" s="23" t="str">
        <f>IF(NOT(ISBLANK(Curs!C55)),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10"/>
      <c r="G52" s="10"/>
      <c r="H52" s="24" t="str">
        <f t="shared" si="0"/>
        <v/>
      </c>
      <c r="I52" s="23" t="str">
        <f>IF(NOT(ISBLANK(Curs!C56)),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10"/>
      <c r="G53" s="10"/>
      <c r="H53" s="24" t="str">
        <f t="shared" si="0"/>
        <v/>
      </c>
      <c r="I53" s="23" t="str">
        <f>IF(NOT(ISBLANK(Curs!C57)),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10"/>
      <c r="G54" s="10"/>
      <c r="H54" s="24" t="str">
        <f t="shared" si="0"/>
        <v/>
      </c>
      <c r="I54" s="23" t="str">
        <f>IF(NOT(ISBLANK(Curs!C58)),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10"/>
      <c r="G55" s="10"/>
      <c r="H55" s="24" t="str">
        <f t="shared" si="0"/>
        <v/>
      </c>
      <c r="I55" s="23" t="str">
        <f>IF(NOT(ISBLANK(Curs!C59)),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10"/>
      <c r="G56" s="10"/>
      <c r="H56" s="24" t="str">
        <f t="shared" si="0"/>
        <v/>
      </c>
      <c r="I56" s="23" t="str">
        <f>IF(NOT(ISBLANK(Curs!C60)),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10"/>
      <c r="G57" s="10"/>
      <c r="H57" s="24" t="str">
        <f t="shared" si="0"/>
        <v/>
      </c>
      <c r="I57" s="23" t="str">
        <f>IF(NOT(ISBLANK(Curs!C61)),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10"/>
      <c r="G58" s="10"/>
      <c r="H58" s="24" t="str">
        <f t="shared" si="0"/>
        <v/>
      </c>
      <c r="I58" s="23" t="str">
        <f>IF(NOT(ISBLANK(Curs!C62)),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10"/>
      <c r="G59" s="10"/>
      <c r="H59" s="24" t="str">
        <f t="shared" si="0"/>
        <v/>
      </c>
      <c r="I59" s="23" t="str">
        <f>IF(NOT(ISBLANK(Curs!C63)),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10"/>
      <c r="G60" s="10"/>
      <c r="H60" s="24" t="str">
        <f t="shared" si="0"/>
        <v/>
      </c>
      <c r="I60" s="23" t="str">
        <f>IF(NOT(ISBLANK(Curs!C64)),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10"/>
      <c r="G61" s="10"/>
      <c r="H61" s="24" t="str">
        <f t="shared" si="0"/>
        <v/>
      </c>
      <c r="I61" s="23" t="str">
        <f>IF(NOT(ISBLANK(Curs!C65)),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10"/>
      <c r="G62" s="10"/>
      <c r="H62" s="24" t="str">
        <f t="shared" si="0"/>
        <v/>
      </c>
      <c r="I62" s="23" t="str">
        <f>IF(NOT(ISBLANK(Curs!C66)),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10"/>
      <c r="G63" s="10"/>
      <c r="H63" s="24" t="str">
        <f t="shared" si="0"/>
        <v/>
      </c>
      <c r="I63" s="23" t="str">
        <f>IF(NOT(ISBLANK(Curs!C67)),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10"/>
      <c r="G64" s="10"/>
      <c r="H64" s="24" t="str">
        <f t="shared" si="0"/>
        <v/>
      </c>
      <c r="I64" s="23" t="str">
        <f>IF(NOT(ISBLANK(Curs!C68)),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10"/>
      <c r="G65" s="10"/>
      <c r="H65" s="24" t="str">
        <f t="shared" si="0"/>
        <v/>
      </c>
      <c r="I65" s="23" t="str">
        <f>IF(NOT(ISBLANK(Curs!C69)),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10"/>
      <c r="G66" s="10"/>
      <c r="H66" s="24" t="str">
        <f t="shared" si="0"/>
        <v/>
      </c>
      <c r="I66" s="23" t="str">
        <f>IF(NOT(ISBLANK(Curs!C70)),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10"/>
      <c r="G67" s="10"/>
      <c r="H67" s="24" t="str">
        <f t="shared" ref="H67:H105" si="3">IF(B67="","",ROUND(SUM(C67:G67),1))</f>
        <v/>
      </c>
      <c r="I67" s="23" t="str">
        <f>IF(NOT(ISBLANK(Curs!C71)),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10"/>
      <c r="G68" s="10"/>
      <c r="H68" s="24" t="str">
        <f t="shared" si="3"/>
        <v/>
      </c>
      <c r="I68" s="23" t="str">
        <f>IF(NOT(ISBLANK(Curs!C72)),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10"/>
      <c r="G69" s="10"/>
      <c r="H69" s="24" t="str">
        <f t="shared" si="3"/>
        <v/>
      </c>
      <c r="I69" s="23" t="str">
        <f>IF(NOT(ISBLANK(Curs!C73)),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10"/>
      <c r="G70" s="10"/>
      <c r="H70" s="24" t="str">
        <f t="shared" si="3"/>
        <v/>
      </c>
      <c r="I70" s="23" t="str">
        <f>IF(NOT(ISBLANK(Curs!C74)),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10"/>
      <c r="G71" s="10"/>
      <c r="H71" s="24" t="str">
        <f t="shared" si="3"/>
        <v/>
      </c>
      <c r="I71" s="23" t="str">
        <f>IF(NOT(ISBLANK(Curs!C75)),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10"/>
      <c r="G72" s="10"/>
      <c r="H72" s="24" t="str">
        <f t="shared" si="3"/>
        <v/>
      </c>
      <c r="I72" s="23" t="str">
        <f>IF(NOT(ISBLANK(Curs!C76)),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10"/>
      <c r="G73" s="10"/>
      <c r="H73" s="24" t="str">
        <f t="shared" si="3"/>
        <v/>
      </c>
      <c r="I73" s="23" t="str">
        <f>IF(NOT(ISBLANK(Curs!C77)),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10"/>
      <c r="G74" s="10"/>
      <c r="H74" s="24" t="str">
        <f t="shared" si="3"/>
        <v/>
      </c>
      <c r="I74" s="23" t="str">
        <f>IF(NOT(ISBLANK(Curs!C78)),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10"/>
      <c r="G75" s="10"/>
      <c r="H75" s="24" t="str">
        <f t="shared" si="3"/>
        <v/>
      </c>
      <c r="I75" s="23" t="str">
        <f>IF(NOT(ISBLANK(Curs!C79)),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10"/>
      <c r="G76" s="10"/>
      <c r="H76" s="24" t="str">
        <f t="shared" si="3"/>
        <v/>
      </c>
      <c r="I76" s="23" t="str">
        <f>IF(NOT(ISBLANK(Curs!C80)),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10"/>
      <c r="G77" s="10"/>
      <c r="H77" s="24" t="str">
        <f t="shared" si="3"/>
        <v/>
      </c>
      <c r="I77" s="23" t="str">
        <f>IF(NOT(ISBLANK(Curs!C81)),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10"/>
      <c r="G78" s="10"/>
      <c r="H78" s="24" t="str">
        <f t="shared" si="3"/>
        <v/>
      </c>
      <c r="I78" s="23" t="str">
        <f>IF(NOT(ISBLANK(Curs!C82)),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10"/>
      <c r="G79" s="10"/>
      <c r="H79" s="24" t="str">
        <f t="shared" si="3"/>
        <v/>
      </c>
      <c r="I79" s="23" t="str">
        <f>IF(NOT(ISBLANK(Curs!C83)),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10"/>
      <c r="G80" s="10"/>
      <c r="H80" s="24" t="str">
        <f t="shared" si="3"/>
        <v/>
      </c>
      <c r="I80" s="23" t="str">
        <f>IF(NOT(ISBLANK(Curs!C84)),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10"/>
      <c r="G81" s="10"/>
      <c r="H81" s="24" t="str">
        <f t="shared" si="3"/>
        <v/>
      </c>
      <c r="I81" s="23" t="str">
        <f>IF(NOT(ISBLANK(Curs!C85)),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10"/>
      <c r="G82" s="10"/>
      <c r="H82" s="24" t="str">
        <f t="shared" si="3"/>
        <v/>
      </c>
      <c r="I82" s="23" t="str">
        <f>IF(NOT(ISBLANK(Curs!C86)),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10"/>
      <c r="G83" s="10"/>
      <c r="H83" s="24" t="str">
        <f t="shared" si="3"/>
        <v/>
      </c>
      <c r="I83" s="23" t="str">
        <f>IF(NOT(ISBLANK(Curs!C87)),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10"/>
      <c r="G84" s="10"/>
      <c r="H84" s="24" t="str">
        <f t="shared" si="3"/>
        <v/>
      </c>
      <c r="I84" s="23" t="str">
        <f>IF(NOT(ISBLANK(Curs!C88)),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10"/>
      <c r="G85" s="10"/>
      <c r="H85" s="24" t="str">
        <f t="shared" si="3"/>
        <v/>
      </c>
      <c r="I85" s="23" t="str">
        <f>IF(NOT(ISBLANK(Curs!C89)),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10"/>
      <c r="G86" s="10"/>
      <c r="H86" s="24" t="str">
        <f t="shared" si="3"/>
        <v/>
      </c>
      <c r="I86" s="23" t="str">
        <f>IF(NOT(ISBLANK(Curs!C90)),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10"/>
      <c r="G87" s="10"/>
      <c r="H87" s="24" t="str">
        <f t="shared" si="3"/>
        <v/>
      </c>
      <c r="I87" s="23" t="str">
        <f>IF(NOT(ISBLANK(Curs!C91)),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10"/>
      <c r="G88" s="10"/>
      <c r="H88" s="24" t="str">
        <f t="shared" si="3"/>
        <v/>
      </c>
      <c r="I88" s="23" t="str">
        <f>IF(NOT(ISBLANK(Curs!C92)),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10"/>
      <c r="G89" s="10"/>
      <c r="H89" s="24" t="str">
        <f t="shared" si="3"/>
        <v/>
      </c>
      <c r="I89" s="23" t="str">
        <f>IF(NOT(ISBLANK(Curs!C93)),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10"/>
      <c r="G90" s="10"/>
      <c r="H90" s="24" t="str">
        <f t="shared" si="3"/>
        <v/>
      </c>
      <c r="I90" s="23" t="str">
        <f>IF(NOT(ISBLANK(Curs!C94)),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10"/>
      <c r="G91" s="10"/>
      <c r="H91" s="24" t="str">
        <f t="shared" si="3"/>
        <v/>
      </c>
      <c r="I91" s="23" t="str">
        <f>IF(NOT(ISBLANK(Curs!C95)),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10"/>
      <c r="G92" s="10"/>
      <c r="H92" s="24" t="str">
        <f t="shared" si="3"/>
        <v/>
      </c>
      <c r="I92" s="23" t="str">
        <f>IF(NOT(ISBLANK(Curs!C96)),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10"/>
      <c r="G93" s="10"/>
      <c r="H93" s="24" t="str">
        <f t="shared" si="3"/>
        <v/>
      </c>
      <c r="I93" s="23" t="str">
        <f>IF(NOT(ISBLANK(Curs!C97)),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10"/>
      <c r="G94" s="10"/>
      <c r="H94" s="24" t="str">
        <f t="shared" si="3"/>
        <v/>
      </c>
      <c r="I94" s="23" t="str">
        <f>IF(NOT(ISBLANK(Curs!C98)),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10"/>
      <c r="G95" s="10"/>
      <c r="H95" s="24" t="str">
        <f t="shared" si="3"/>
        <v/>
      </c>
      <c r="I95" s="23" t="str">
        <f>IF(NOT(ISBLANK(Curs!C99)),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10"/>
      <c r="G96" s="10"/>
      <c r="H96" s="24" t="str">
        <f t="shared" si="3"/>
        <v/>
      </c>
      <c r="I96" s="23" t="str">
        <f>IF(NOT(ISBLANK(Curs!C100)),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10"/>
      <c r="G97" s="10"/>
      <c r="H97" s="24" t="str">
        <f t="shared" si="3"/>
        <v/>
      </c>
      <c r="I97" s="23" t="str">
        <f>IF(NOT(ISBLANK(Curs!C101)),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10"/>
      <c r="G98" s="10"/>
      <c r="H98" s="24" t="str">
        <f t="shared" si="3"/>
        <v/>
      </c>
      <c r="I98" s="23" t="str">
        <f>IF(NOT(ISBLANK(Curs!C102)),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10"/>
      <c r="G99" s="10"/>
      <c r="H99" s="24" t="str">
        <f t="shared" si="3"/>
        <v/>
      </c>
      <c r="I99" s="23" t="str">
        <f>IF(NOT(ISBLANK(Curs!C103)),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10"/>
      <c r="G100" s="10"/>
      <c r="H100" s="24" t="str">
        <f t="shared" si="3"/>
        <v/>
      </c>
      <c r="I100" s="23" t="str">
        <f>IF(NOT(ISBLANK(Curs!C104)),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10"/>
      <c r="G101" s="10"/>
      <c r="H101" s="24" t="str">
        <f t="shared" si="3"/>
        <v/>
      </c>
      <c r="I101" s="23" t="str">
        <f>IF(NOT(ISBLANK(Curs!C105)),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  <row r="102" spans="1:9" x14ac:dyDescent="0.35">
      <c r="H102" s="24" t="str">
        <f t="shared" si="3"/>
        <v/>
      </c>
    </row>
    <row r="103" spans="1:9" x14ac:dyDescent="0.35">
      <c r="H103" s="24" t="str">
        <f t="shared" si="3"/>
        <v/>
      </c>
    </row>
    <row r="104" spans="1:9" x14ac:dyDescent="0.35">
      <c r="H104" s="24" t="str">
        <f t="shared" si="3"/>
        <v/>
      </c>
    </row>
    <row r="105" spans="1:9" x14ac:dyDescent="0.35">
      <c r="H105" s="24" t="str">
        <f t="shared" si="3"/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F14B-D708-4488-80F9-57D18E977A83}">
  <dimension ref="A1:T105"/>
  <sheetViews>
    <sheetView zoomScale="85" zoomScaleNormal="85" workbookViewId="0">
      <selection activeCell="I2" sqref="I2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69</v>
      </c>
      <c r="D1" s="21" t="s">
        <v>36</v>
      </c>
      <c r="E1" s="21" t="s">
        <v>37</v>
      </c>
      <c r="F1" s="21" t="s">
        <v>38</v>
      </c>
      <c r="G1" s="21" t="s">
        <v>39</v>
      </c>
      <c r="H1" s="25" t="s">
        <v>34</v>
      </c>
      <c r="I1" s="5" t="s">
        <v>29</v>
      </c>
      <c r="J1" s="6" t="s">
        <v>30</v>
      </c>
      <c r="K1" s="7"/>
      <c r="L1" s="6"/>
      <c r="M1" s="207" t="s">
        <v>67</v>
      </c>
      <c r="N1" s="207"/>
      <c r="O1" s="8"/>
      <c r="P1" s="9"/>
      <c r="Q1" s="9"/>
      <c r="R1" s="9"/>
      <c r="S1" s="9"/>
      <c r="T1" s="9"/>
    </row>
    <row r="2" spans="1:20" x14ac:dyDescent="0.35">
      <c r="A2" s="30">
        <f>IF(NOT(ISBLANK(Curs!B6)),Curs!B6,"")</f>
        <v>1</v>
      </c>
      <c r="B2" s="31" t="str">
        <f>IF(AND(NOT(ISBLANK(Curs!C6)),OR(MAX(Curs!Y6:Z6)&lt;5,MAX(Curs!Y6:Z6)=1)),Curs!C6,"")</f>
        <v>Nume, Prenume</v>
      </c>
      <c r="C2" s="10"/>
      <c r="D2" s="10"/>
      <c r="E2" s="10"/>
      <c r="F2" s="10"/>
      <c r="G2" s="10"/>
      <c r="H2" s="24">
        <f>IF(B2="","",ROUND(SUM(C2:G2),0))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IF(AND(H2&gt;=$J$11,H2&lt;=$K$11),$L$11)))))))))))</f>
        <v>n/p</v>
      </c>
      <c r="J2" s="6" t="s">
        <v>32</v>
      </c>
      <c r="K2" s="6"/>
      <c r="L2" s="12" t="s">
        <v>29</v>
      </c>
      <c r="M2" s="27" t="s">
        <v>29</v>
      </c>
      <c r="N2" s="27" t="s">
        <v>31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IF(NOT(ISBLANK(Curs!B7)),Curs!B7,"")</f>
        <v/>
      </c>
      <c r="B3" s="31" t="str">
        <f>IF(AND(NOT(ISBLANK(Curs!C7)),OR(MAX(Curs!Y7:Z7)&lt;5,MAX(Curs!Y7:Z7)=1)),Curs!C7,"")</f>
        <v/>
      </c>
      <c r="C3" s="10"/>
      <c r="D3" s="10"/>
      <c r="E3" s="10"/>
      <c r="F3" s="10"/>
      <c r="G3" s="10"/>
      <c r="H3" s="24" t="str">
        <f t="shared" ref="H3:H66" si="0">IF(B3="","",ROUND(SUM(C3:G3),0))</f>
        <v/>
      </c>
      <c r="I3" s="23" t="str">
        <f t="shared" ref="I3:I66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IF(NOT(ISBLANK(Curs!B8)),Curs!B8,"")</f>
        <v/>
      </c>
      <c r="B4" s="31" t="str">
        <f>IF(AND(NOT(ISBLANK(Curs!C8)),OR(MAX(Curs!Y8:Z8)&lt;5,MAX(Curs!Y8:Z8)=1)),Curs!C8,"")</f>
        <v/>
      </c>
      <c r="C4" s="10"/>
      <c r="D4" s="10"/>
      <c r="E4" s="10"/>
      <c r="F4" s="10"/>
      <c r="G4" s="10"/>
      <c r="H4" s="24" t="str">
        <f t="shared" si="0"/>
        <v/>
      </c>
      <c r="I4" s="23" t="str">
        <f t="shared" si="1"/>
        <v/>
      </c>
      <c r="J4" s="22">
        <v>4</v>
      </c>
      <c r="K4" s="22">
        <v>5</v>
      </c>
      <c r="L4" s="12">
        <v>3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IF(NOT(ISBLANK(Curs!B9)),Curs!B9,"")</f>
        <v/>
      </c>
      <c r="B5" s="31" t="str">
        <f>IF(AND(NOT(ISBLANK(Curs!C9)),OR(MAX(Curs!Y9:Z9)&lt;5,MAX(Curs!Y9:Z9)=1)),Curs!C9,"")</f>
        <v/>
      </c>
      <c r="C5" s="10"/>
      <c r="D5" s="10"/>
      <c r="E5" s="10"/>
      <c r="F5" s="10"/>
      <c r="G5" s="10"/>
      <c r="H5" s="24" t="str">
        <f t="shared" si="0"/>
        <v/>
      </c>
      <c r="I5" s="23" t="str">
        <f t="shared" si="1"/>
        <v/>
      </c>
      <c r="J5" s="22">
        <v>6</v>
      </c>
      <c r="K5" s="22">
        <v>9</v>
      </c>
      <c r="L5" s="12">
        <v>4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IF(NOT(ISBLANK(Curs!B10)),Curs!B10,"")</f>
        <v/>
      </c>
      <c r="B6" s="31" t="str">
        <f>IF(AND(NOT(ISBLANK(Curs!C10)),OR(MAX(Curs!Y10:Z10)&lt;5,MAX(Curs!Y10:Z10)=1)),Curs!C10,"")</f>
        <v/>
      </c>
      <c r="C6" s="10"/>
      <c r="D6" s="10"/>
      <c r="E6" s="10"/>
      <c r="F6" s="10"/>
      <c r="G6" s="10"/>
      <c r="H6" s="24" t="str">
        <f t="shared" si="0"/>
        <v/>
      </c>
      <c r="I6" s="23" t="str">
        <f t="shared" si="1"/>
        <v/>
      </c>
      <c r="J6" s="22">
        <v>10</v>
      </c>
      <c r="K6" s="22">
        <v>13</v>
      </c>
      <c r="L6" s="12">
        <v>5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IF(NOT(ISBLANK(Curs!B11)),Curs!B11,"")</f>
        <v/>
      </c>
      <c r="B7" s="31" t="str">
        <f>IF(AND(NOT(ISBLANK(Curs!C11)),OR(MAX(Curs!Y11:Z11)&lt;5,MAX(Curs!Y11:Z11)=1)),Curs!C11,"")</f>
        <v/>
      </c>
      <c r="C7" s="10"/>
      <c r="D7" s="10"/>
      <c r="E7" s="10"/>
      <c r="F7" s="10"/>
      <c r="G7" s="10"/>
      <c r="H7" s="24" t="str">
        <f t="shared" si="0"/>
        <v/>
      </c>
      <c r="I7" s="23" t="str">
        <f t="shared" si="1"/>
        <v/>
      </c>
      <c r="J7" s="22">
        <v>14</v>
      </c>
      <c r="K7" s="22">
        <v>18</v>
      </c>
      <c r="L7" s="12">
        <v>6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IF(NOT(ISBLANK(Curs!B12)),Curs!B12,"")</f>
        <v/>
      </c>
      <c r="B8" s="31" t="str">
        <f>IF(AND(NOT(ISBLANK(Curs!C12)),OR(MAX(Curs!Y12:Z12)&lt;5,MAX(Curs!Y12:Z12)=1)),Curs!C12,"")</f>
        <v/>
      </c>
      <c r="C8" s="10"/>
      <c r="D8" s="10"/>
      <c r="E8" s="10"/>
      <c r="F8" s="10"/>
      <c r="G8" s="10"/>
      <c r="H8" s="24" t="str">
        <f t="shared" si="0"/>
        <v/>
      </c>
      <c r="I8" s="23" t="str">
        <f t="shared" si="1"/>
        <v/>
      </c>
      <c r="J8" s="22">
        <v>19</v>
      </c>
      <c r="K8" s="22">
        <v>22</v>
      </c>
      <c r="L8" s="12">
        <v>7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IF(NOT(ISBLANK(Curs!B13)),Curs!B13,"")</f>
        <v/>
      </c>
      <c r="B9" s="31" t="str">
        <f>IF(AND(NOT(ISBLANK(Curs!C13)),OR(MAX(Curs!Y13:Z13)&lt;5,MAX(Curs!Y13:Z13)=1)),Curs!C13,"")</f>
        <v/>
      </c>
      <c r="C9" s="10"/>
      <c r="D9" s="10"/>
      <c r="E9" s="10"/>
      <c r="F9" s="10"/>
      <c r="G9" s="10"/>
      <c r="H9" s="24" t="str">
        <f t="shared" si="0"/>
        <v/>
      </c>
      <c r="I9" s="23" t="str">
        <f t="shared" si="1"/>
        <v/>
      </c>
      <c r="J9" s="22">
        <v>23</v>
      </c>
      <c r="K9" s="22">
        <v>26</v>
      </c>
      <c r="L9" s="12">
        <v>8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IF(NOT(ISBLANK(Curs!B14)),Curs!B14,"")</f>
        <v/>
      </c>
      <c r="B10" s="31" t="str">
        <f>IF(AND(NOT(ISBLANK(Curs!C14)),OR(MAX(Curs!Y14:Z14)&lt;5,MAX(Curs!Y14:Z14)=1)),Curs!C14,"")</f>
        <v/>
      </c>
      <c r="C10" s="10"/>
      <c r="D10" s="10"/>
      <c r="E10" s="10"/>
      <c r="F10" s="10"/>
      <c r="G10" s="10"/>
      <c r="H10" s="24" t="str">
        <f t="shared" si="0"/>
        <v/>
      </c>
      <c r="I10" s="23" t="str">
        <f t="shared" si="1"/>
        <v/>
      </c>
      <c r="J10" s="22">
        <v>27</v>
      </c>
      <c r="K10" s="22">
        <v>28</v>
      </c>
      <c r="L10" s="12">
        <v>9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IF(NOT(ISBLANK(Curs!B15)),Curs!B15,"")</f>
        <v/>
      </c>
      <c r="B11" s="31" t="str">
        <f>IF(AND(NOT(ISBLANK(Curs!C15)),OR(MAX(Curs!Y15:Z15)&lt;5,MAX(Curs!Y15:Z15)=1)),Curs!C15,"")</f>
        <v/>
      </c>
      <c r="C11" s="10"/>
      <c r="D11" s="10"/>
      <c r="E11" s="10"/>
      <c r="F11" s="10"/>
      <c r="G11" s="10"/>
      <c r="H11" s="24" t="str">
        <f t="shared" si="0"/>
        <v/>
      </c>
      <c r="I11" s="23" t="str">
        <f t="shared" si="1"/>
        <v/>
      </c>
      <c r="J11" s="22">
        <v>29</v>
      </c>
      <c r="K11" s="22">
        <v>30</v>
      </c>
      <c r="L11" s="12">
        <v>10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IF(NOT(ISBLANK(Curs!B16)),Curs!B16,"")</f>
        <v/>
      </c>
      <c r="B12" s="31" t="str">
        <f>IF(AND(NOT(ISBLANK(Curs!C16)),OR(MAX(Curs!Y16:Z16)&lt;5,MAX(Curs!Y16:Z16)=1)),Curs!C16,"")</f>
        <v/>
      </c>
      <c r="C12" s="10"/>
      <c r="D12" s="10"/>
      <c r="E12" s="10"/>
      <c r="F12" s="10"/>
      <c r="G12" s="10"/>
      <c r="H12" s="24" t="str">
        <f t="shared" si="0"/>
        <v/>
      </c>
      <c r="I12" s="23" t="str">
        <f t="shared" si="1"/>
        <v/>
      </c>
      <c r="J12" s="22"/>
      <c r="K12" s="22"/>
      <c r="L12" s="12"/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IF(NOT(ISBLANK(Curs!B17)),Curs!B17,"")</f>
        <v/>
      </c>
      <c r="B13" s="31" t="str">
        <f>IF(AND(NOT(ISBLANK(Curs!C17)),OR(MAX(Curs!Y17:Z17)&lt;5,MAX(Curs!Y17:Z17)=1)),Curs!C17,"")</f>
        <v/>
      </c>
      <c r="C13" s="10"/>
      <c r="D13" s="10"/>
      <c r="E13" s="10"/>
      <c r="F13" s="10"/>
      <c r="G13" s="10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33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IF(NOT(ISBLANK(Curs!B18)),Curs!B18,"")</f>
        <v/>
      </c>
      <c r="B14" s="31" t="str">
        <f>IF(AND(NOT(ISBLANK(Curs!C18)),OR(MAX(Curs!Y18:Z18)&lt;5,MAX(Curs!Y18:Z18)=1)),Curs!C18,"")</f>
        <v/>
      </c>
      <c r="C14" s="10"/>
      <c r="D14" s="10"/>
      <c r="E14" s="10"/>
      <c r="F14" s="10"/>
      <c r="G14" s="10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IF(NOT(ISBLANK(Curs!B19)),Curs!B19,"")</f>
        <v/>
      </c>
      <c r="B15" s="31" t="str">
        <f>IF(AND(NOT(ISBLANK(Curs!C19)),OR(MAX(Curs!Y19:Z19)&lt;5,MAX(Curs!Y19:Z19)=1)),Curs!C19,"")</f>
        <v/>
      </c>
      <c r="C15" s="10"/>
      <c r="D15" s="10"/>
      <c r="E15" s="10"/>
      <c r="F15" s="10"/>
      <c r="G15" s="10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x14ac:dyDescent="0.35">
      <c r="A16" s="30" t="str">
        <f>IF(NOT(ISBLANK(Curs!B20)),Curs!B20,"")</f>
        <v/>
      </c>
      <c r="B16" s="31" t="str">
        <f>IF(AND(NOT(ISBLANK(Curs!C20)),OR(MAX(Curs!Y20:Z20)&lt;5,MAX(Curs!Y20:Z20)=1)),Curs!C20,"")</f>
        <v/>
      </c>
      <c r="C16" s="10"/>
      <c r="D16" s="10"/>
      <c r="E16" s="10"/>
      <c r="F16" s="10"/>
      <c r="G16" s="10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x14ac:dyDescent="0.35">
      <c r="A17" s="30" t="str">
        <f>IF(NOT(ISBLANK(Curs!B21)),Curs!B21,"")</f>
        <v/>
      </c>
      <c r="B17" s="31" t="str">
        <f>IF(AND(NOT(ISBLANK(Curs!C21)),OR(MAX(Curs!Y21:Z21)&lt;5,MAX(Curs!Y21:Z21)=1)),Curs!C21,"")</f>
        <v/>
      </c>
      <c r="C17" s="10"/>
      <c r="D17" s="10"/>
      <c r="E17" s="10"/>
      <c r="F17" s="10"/>
      <c r="G17" s="10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x14ac:dyDescent="0.35">
      <c r="A18" s="30" t="str">
        <f>IF(NOT(ISBLANK(Curs!B22)),Curs!B22,"")</f>
        <v/>
      </c>
      <c r="B18" s="31" t="str">
        <f>IF(AND(NOT(ISBLANK(Curs!C22)),OR(MAX(Curs!Y22:Z22)&lt;5,MAX(Curs!Y22:Z22)=1)),Curs!C22,"")</f>
        <v/>
      </c>
      <c r="C18" s="10"/>
      <c r="D18" s="10"/>
      <c r="E18" s="10"/>
      <c r="F18" s="10"/>
      <c r="G18" s="10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x14ac:dyDescent="0.35">
      <c r="A19" s="30" t="str">
        <f>IF(NOT(ISBLANK(Curs!B23)),Curs!B23,"")</f>
        <v/>
      </c>
      <c r="B19" s="31" t="str">
        <f>IF(AND(NOT(ISBLANK(Curs!C23)),OR(MAX(Curs!Y23:Z23)&lt;5,MAX(Curs!Y23:Z23)=1)),Curs!C23,"")</f>
        <v/>
      </c>
      <c r="C19" s="10"/>
      <c r="D19" s="10"/>
      <c r="E19" s="10"/>
      <c r="F19" s="10"/>
      <c r="G19" s="10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x14ac:dyDescent="0.35">
      <c r="A20" s="30" t="str">
        <f>IF(NOT(ISBLANK(Curs!B24)),Curs!B24,"")</f>
        <v/>
      </c>
      <c r="B20" s="31" t="str">
        <f>IF(AND(NOT(ISBLANK(Curs!C24)),OR(MAX(Curs!Y24:Z24)&lt;5,MAX(Curs!Y24:Z24)=1)),Curs!C24,"")</f>
        <v/>
      </c>
      <c r="C20" s="10"/>
      <c r="D20" s="10"/>
      <c r="E20" s="10"/>
      <c r="F20" s="10"/>
      <c r="G20" s="10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x14ac:dyDescent="0.35">
      <c r="A21" s="30" t="str">
        <f>IF(NOT(ISBLANK(Curs!B25)),Curs!B25,"")</f>
        <v/>
      </c>
      <c r="B21" s="31" t="str">
        <f>IF(AND(NOT(ISBLANK(Curs!C25)),OR(MAX(Curs!Y25:Z25)&lt;5,MAX(Curs!Y25:Z25)=1)),Curs!C25,"")</f>
        <v/>
      </c>
      <c r="C21" s="10"/>
      <c r="D21" s="10"/>
      <c r="E21" s="10"/>
      <c r="F21" s="10"/>
      <c r="G21" s="10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x14ac:dyDescent="0.35">
      <c r="A22" s="30" t="str">
        <f>IF(NOT(ISBLANK(Curs!B26)),Curs!B26,"")</f>
        <v/>
      </c>
      <c r="B22" s="31" t="str">
        <f>IF(AND(NOT(ISBLANK(Curs!C26)),OR(MAX(Curs!Y26:Z26)&lt;5,MAX(Curs!Y26:Z26)=1)),Curs!C26,"")</f>
        <v/>
      </c>
      <c r="C22" s="10"/>
      <c r="D22" s="10"/>
      <c r="E22" s="10"/>
      <c r="F22" s="10"/>
      <c r="G22" s="10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x14ac:dyDescent="0.35">
      <c r="A23" s="30" t="str">
        <f>IF(NOT(ISBLANK(Curs!B27)),Curs!B27,"")</f>
        <v/>
      </c>
      <c r="B23" s="31" t="str">
        <f>IF(AND(NOT(ISBLANK(Curs!C27)),OR(MAX(Curs!Y27:Z27)&lt;5,MAX(Curs!Y27:Z27)=1)),Curs!C27,"")</f>
        <v/>
      </c>
      <c r="C23" s="10"/>
      <c r="D23" s="10"/>
      <c r="E23" s="10"/>
      <c r="F23" s="10"/>
      <c r="G23" s="10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x14ac:dyDescent="0.35">
      <c r="A24" s="30" t="str">
        <f>IF(NOT(ISBLANK(Curs!B28)),Curs!B28,"")</f>
        <v/>
      </c>
      <c r="B24" s="31" t="str">
        <f>IF(AND(NOT(ISBLANK(Curs!C28)),OR(MAX(Curs!Y28:Z28)&lt;5,MAX(Curs!Y28:Z28)=1)),Curs!C28,"")</f>
        <v/>
      </c>
      <c r="C24" s="10"/>
      <c r="D24" s="10"/>
      <c r="E24" s="10"/>
      <c r="F24" s="10"/>
      <c r="G24" s="10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x14ac:dyDescent="0.35">
      <c r="A25" s="30" t="str">
        <f>IF(NOT(ISBLANK(Curs!B29)),Curs!B29,"")</f>
        <v/>
      </c>
      <c r="B25" s="31" t="str">
        <f>IF(AND(NOT(ISBLANK(Curs!C29)),OR(MAX(Curs!Y29:Z29)&lt;5,MAX(Curs!Y29:Z29)=1)),Curs!C29,"")</f>
        <v/>
      </c>
      <c r="C25" s="10"/>
      <c r="D25" s="10"/>
      <c r="E25" s="10"/>
      <c r="F25" s="10"/>
      <c r="G25" s="10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x14ac:dyDescent="0.35">
      <c r="A26" s="30" t="str">
        <f>IF(NOT(ISBLANK(Curs!B30)),Curs!B30,"")</f>
        <v/>
      </c>
      <c r="B26" s="31" t="str">
        <f>IF(AND(NOT(ISBLANK(Curs!C30)),OR(MAX(Curs!Y30:Z30)&lt;5,MAX(Curs!Y30:Z30)=1)),Curs!C30,"")</f>
        <v/>
      </c>
      <c r="C26" s="10"/>
      <c r="D26" s="10"/>
      <c r="E26" s="10"/>
      <c r="F26" s="10"/>
      <c r="G26" s="10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x14ac:dyDescent="0.35">
      <c r="A27" s="30" t="str">
        <f>IF(NOT(ISBLANK(Curs!B31)),Curs!B31,"")</f>
        <v/>
      </c>
      <c r="B27" s="31" t="str">
        <f>IF(AND(NOT(ISBLANK(Curs!C31)),OR(MAX(Curs!Y31:Z31)&lt;5,MAX(Curs!Y31:Z31)=1)),Curs!C31,"")</f>
        <v/>
      </c>
      <c r="C27" s="10"/>
      <c r="D27" s="10"/>
      <c r="E27" s="10"/>
      <c r="F27" s="10"/>
      <c r="G27" s="10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IF(NOT(ISBLANK(Curs!B32)),Curs!B32,"")</f>
        <v/>
      </c>
      <c r="B28" s="31" t="str">
        <f>IF(AND(NOT(ISBLANK(Curs!C32)),OR(MAX(Curs!Y32:Z32)&lt;5,MAX(Curs!Y32:Z32)=1)),Curs!C32,"")</f>
        <v/>
      </c>
      <c r="C28" s="10"/>
      <c r="D28" s="10"/>
      <c r="E28" s="10"/>
      <c r="F28" s="10"/>
      <c r="G28" s="10"/>
      <c r="H28" s="24" t="str">
        <f t="shared" si="0"/>
        <v/>
      </c>
      <c r="I28" s="23" t="str">
        <f t="shared" si="1"/>
        <v/>
      </c>
      <c r="J28"/>
    </row>
    <row r="29" spans="1:18" x14ac:dyDescent="0.35">
      <c r="A29" s="30" t="str">
        <f>IF(NOT(ISBLANK(Curs!B33)),Curs!B33,"")</f>
        <v/>
      </c>
      <c r="B29" s="31" t="str">
        <f>IF(AND(NOT(ISBLANK(Curs!C33)),OR(MAX(Curs!Y33:Z33)&lt;5,MAX(Curs!Y33:Z33)=1)),Curs!C33,"")</f>
        <v/>
      </c>
      <c r="C29" s="10"/>
      <c r="D29" s="10"/>
      <c r="E29" s="10"/>
      <c r="F29" s="10"/>
      <c r="G29" s="10"/>
      <c r="H29" s="24" t="str">
        <f t="shared" si="0"/>
        <v/>
      </c>
      <c r="I29" s="23" t="str">
        <f t="shared" si="1"/>
        <v/>
      </c>
      <c r="J29"/>
    </row>
    <row r="30" spans="1:18" x14ac:dyDescent="0.35">
      <c r="A30" s="30" t="str">
        <f>IF(NOT(ISBLANK(Curs!B34)),Curs!B34,"")</f>
        <v/>
      </c>
      <c r="B30" s="31" t="str">
        <f>IF(AND(NOT(ISBLANK(Curs!C34)),OR(MAX(Curs!Y34:Z34)&lt;5,MAX(Curs!Y34:Z34)=1)),Curs!C34,"")</f>
        <v/>
      </c>
      <c r="C30" s="10"/>
      <c r="D30" s="10"/>
      <c r="E30" s="10"/>
      <c r="F30" s="10"/>
      <c r="G30" s="10"/>
      <c r="H30" s="24" t="str">
        <f t="shared" si="0"/>
        <v/>
      </c>
      <c r="I30" s="23" t="str">
        <f t="shared" si="1"/>
        <v/>
      </c>
      <c r="J30"/>
    </row>
    <row r="31" spans="1:18" x14ac:dyDescent="0.35">
      <c r="A31" s="30" t="str">
        <f>IF(NOT(ISBLANK(Curs!B35)),Curs!B35,"")</f>
        <v/>
      </c>
      <c r="B31" s="31" t="str">
        <f>IF(AND(NOT(ISBLANK(Curs!C35)),OR(MAX(Curs!Y35:Z35)&lt;5,MAX(Curs!Y35:Z35)=1)),Curs!C35,"")</f>
        <v/>
      </c>
      <c r="C31" s="10"/>
      <c r="D31" s="10"/>
      <c r="E31" s="10"/>
      <c r="F31" s="10"/>
      <c r="G31" s="10"/>
      <c r="H31" s="24" t="str">
        <f t="shared" si="0"/>
        <v/>
      </c>
      <c r="I31" s="23" t="str">
        <f t="shared" si="1"/>
        <v/>
      </c>
      <c r="J31"/>
    </row>
    <row r="32" spans="1:18" x14ac:dyDescent="0.35">
      <c r="A32" s="30" t="str">
        <f>IF(NOT(ISBLANK(Curs!B36)),Curs!B36,"")</f>
        <v/>
      </c>
      <c r="B32" s="31" t="str">
        <f>IF(AND(NOT(ISBLANK(Curs!C36)),OR(MAX(Curs!Y36:Z36)&lt;5,MAX(Curs!Y36:Z36)=1)),Curs!C36,"")</f>
        <v/>
      </c>
      <c r="C32" s="10"/>
      <c r="D32" s="10"/>
      <c r="E32" s="10"/>
      <c r="F32" s="10"/>
      <c r="G32" s="10"/>
      <c r="H32" s="24" t="str">
        <f t="shared" si="0"/>
        <v/>
      </c>
      <c r="I32" s="23" t="str">
        <f t="shared" si="1"/>
        <v/>
      </c>
      <c r="J32"/>
    </row>
    <row r="33" spans="1:10" x14ac:dyDescent="0.35">
      <c r="A33" s="30" t="str">
        <f>IF(NOT(ISBLANK(Curs!B37)),Curs!B37,"")</f>
        <v/>
      </c>
      <c r="B33" s="31" t="str">
        <f>IF(AND(NOT(ISBLANK(Curs!C37)),OR(MAX(Curs!Y37:Z37)&lt;5,MAX(Curs!Y37:Z37)=1)),Curs!C37,"")</f>
        <v/>
      </c>
      <c r="C33" s="10"/>
      <c r="D33" s="10"/>
      <c r="E33" s="10"/>
      <c r="F33" s="10"/>
      <c r="G33" s="10"/>
      <c r="H33" s="24" t="str">
        <f t="shared" si="0"/>
        <v/>
      </c>
      <c r="I33" s="23" t="str">
        <f t="shared" si="1"/>
        <v/>
      </c>
      <c r="J33"/>
    </row>
    <row r="34" spans="1:10" x14ac:dyDescent="0.35">
      <c r="A34" s="30" t="str">
        <f>IF(NOT(ISBLANK(Curs!B38)),Curs!B38,"")</f>
        <v/>
      </c>
      <c r="B34" s="31" t="str">
        <f>IF(AND(NOT(ISBLANK(Curs!C38)),OR(MAX(Curs!Y38:Z38)&lt;5,MAX(Curs!Y38:Z38)=1)),Curs!C38,"")</f>
        <v/>
      </c>
      <c r="C34" s="10"/>
      <c r="D34" s="10"/>
      <c r="E34" s="10"/>
      <c r="F34" s="10"/>
      <c r="G34" s="10"/>
      <c r="H34" s="24" t="str">
        <f t="shared" si="0"/>
        <v/>
      </c>
      <c r="I34" s="23" t="str">
        <f t="shared" si="1"/>
        <v/>
      </c>
      <c r="J34"/>
    </row>
    <row r="35" spans="1:10" x14ac:dyDescent="0.35">
      <c r="A35" s="30" t="str">
        <f>IF(NOT(ISBLANK(Curs!B39)),Curs!B39,"")</f>
        <v/>
      </c>
      <c r="B35" s="31" t="str">
        <f>IF(AND(NOT(ISBLANK(Curs!C39)),OR(MAX(Curs!Y39:Z39)&lt;5,MAX(Curs!Y39:Z39)=1)),Curs!C39,"")</f>
        <v/>
      </c>
      <c r="C35" s="10"/>
      <c r="D35" s="10"/>
      <c r="E35" s="10"/>
      <c r="F35" s="10"/>
      <c r="G35" s="10"/>
      <c r="H35" s="24" t="str">
        <f t="shared" si="0"/>
        <v/>
      </c>
      <c r="I35" s="23" t="str">
        <f t="shared" si="1"/>
        <v/>
      </c>
      <c r="J35"/>
    </row>
    <row r="36" spans="1:10" x14ac:dyDescent="0.35">
      <c r="A36" s="30" t="str">
        <f>IF(NOT(ISBLANK(Curs!B40)),Curs!B40,"")</f>
        <v/>
      </c>
      <c r="B36" s="31" t="str">
        <f>IF(AND(NOT(ISBLANK(Curs!C40)),OR(MAX(Curs!Y40:Z40)&lt;5,MAX(Curs!Y40:Z40)=1)),Curs!C40,"")</f>
        <v/>
      </c>
      <c r="C36" s="10"/>
      <c r="D36" s="10"/>
      <c r="E36" s="10"/>
      <c r="F36" s="10"/>
      <c r="G36" s="10"/>
      <c r="H36" s="24" t="str">
        <f t="shared" si="0"/>
        <v/>
      </c>
      <c r="I36" s="23" t="str">
        <f t="shared" si="1"/>
        <v/>
      </c>
      <c r="J36"/>
    </row>
    <row r="37" spans="1:10" x14ac:dyDescent="0.35">
      <c r="A37" s="30" t="str">
        <f>IF(NOT(ISBLANK(Curs!B41)),Curs!B41,"")</f>
        <v/>
      </c>
      <c r="B37" s="31" t="str">
        <f>IF(AND(NOT(ISBLANK(Curs!C41)),OR(MAX(Curs!Y41:Z41)&lt;5,MAX(Curs!Y41:Z41)=1)),Curs!C41,"")</f>
        <v/>
      </c>
      <c r="C37" s="10"/>
      <c r="D37" s="10"/>
      <c r="E37" s="10"/>
      <c r="F37" s="10"/>
      <c r="G37" s="10"/>
      <c r="H37" s="24" t="str">
        <f t="shared" si="0"/>
        <v/>
      </c>
      <c r="I37" s="23" t="str">
        <f t="shared" si="1"/>
        <v/>
      </c>
    </row>
    <row r="38" spans="1:10" x14ac:dyDescent="0.35">
      <c r="A38" s="30" t="str">
        <f>IF(NOT(ISBLANK(Curs!B42)),Curs!B42,"")</f>
        <v/>
      </c>
      <c r="B38" s="31" t="str">
        <f>IF(AND(NOT(ISBLANK(Curs!C42)),OR(MAX(Curs!Y42:Z42)&lt;5,MAX(Curs!Y42:Z42)=1)),Curs!C42,"")</f>
        <v/>
      </c>
      <c r="C38" s="10"/>
      <c r="D38" s="10"/>
      <c r="E38" s="10"/>
      <c r="F38" s="10"/>
      <c r="G38" s="10"/>
      <c r="H38" s="24" t="str">
        <f t="shared" si="0"/>
        <v/>
      </c>
      <c r="I38" s="23" t="str">
        <f t="shared" si="1"/>
        <v/>
      </c>
    </row>
    <row r="39" spans="1:10" x14ac:dyDescent="0.35">
      <c r="A39" s="30" t="str">
        <f>IF(NOT(ISBLANK(Curs!B43)),Curs!B43,"")</f>
        <v/>
      </c>
      <c r="B39" s="31" t="str">
        <f>IF(AND(NOT(ISBLANK(Curs!C43)),OR(MAX(Curs!Y43:Z43)&lt;5,MAX(Curs!Y43:Z43)=1)),Curs!C43,"")</f>
        <v/>
      </c>
      <c r="C39" s="10"/>
      <c r="D39" s="10"/>
      <c r="E39" s="10"/>
      <c r="F39" s="10"/>
      <c r="G39" s="10"/>
      <c r="H39" s="24" t="str">
        <f t="shared" si="0"/>
        <v/>
      </c>
      <c r="I39" s="23" t="str">
        <f t="shared" si="1"/>
        <v/>
      </c>
    </row>
    <row r="40" spans="1:10" x14ac:dyDescent="0.35">
      <c r="A40" s="30" t="str">
        <f>IF(NOT(ISBLANK(Curs!B44)),Curs!B44,"")</f>
        <v/>
      </c>
      <c r="B40" s="31" t="str">
        <f>IF(AND(NOT(ISBLANK(Curs!C44)),OR(MAX(Curs!Y44:Z44)&lt;5,MAX(Curs!Y44:Z44)=1)),Curs!C44,"")</f>
        <v/>
      </c>
      <c r="C40" s="10"/>
      <c r="D40" s="10"/>
      <c r="E40" s="10"/>
      <c r="F40" s="10"/>
      <c r="G40" s="10"/>
      <c r="H40" s="24" t="str">
        <f t="shared" si="0"/>
        <v/>
      </c>
      <c r="I40" s="23" t="str">
        <f t="shared" si="1"/>
        <v/>
      </c>
    </row>
    <row r="41" spans="1:10" x14ac:dyDescent="0.35">
      <c r="A41" s="30" t="str">
        <f>IF(NOT(ISBLANK(Curs!B45)),Curs!B45,"")</f>
        <v/>
      </c>
      <c r="B41" s="31" t="str">
        <f>IF(AND(NOT(ISBLANK(Curs!C45)),OR(MAX(Curs!Y45:Z45)&lt;5,MAX(Curs!Y45:Z45)=1)),Curs!C45,"")</f>
        <v/>
      </c>
      <c r="C41" s="10"/>
      <c r="D41" s="10"/>
      <c r="E41" s="10"/>
      <c r="F41" s="10"/>
      <c r="G41" s="10"/>
      <c r="H41" s="24" t="str">
        <f t="shared" si="0"/>
        <v/>
      </c>
      <c r="I41" s="23" t="str">
        <f t="shared" si="1"/>
        <v/>
      </c>
    </row>
    <row r="42" spans="1:10" x14ac:dyDescent="0.35">
      <c r="A42" s="30" t="str">
        <f>IF(NOT(ISBLANK(Curs!B46)),Curs!B46,"")</f>
        <v/>
      </c>
      <c r="B42" s="31" t="str">
        <f>IF(AND(NOT(ISBLANK(Curs!C46)),OR(MAX(Curs!Y46:Z46)&lt;5,MAX(Curs!Y46:Z46)=1)),Curs!C46,"")</f>
        <v/>
      </c>
      <c r="C42" s="10"/>
      <c r="D42" s="10"/>
      <c r="E42" s="10"/>
      <c r="F42" s="10"/>
      <c r="G42" s="10"/>
      <c r="H42" s="24" t="str">
        <f t="shared" si="0"/>
        <v/>
      </c>
      <c r="I42" s="23" t="str">
        <f t="shared" si="1"/>
        <v/>
      </c>
    </row>
    <row r="43" spans="1:10" x14ac:dyDescent="0.35">
      <c r="A43" s="30" t="str">
        <f>IF(NOT(ISBLANK(Curs!B47)),Curs!B47,"")</f>
        <v/>
      </c>
      <c r="B43" s="31" t="str">
        <f>IF(AND(NOT(ISBLANK(Curs!C47)),OR(MAX(Curs!Y47:Z47)&lt;5,MAX(Curs!Y47:Z47)=1)),Curs!C47,"")</f>
        <v/>
      </c>
      <c r="C43" s="10"/>
      <c r="D43" s="10"/>
      <c r="E43" s="10"/>
      <c r="F43" s="10"/>
      <c r="G43" s="10"/>
      <c r="H43" s="24" t="str">
        <f t="shared" si="0"/>
        <v/>
      </c>
      <c r="I43" s="23" t="str">
        <f t="shared" si="1"/>
        <v/>
      </c>
    </row>
    <row r="44" spans="1:10" x14ac:dyDescent="0.35">
      <c r="A44" s="30" t="str">
        <f>IF(NOT(ISBLANK(Curs!B48)),Curs!B48,"")</f>
        <v/>
      </c>
      <c r="B44" s="31" t="str">
        <f>IF(AND(NOT(ISBLANK(Curs!C48)),OR(MAX(Curs!Y48:Z48)&lt;5,MAX(Curs!Y48:Z48)=1)),Curs!C48,"")</f>
        <v/>
      </c>
      <c r="C44" s="10"/>
      <c r="D44" s="10"/>
      <c r="E44" s="10"/>
      <c r="F44" s="10"/>
      <c r="G44" s="10"/>
      <c r="H44" s="24" t="str">
        <f t="shared" si="0"/>
        <v/>
      </c>
      <c r="I44" s="23" t="str">
        <f t="shared" si="1"/>
        <v/>
      </c>
    </row>
    <row r="45" spans="1:10" x14ac:dyDescent="0.35">
      <c r="A45" s="30" t="str">
        <f>IF(NOT(ISBLANK(Curs!B49)),Curs!B49,"")</f>
        <v/>
      </c>
      <c r="B45" s="31" t="str">
        <f>IF(AND(NOT(ISBLANK(Curs!C49)),OR(MAX(Curs!Y49:Z49)&lt;5,MAX(Curs!Y49:Z49)=1)),Curs!C49,"")</f>
        <v/>
      </c>
      <c r="C45" s="10"/>
      <c r="D45" s="10"/>
      <c r="E45" s="10"/>
      <c r="F45" s="10"/>
      <c r="G45" s="10"/>
      <c r="H45" s="24" t="str">
        <f t="shared" si="0"/>
        <v/>
      </c>
      <c r="I45" s="23" t="str">
        <f t="shared" si="1"/>
        <v/>
      </c>
    </row>
    <row r="46" spans="1:10" x14ac:dyDescent="0.35">
      <c r="A46" s="30" t="str">
        <f>IF(NOT(ISBLANK(Curs!B50)),Curs!B50,"")</f>
        <v/>
      </c>
      <c r="B46" s="31" t="str">
        <f>IF(AND(NOT(ISBLANK(Curs!C50)),OR(MAX(Curs!Y50:Z50)&lt;5,MAX(Curs!Y50:Z50)=1)),Curs!C50,"")</f>
        <v/>
      </c>
      <c r="C46" s="10"/>
      <c r="D46" s="10"/>
      <c r="E46" s="10"/>
      <c r="F46" s="10"/>
      <c r="G46" s="10"/>
      <c r="H46" s="24" t="str">
        <f t="shared" si="0"/>
        <v/>
      </c>
      <c r="I46" s="23" t="str">
        <f t="shared" si="1"/>
        <v/>
      </c>
    </row>
    <row r="47" spans="1:10" x14ac:dyDescent="0.35">
      <c r="A47" s="30" t="str">
        <f>IF(NOT(ISBLANK(Curs!B51)),Curs!B51,"")</f>
        <v/>
      </c>
      <c r="B47" s="31" t="str">
        <f>IF(AND(NOT(ISBLANK(Curs!C51)),OR(MAX(Curs!Y51:Z51)&lt;5,MAX(Curs!Y51:Z51)=1)),Curs!C51,"")</f>
        <v/>
      </c>
      <c r="C47" s="10"/>
      <c r="D47" s="10"/>
      <c r="E47" s="10"/>
      <c r="F47" s="10"/>
      <c r="G47" s="10"/>
      <c r="H47" s="24" t="str">
        <f t="shared" si="0"/>
        <v/>
      </c>
      <c r="I47" s="23" t="str">
        <f t="shared" si="1"/>
        <v/>
      </c>
    </row>
    <row r="48" spans="1:10" x14ac:dyDescent="0.35">
      <c r="A48" s="30" t="str">
        <f>IF(NOT(ISBLANK(Curs!B52)),Curs!B52,"")</f>
        <v/>
      </c>
      <c r="B48" s="31" t="str">
        <f>IF(AND(NOT(ISBLANK(Curs!C52)),OR(MAX(Curs!Y52:Z52)&lt;5,MAX(Curs!Y52:Z52)=1)),Curs!C52,"")</f>
        <v/>
      </c>
      <c r="C48" s="10"/>
      <c r="D48" s="10"/>
      <c r="E48" s="10"/>
      <c r="F48" s="10"/>
      <c r="G48" s="10"/>
      <c r="H48" s="24" t="str">
        <f t="shared" si="0"/>
        <v/>
      </c>
      <c r="I48" s="23" t="str">
        <f t="shared" si="1"/>
        <v/>
      </c>
    </row>
    <row r="49" spans="1:9" x14ac:dyDescent="0.35">
      <c r="A49" s="30" t="str">
        <f>IF(NOT(ISBLANK(Curs!B53)),Curs!B53,"")</f>
        <v/>
      </c>
      <c r="B49" s="31" t="str">
        <f>IF(AND(NOT(ISBLANK(Curs!C53)),OR(MAX(Curs!Y53:Z53)&lt;5,MAX(Curs!Y53:Z53)=1)),Curs!C53,"")</f>
        <v/>
      </c>
      <c r="C49" s="10"/>
      <c r="D49" s="10"/>
      <c r="E49" s="10"/>
      <c r="F49" s="10"/>
      <c r="G49" s="10"/>
      <c r="H49" s="24" t="str">
        <f t="shared" si="0"/>
        <v/>
      </c>
      <c r="I49" s="23" t="str">
        <f t="shared" si="1"/>
        <v/>
      </c>
    </row>
    <row r="50" spans="1:9" x14ac:dyDescent="0.35">
      <c r="A50" s="30" t="str">
        <f>IF(NOT(ISBLANK(Curs!B54)),Curs!B54,"")</f>
        <v/>
      </c>
      <c r="B50" s="31" t="str">
        <f>IF(AND(NOT(ISBLANK(Curs!C54)),OR(MAX(Curs!Y54:Z54)&lt;5,MAX(Curs!Y54:Z54)=1)),Curs!C54,"")</f>
        <v/>
      </c>
      <c r="C50" s="10"/>
      <c r="D50" s="10"/>
      <c r="E50" s="10"/>
      <c r="F50" s="10"/>
      <c r="G50" s="10"/>
      <c r="H50" s="24" t="str">
        <f t="shared" si="0"/>
        <v/>
      </c>
      <c r="I50" s="23" t="str">
        <f t="shared" si="1"/>
        <v/>
      </c>
    </row>
    <row r="51" spans="1:9" x14ac:dyDescent="0.35">
      <c r="A51" s="30" t="str">
        <f>IF(NOT(ISBLANK(Curs!B55)),Curs!B55,"")</f>
        <v/>
      </c>
      <c r="B51" s="31" t="str">
        <f>IF(AND(NOT(ISBLANK(Curs!C55)),OR(MAX(Curs!Y55:Z55)&lt;5,MAX(Curs!Y55:Z55)=1)),Curs!C55,"")</f>
        <v/>
      </c>
      <c r="C51" s="10"/>
      <c r="D51" s="10"/>
      <c r="E51" s="10"/>
      <c r="F51" s="10"/>
      <c r="G51" s="10"/>
      <c r="H51" s="24" t="str">
        <f t="shared" si="0"/>
        <v/>
      </c>
      <c r="I51" s="23" t="str">
        <f t="shared" si="1"/>
        <v/>
      </c>
    </row>
    <row r="52" spans="1:9" x14ac:dyDescent="0.35">
      <c r="A52" s="30" t="str">
        <f>IF(NOT(ISBLANK(Curs!B56)),Curs!B56,"")</f>
        <v/>
      </c>
      <c r="B52" s="31" t="str">
        <f>IF(AND(NOT(ISBLANK(Curs!C56)),OR(MAX(Curs!Y56:Z56)&lt;5,MAX(Curs!Y56:Z56)=1)),Curs!C56,"")</f>
        <v/>
      </c>
      <c r="C52" s="10"/>
      <c r="D52" s="10"/>
      <c r="E52" s="10"/>
      <c r="F52" s="10"/>
      <c r="G52" s="10"/>
      <c r="H52" s="24" t="str">
        <f t="shared" si="0"/>
        <v/>
      </c>
      <c r="I52" s="23" t="str">
        <f t="shared" si="1"/>
        <v/>
      </c>
    </row>
    <row r="53" spans="1:9" x14ac:dyDescent="0.35">
      <c r="A53" s="30" t="str">
        <f>IF(NOT(ISBLANK(Curs!B57)),Curs!B57,"")</f>
        <v/>
      </c>
      <c r="B53" s="31" t="str">
        <f>IF(AND(NOT(ISBLANK(Curs!C57)),OR(MAX(Curs!Y57:Z57)&lt;5,MAX(Curs!Y57:Z57)=1)),Curs!C57,"")</f>
        <v/>
      </c>
      <c r="C53" s="10"/>
      <c r="D53" s="10"/>
      <c r="E53" s="10"/>
      <c r="F53" s="10"/>
      <c r="G53" s="10"/>
      <c r="H53" s="24" t="str">
        <f t="shared" si="0"/>
        <v/>
      </c>
      <c r="I53" s="23" t="str">
        <f t="shared" si="1"/>
        <v/>
      </c>
    </row>
    <row r="54" spans="1:9" x14ac:dyDescent="0.35">
      <c r="A54" s="30" t="str">
        <f>IF(NOT(ISBLANK(Curs!B58)),Curs!B58,"")</f>
        <v/>
      </c>
      <c r="B54" s="31" t="str">
        <f>IF(AND(NOT(ISBLANK(Curs!C58)),OR(MAX(Curs!Y58:Z58)&lt;5,MAX(Curs!Y58:Z58)=1)),Curs!C58,"")</f>
        <v/>
      </c>
      <c r="C54" s="10"/>
      <c r="D54" s="10"/>
      <c r="E54" s="10"/>
      <c r="F54" s="10"/>
      <c r="G54" s="10"/>
      <c r="H54" s="24" t="str">
        <f t="shared" si="0"/>
        <v/>
      </c>
      <c r="I54" s="23" t="str">
        <f t="shared" si="1"/>
        <v/>
      </c>
    </row>
    <row r="55" spans="1:9" x14ac:dyDescent="0.35">
      <c r="A55" s="30" t="str">
        <f>IF(NOT(ISBLANK(Curs!B59)),Curs!B59,"")</f>
        <v/>
      </c>
      <c r="B55" s="31" t="str">
        <f>IF(AND(NOT(ISBLANK(Curs!C59)),OR(MAX(Curs!Y59:Z59)&lt;5,MAX(Curs!Y59:Z59)=1)),Curs!C59,"")</f>
        <v/>
      </c>
      <c r="C55" s="10"/>
      <c r="D55" s="10"/>
      <c r="E55" s="10"/>
      <c r="F55" s="10"/>
      <c r="G55" s="10"/>
      <c r="H55" s="24" t="str">
        <f t="shared" si="0"/>
        <v/>
      </c>
      <c r="I55" s="23" t="str">
        <f t="shared" si="1"/>
        <v/>
      </c>
    </row>
    <row r="56" spans="1:9" x14ac:dyDescent="0.35">
      <c r="A56" s="30" t="str">
        <f>IF(NOT(ISBLANK(Curs!B60)),Curs!B60,"")</f>
        <v/>
      </c>
      <c r="B56" s="31" t="str">
        <f>IF(AND(NOT(ISBLANK(Curs!C60)),OR(MAX(Curs!Y60:Z60)&lt;5,MAX(Curs!Y60:Z60)=1)),Curs!C60,"")</f>
        <v/>
      </c>
      <c r="C56" s="10"/>
      <c r="D56" s="10"/>
      <c r="E56" s="10"/>
      <c r="F56" s="10"/>
      <c r="G56" s="10"/>
      <c r="H56" s="24" t="str">
        <f t="shared" si="0"/>
        <v/>
      </c>
      <c r="I56" s="23" t="str">
        <f t="shared" si="1"/>
        <v/>
      </c>
    </row>
    <row r="57" spans="1:9" x14ac:dyDescent="0.35">
      <c r="A57" s="30" t="str">
        <f>IF(NOT(ISBLANK(Curs!B61)),Curs!B61,"")</f>
        <v/>
      </c>
      <c r="B57" s="31" t="str">
        <f>IF(AND(NOT(ISBLANK(Curs!C61)),OR(MAX(Curs!Y61:Z61)&lt;5,MAX(Curs!Y61:Z61)=1)),Curs!C61,"")</f>
        <v/>
      </c>
      <c r="C57" s="10"/>
      <c r="D57" s="10"/>
      <c r="E57" s="10"/>
      <c r="F57" s="10"/>
      <c r="G57" s="10"/>
      <c r="H57" s="24" t="str">
        <f t="shared" si="0"/>
        <v/>
      </c>
      <c r="I57" s="23" t="str">
        <f t="shared" si="1"/>
        <v/>
      </c>
    </row>
    <row r="58" spans="1:9" x14ac:dyDescent="0.35">
      <c r="A58" s="30" t="str">
        <f>IF(NOT(ISBLANK(Curs!B62)),Curs!B62,"")</f>
        <v/>
      </c>
      <c r="B58" s="31" t="str">
        <f>IF(AND(NOT(ISBLANK(Curs!C62)),OR(MAX(Curs!Y62:Z62)&lt;5,MAX(Curs!Y62:Z62)=1)),Curs!C62,"")</f>
        <v/>
      </c>
      <c r="C58" s="10"/>
      <c r="D58" s="10"/>
      <c r="E58" s="10"/>
      <c r="F58" s="10"/>
      <c r="G58" s="10"/>
      <c r="H58" s="24" t="str">
        <f t="shared" si="0"/>
        <v/>
      </c>
      <c r="I58" s="23" t="str">
        <f t="shared" si="1"/>
        <v/>
      </c>
    </row>
    <row r="59" spans="1:9" x14ac:dyDescent="0.35">
      <c r="A59" s="30" t="str">
        <f>IF(NOT(ISBLANK(Curs!B63)),Curs!B63,"")</f>
        <v/>
      </c>
      <c r="B59" s="31" t="str">
        <f>IF(AND(NOT(ISBLANK(Curs!C63)),OR(MAX(Curs!Y63:Z63)&lt;5,MAX(Curs!Y63:Z63)=1)),Curs!C63,"")</f>
        <v/>
      </c>
      <c r="C59" s="10"/>
      <c r="D59" s="10"/>
      <c r="E59" s="10"/>
      <c r="F59" s="10"/>
      <c r="G59" s="10"/>
      <c r="H59" s="24" t="str">
        <f t="shared" si="0"/>
        <v/>
      </c>
      <c r="I59" s="23" t="str">
        <f t="shared" si="1"/>
        <v/>
      </c>
    </row>
    <row r="60" spans="1:9" x14ac:dyDescent="0.35">
      <c r="A60" s="30" t="str">
        <f>IF(NOT(ISBLANK(Curs!B64)),Curs!B64,"")</f>
        <v/>
      </c>
      <c r="B60" s="31" t="str">
        <f>IF(AND(NOT(ISBLANK(Curs!C64)),OR(MAX(Curs!Y64:Z64)&lt;5,MAX(Curs!Y64:Z64)=1)),Curs!C64,"")</f>
        <v/>
      </c>
      <c r="C60" s="10"/>
      <c r="D60" s="10"/>
      <c r="E60" s="10"/>
      <c r="F60" s="10"/>
      <c r="G60" s="10"/>
      <c r="H60" s="24" t="str">
        <f t="shared" si="0"/>
        <v/>
      </c>
      <c r="I60" s="23" t="str">
        <f t="shared" si="1"/>
        <v/>
      </c>
    </row>
    <row r="61" spans="1:9" x14ac:dyDescent="0.35">
      <c r="A61" s="30" t="str">
        <f>IF(NOT(ISBLANK(Curs!B65)),Curs!B65,"")</f>
        <v/>
      </c>
      <c r="B61" s="31" t="str">
        <f>IF(AND(NOT(ISBLANK(Curs!C65)),OR(MAX(Curs!Y65:Z65)&lt;5,MAX(Curs!Y65:Z65)=1)),Curs!C65,"")</f>
        <v/>
      </c>
      <c r="C61" s="10"/>
      <c r="D61" s="10"/>
      <c r="E61" s="10"/>
      <c r="F61" s="10"/>
      <c r="G61" s="10"/>
      <c r="H61" s="24" t="str">
        <f t="shared" si="0"/>
        <v/>
      </c>
      <c r="I61" s="23" t="str">
        <f t="shared" si="1"/>
        <v/>
      </c>
    </row>
    <row r="62" spans="1:9" x14ac:dyDescent="0.35">
      <c r="A62" s="30" t="str">
        <f>IF(NOT(ISBLANK(Curs!B66)),Curs!B66,"")</f>
        <v/>
      </c>
      <c r="B62" s="31" t="str">
        <f>IF(AND(NOT(ISBLANK(Curs!C66)),OR(MAX(Curs!Y66:Z66)&lt;5,MAX(Curs!Y66:Z66)=1)),Curs!C66,"")</f>
        <v/>
      </c>
      <c r="C62" s="10"/>
      <c r="D62" s="10"/>
      <c r="E62" s="10"/>
      <c r="F62" s="10"/>
      <c r="G62" s="10"/>
      <c r="H62" s="24" t="str">
        <f t="shared" si="0"/>
        <v/>
      </c>
      <c r="I62" s="23" t="str">
        <f t="shared" si="1"/>
        <v/>
      </c>
    </row>
    <row r="63" spans="1:9" x14ac:dyDescent="0.35">
      <c r="A63" s="30" t="str">
        <f>IF(NOT(ISBLANK(Curs!B67)),Curs!B67,"")</f>
        <v/>
      </c>
      <c r="B63" s="31" t="str">
        <f>IF(AND(NOT(ISBLANK(Curs!C67)),OR(MAX(Curs!Y67:Z67)&lt;5,MAX(Curs!Y67:Z67)=1)),Curs!C67,"")</f>
        <v/>
      </c>
      <c r="C63" s="10"/>
      <c r="D63" s="10"/>
      <c r="E63" s="10"/>
      <c r="F63" s="10"/>
      <c r="G63" s="10"/>
      <c r="H63" s="24" t="str">
        <f t="shared" si="0"/>
        <v/>
      </c>
      <c r="I63" s="23" t="str">
        <f t="shared" si="1"/>
        <v/>
      </c>
    </row>
    <row r="64" spans="1:9" x14ac:dyDescent="0.35">
      <c r="A64" s="30" t="str">
        <f>IF(NOT(ISBLANK(Curs!B68)),Curs!B68,"")</f>
        <v/>
      </c>
      <c r="B64" s="31" t="str">
        <f>IF(AND(NOT(ISBLANK(Curs!C68)),OR(MAX(Curs!Y68:Z68)&lt;5,MAX(Curs!Y68:Z68)=1)),Curs!C68,"")</f>
        <v/>
      </c>
      <c r="C64" s="10"/>
      <c r="D64" s="10"/>
      <c r="E64" s="10"/>
      <c r="F64" s="10"/>
      <c r="G64" s="10"/>
      <c r="H64" s="24" t="str">
        <f t="shared" si="0"/>
        <v/>
      </c>
      <c r="I64" s="23" t="str">
        <f t="shared" si="1"/>
        <v/>
      </c>
    </row>
    <row r="65" spans="1:9" x14ac:dyDescent="0.35">
      <c r="A65" s="30" t="str">
        <f>IF(NOT(ISBLANK(Curs!B69)),Curs!B69,"")</f>
        <v/>
      </c>
      <c r="B65" s="31" t="str">
        <f>IF(AND(NOT(ISBLANK(Curs!C69)),OR(MAX(Curs!Y69:Z69)&lt;5,MAX(Curs!Y69:Z69)=1)),Curs!C69,"")</f>
        <v/>
      </c>
      <c r="C65" s="10"/>
      <c r="D65" s="10"/>
      <c r="E65" s="10"/>
      <c r="F65" s="10"/>
      <c r="G65" s="10"/>
      <c r="H65" s="24" t="str">
        <f t="shared" si="0"/>
        <v/>
      </c>
      <c r="I65" s="23" t="str">
        <f t="shared" si="1"/>
        <v/>
      </c>
    </row>
    <row r="66" spans="1:9" x14ac:dyDescent="0.35">
      <c r="A66" s="30" t="str">
        <f>IF(NOT(ISBLANK(Curs!B70)),Curs!B70,"")</f>
        <v/>
      </c>
      <c r="B66" s="31" t="str">
        <f>IF(AND(NOT(ISBLANK(Curs!C70)),OR(MAX(Curs!Y70:Z70)&lt;5,MAX(Curs!Y70:Z70)=1)),Curs!C70,"")</f>
        <v/>
      </c>
      <c r="C66" s="10"/>
      <c r="D66" s="10"/>
      <c r="E66" s="10"/>
      <c r="F66" s="10"/>
      <c r="G66" s="10"/>
      <c r="H66" s="24" t="str">
        <f t="shared" si="0"/>
        <v/>
      </c>
      <c r="I66" s="23" t="str">
        <f t="shared" si="1"/>
        <v/>
      </c>
    </row>
    <row r="67" spans="1:9" x14ac:dyDescent="0.35">
      <c r="A67" s="30" t="str">
        <f>IF(NOT(ISBLANK(Curs!B71)),Curs!B71,"")</f>
        <v/>
      </c>
      <c r="B67" s="31" t="str">
        <f>IF(AND(NOT(ISBLANK(Curs!C71)),OR(MAX(Curs!Y71:Z71)&lt;5,MAX(Curs!Y71:Z71)=1)),Curs!C71,"")</f>
        <v/>
      </c>
      <c r="C67" s="10"/>
      <c r="D67" s="10"/>
      <c r="E67" s="10"/>
      <c r="F67" s="10"/>
      <c r="G67" s="10"/>
      <c r="H67" s="24" t="str">
        <f t="shared" ref="H67:H105" si="3">IF(B67="","",ROUND(SUM(C67:G67),0))</f>
        <v/>
      </c>
      <c r="I67" s="23" t="str">
        <f t="shared" ref="I67:I105" si="4">IF(B67="","",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IF(AND(H67&gt;=$J$11,H67&lt;=$K$11),$L$11)))))))))))</f>
        <v/>
      </c>
    </row>
    <row r="68" spans="1:9" x14ac:dyDescent="0.35">
      <c r="A68" s="30" t="str">
        <f>IF(NOT(ISBLANK(Curs!B72)),Curs!B72,"")</f>
        <v/>
      </c>
      <c r="B68" s="31" t="str">
        <f>IF(AND(NOT(ISBLANK(Curs!C72)),OR(MAX(Curs!Y72:Z72)&lt;5,MAX(Curs!Y72:Z72)=1)),Curs!C72,"")</f>
        <v/>
      </c>
      <c r="C68" s="10"/>
      <c r="D68" s="10"/>
      <c r="E68" s="10"/>
      <c r="F68" s="10"/>
      <c r="G68" s="10"/>
      <c r="H68" s="24" t="str">
        <f t="shared" si="3"/>
        <v/>
      </c>
      <c r="I68" s="23" t="str">
        <f t="shared" si="4"/>
        <v/>
      </c>
    </row>
    <row r="69" spans="1:9" x14ac:dyDescent="0.35">
      <c r="A69" s="30" t="str">
        <f>IF(NOT(ISBLANK(Curs!B73)),Curs!B73,"")</f>
        <v/>
      </c>
      <c r="B69" s="31" t="str">
        <f>IF(AND(NOT(ISBLANK(Curs!C73)),OR(MAX(Curs!Y73:Z73)&lt;5,MAX(Curs!Y73:Z73)=1)),Curs!C73,"")</f>
        <v/>
      </c>
      <c r="C69" s="10"/>
      <c r="D69" s="10"/>
      <c r="E69" s="10"/>
      <c r="F69" s="10"/>
      <c r="G69" s="10"/>
      <c r="H69" s="24" t="str">
        <f t="shared" si="3"/>
        <v/>
      </c>
      <c r="I69" s="23" t="str">
        <f t="shared" si="4"/>
        <v/>
      </c>
    </row>
    <row r="70" spans="1:9" x14ac:dyDescent="0.35">
      <c r="A70" s="30" t="str">
        <f>IF(NOT(ISBLANK(Curs!B74)),Curs!B74,"")</f>
        <v/>
      </c>
      <c r="B70" s="31" t="str">
        <f>IF(AND(NOT(ISBLANK(Curs!C74)),OR(MAX(Curs!Y74:Z74)&lt;5,MAX(Curs!Y74:Z74)=1)),Curs!C74,"")</f>
        <v/>
      </c>
      <c r="C70" s="10"/>
      <c r="D70" s="10"/>
      <c r="E70" s="10"/>
      <c r="F70" s="10"/>
      <c r="G70" s="10"/>
      <c r="H70" s="24" t="str">
        <f t="shared" si="3"/>
        <v/>
      </c>
      <c r="I70" s="23" t="str">
        <f t="shared" si="4"/>
        <v/>
      </c>
    </row>
    <row r="71" spans="1:9" x14ac:dyDescent="0.35">
      <c r="A71" s="30" t="str">
        <f>IF(NOT(ISBLANK(Curs!B75)),Curs!B75,"")</f>
        <v/>
      </c>
      <c r="B71" s="31" t="str">
        <f>IF(AND(NOT(ISBLANK(Curs!C75)),OR(MAX(Curs!Y75:Z75)&lt;5,MAX(Curs!Y75:Z75)=1)),Curs!C75,"")</f>
        <v/>
      </c>
      <c r="C71" s="10"/>
      <c r="D71" s="10"/>
      <c r="E71" s="10"/>
      <c r="F71" s="10"/>
      <c r="G71" s="10"/>
      <c r="H71" s="24" t="str">
        <f t="shared" si="3"/>
        <v/>
      </c>
      <c r="I71" s="23" t="str">
        <f t="shared" si="4"/>
        <v/>
      </c>
    </row>
    <row r="72" spans="1:9" x14ac:dyDescent="0.35">
      <c r="A72" s="30" t="str">
        <f>IF(NOT(ISBLANK(Curs!B76)),Curs!B76,"")</f>
        <v/>
      </c>
      <c r="B72" s="31" t="str">
        <f>IF(AND(NOT(ISBLANK(Curs!C76)),OR(MAX(Curs!Y76:Z76)&lt;5,MAX(Curs!Y76:Z76)=1)),Curs!C76,"")</f>
        <v/>
      </c>
      <c r="C72" s="10"/>
      <c r="D72" s="10"/>
      <c r="E72" s="10"/>
      <c r="F72" s="10"/>
      <c r="G72" s="10"/>
      <c r="H72" s="24" t="str">
        <f t="shared" si="3"/>
        <v/>
      </c>
      <c r="I72" s="23" t="str">
        <f t="shared" si="4"/>
        <v/>
      </c>
    </row>
    <row r="73" spans="1:9" x14ac:dyDescent="0.35">
      <c r="A73" s="30" t="str">
        <f>IF(NOT(ISBLANK(Curs!B77)),Curs!B77,"")</f>
        <v/>
      </c>
      <c r="B73" s="31" t="str">
        <f>IF(AND(NOT(ISBLANK(Curs!C77)),OR(MAX(Curs!Y77:Z77)&lt;5,MAX(Curs!Y77:Z77)=1)),Curs!C77,"")</f>
        <v/>
      </c>
      <c r="C73" s="10"/>
      <c r="D73" s="10"/>
      <c r="E73" s="10"/>
      <c r="F73" s="10"/>
      <c r="G73" s="10"/>
      <c r="H73" s="24" t="str">
        <f t="shared" si="3"/>
        <v/>
      </c>
      <c r="I73" s="23" t="str">
        <f t="shared" si="4"/>
        <v/>
      </c>
    </row>
    <row r="74" spans="1:9" x14ac:dyDescent="0.35">
      <c r="A74" s="30" t="str">
        <f>IF(NOT(ISBLANK(Curs!B78)),Curs!B78,"")</f>
        <v/>
      </c>
      <c r="B74" s="31" t="str">
        <f>IF(AND(NOT(ISBLANK(Curs!C78)),OR(MAX(Curs!Y78:Z78)&lt;5,MAX(Curs!Y78:Z78)=1)),Curs!C78,"")</f>
        <v/>
      </c>
      <c r="C74" s="10"/>
      <c r="D74" s="10"/>
      <c r="E74" s="10"/>
      <c r="F74" s="10"/>
      <c r="G74" s="10"/>
      <c r="H74" s="24" t="str">
        <f t="shared" si="3"/>
        <v/>
      </c>
      <c r="I74" s="23" t="str">
        <f t="shared" si="4"/>
        <v/>
      </c>
    </row>
    <row r="75" spans="1:9" x14ac:dyDescent="0.35">
      <c r="A75" s="30" t="str">
        <f>IF(NOT(ISBLANK(Curs!B79)),Curs!B79,"")</f>
        <v/>
      </c>
      <c r="B75" s="31" t="str">
        <f>IF(AND(NOT(ISBLANK(Curs!C79)),OR(MAX(Curs!Y79:Z79)&lt;5,MAX(Curs!Y79:Z79)=1)),Curs!C79,"")</f>
        <v/>
      </c>
      <c r="C75" s="10"/>
      <c r="D75" s="10"/>
      <c r="E75" s="10"/>
      <c r="F75" s="10"/>
      <c r="G75" s="10"/>
      <c r="H75" s="24" t="str">
        <f t="shared" si="3"/>
        <v/>
      </c>
      <c r="I75" s="23" t="str">
        <f t="shared" si="4"/>
        <v/>
      </c>
    </row>
    <row r="76" spans="1:9" x14ac:dyDescent="0.35">
      <c r="A76" s="30" t="str">
        <f>IF(NOT(ISBLANK(Curs!B80)),Curs!B80,"")</f>
        <v/>
      </c>
      <c r="B76" s="31" t="str">
        <f>IF(AND(NOT(ISBLANK(Curs!C80)),OR(MAX(Curs!Y80:Z80)&lt;5,MAX(Curs!Y80:Z80)=1)),Curs!C80,"")</f>
        <v/>
      </c>
      <c r="C76" s="10"/>
      <c r="D76" s="10"/>
      <c r="E76" s="10"/>
      <c r="F76" s="10"/>
      <c r="G76" s="10"/>
      <c r="H76" s="24" t="str">
        <f t="shared" si="3"/>
        <v/>
      </c>
      <c r="I76" s="23" t="str">
        <f t="shared" si="4"/>
        <v/>
      </c>
    </row>
    <row r="77" spans="1:9" x14ac:dyDescent="0.35">
      <c r="A77" s="30" t="str">
        <f>IF(NOT(ISBLANK(Curs!B81)),Curs!B81,"")</f>
        <v/>
      </c>
      <c r="B77" s="31" t="str">
        <f>IF(AND(NOT(ISBLANK(Curs!C81)),OR(MAX(Curs!Y81:Z81)&lt;5,MAX(Curs!Y81:Z81)=1)),Curs!C81,"")</f>
        <v/>
      </c>
      <c r="C77" s="10"/>
      <c r="D77" s="10"/>
      <c r="E77" s="10"/>
      <c r="F77" s="10"/>
      <c r="G77" s="10"/>
      <c r="H77" s="24" t="str">
        <f t="shared" si="3"/>
        <v/>
      </c>
      <c r="I77" s="23" t="str">
        <f t="shared" si="4"/>
        <v/>
      </c>
    </row>
    <row r="78" spans="1:9" x14ac:dyDescent="0.35">
      <c r="A78" s="30" t="str">
        <f>IF(NOT(ISBLANK(Curs!B82)),Curs!B82,"")</f>
        <v/>
      </c>
      <c r="B78" s="31" t="str">
        <f>IF(AND(NOT(ISBLANK(Curs!C82)),OR(MAX(Curs!Y82:Z82)&lt;5,MAX(Curs!Y82:Z82)=1)),Curs!C82,"")</f>
        <v/>
      </c>
      <c r="C78" s="10"/>
      <c r="D78" s="10"/>
      <c r="E78" s="10"/>
      <c r="F78" s="10"/>
      <c r="G78" s="10"/>
      <c r="H78" s="24" t="str">
        <f t="shared" si="3"/>
        <v/>
      </c>
      <c r="I78" s="23" t="str">
        <f t="shared" si="4"/>
        <v/>
      </c>
    </row>
    <row r="79" spans="1:9" x14ac:dyDescent="0.35">
      <c r="A79" s="30" t="str">
        <f>IF(NOT(ISBLANK(Curs!B83)),Curs!B83,"")</f>
        <v/>
      </c>
      <c r="B79" s="31" t="str">
        <f>IF(AND(NOT(ISBLANK(Curs!C83)),OR(MAX(Curs!Y83:Z83)&lt;5,MAX(Curs!Y83:Z83)=1)),Curs!C83,"")</f>
        <v/>
      </c>
      <c r="C79" s="10"/>
      <c r="D79" s="10"/>
      <c r="E79" s="10"/>
      <c r="F79" s="10"/>
      <c r="G79" s="10"/>
      <c r="H79" s="24" t="str">
        <f t="shared" si="3"/>
        <v/>
      </c>
      <c r="I79" s="23" t="str">
        <f t="shared" si="4"/>
        <v/>
      </c>
    </row>
    <row r="80" spans="1:9" x14ac:dyDescent="0.35">
      <c r="A80" s="30" t="str">
        <f>IF(NOT(ISBLANK(Curs!B84)),Curs!B84,"")</f>
        <v/>
      </c>
      <c r="B80" s="31" t="str">
        <f>IF(AND(NOT(ISBLANK(Curs!C84)),OR(MAX(Curs!Y84:Z84)&lt;5,MAX(Curs!Y84:Z84)=1)),Curs!C84,"")</f>
        <v/>
      </c>
      <c r="C80" s="10"/>
      <c r="D80" s="10"/>
      <c r="E80" s="10"/>
      <c r="F80" s="10"/>
      <c r="G80" s="10"/>
      <c r="H80" s="24" t="str">
        <f t="shared" si="3"/>
        <v/>
      </c>
      <c r="I80" s="23" t="str">
        <f t="shared" si="4"/>
        <v/>
      </c>
    </row>
    <row r="81" spans="1:9" x14ac:dyDescent="0.35">
      <c r="A81" s="30" t="str">
        <f>IF(NOT(ISBLANK(Curs!B85)),Curs!B85,"")</f>
        <v/>
      </c>
      <c r="B81" s="31" t="str">
        <f>IF(AND(NOT(ISBLANK(Curs!C85)),OR(MAX(Curs!Y85:Z85)&lt;5,MAX(Curs!Y85:Z85)=1)),Curs!C85,"")</f>
        <v/>
      </c>
      <c r="C81" s="10"/>
      <c r="D81" s="10"/>
      <c r="E81" s="10"/>
      <c r="F81" s="10"/>
      <c r="G81" s="10"/>
      <c r="H81" s="24" t="str">
        <f t="shared" si="3"/>
        <v/>
      </c>
      <c r="I81" s="23" t="str">
        <f t="shared" si="4"/>
        <v/>
      </c>
    </row>
    <row r="82" spans="1:9" x14ac:dyDescent="0.35">
      <c r="A82" s="30" t="str">
        <f>IF(NOT(ISBLANK(Curs!B86)),Curs!B86,"")</f>
        <v/>
      </c>
      <c r="B82" s="31" t="str">
        <f>IF(AND(NOT(ISBLANK(Curs!C86)),OR(MAX(Curs!Y86:Z86)&lt;5,MAX(Curs!Y86:Z86)=1)),Curs!C86,"")</f>
        <v/>
      </c>
      <c r="C82" s="10"/>
      <c r="D82" s="10"/>
      <c r="E82" s="10"/>
      <c r="F82" s="10"/>
      <c r="G82" s="10"/>
      <c r="H82" s="24" t="str">
        <f t="shared" si="3"/>
        <v/>
      </c>
      <c r="I82" s="23" t="str">
        <f t="shared" si="4"/>
        <v/>
      </c>
    </row>
    <row r="83" spans="1:9" x14ac:dyDescent="0.35">
      <c r="A83" s="30" t="str">
        <f>IF(NOT(ISBLANK(Curs!B87)),Curs!B87,"")</f>
        <v/>
      </c>
      <c r="B83" s="31" t="str">
        <f>IF(AND(NOT(ISBLANK(Curs!C87)),OR(MAX(Curs!Y87:Z87)&lt;5,MAX(Curs!Y87:Z87)=1)),Curs!C87,"")</f>
        <v/>
      </c>
      <c r="C83" s="10"/>
      <c r="D83" s="10"/>
      <c r="E83" s="10"/>
      <c r="F83" s="10"/>
      <c r="G83" s="10"/>
      <c r="H83" s="24" t="str">
        <f t="shared" si="3"/>
        <v/>
      </c>
      <c r="I83" s="23" t="str">
        <f t="shared" si="4"/>
        <v/>
      </c>
    </row>
    <row r="84" spans="1:9" x14ac:dyDescent="0.35">
      <c r="A84" s="30" t="str">
        <f>IF(NOT(ISBLANK(Curs!B88)),Curs!B88,"")</f>
        <v/>
      </c>
      <c r="B84" s="31" t="str">
        <f>IF(AND(NOT(ISBLANK(Curs!C88)),OR(MAX(Curs!Y88:Z88)&lt;5,MAX(Curs!Y88:Z88)=1)),Curs!C88,"")</f>
        <v/>
      </c>
      <c r="C84" s="10"/>
      <c r="D84" s="10"/>
      <c r="E84" s="10"/>
      <c r="F84" s="10"/>
      <c r="G84" s="10"/>
      <c r="H84" s="24" t="str">
        <f t="shared" si="3"/>
        <v/>
      </c>
      <c r="I84" s="23" t="str">
        <f t="shared" si="4"/>
        <v/>
      </c>
    </row>
    <row r="85" spans="1:9" x14ac:dyDescent="0.35">
      <c r="A85" s="30" t="str">
        <f>IF(NOT(ISBLANK(Curs!B89)),Curs!B89,"")</f>
        <v/>
      </c>
      <c r="B85" s="31" t="str">
        <f>IF(AND(NOT(ISBLANK(Curs!C89)),OR(MAX(Curs!Y89:Z89)&lt;5,MAX(Curs!Y89:Z89)=1)),Curs!C89,"")</f>
        <v/>
      </c>
      <c r="C85" s="10"/>
      <c r="D85" s="10"/>
      <c r="E85" s="10"/>
      <c r="F85" s="10"/>
      <c r="G85" s="10"/>
      <c r="H85" s="24" t="str">
        <f t="shared" si="3"/>
        <v/>
      </c>
      <c r="I85" s="23" t="str">
        <f t="shared" si="4"/>
        <v/>
      </c>
    </row>
    <row r="86" spans="1:9" x14ac:dyDescent="0.35">
      <c r="A86" s="30" t="str">
        <f>IF(NOT(ISBLANK(Curs!B90)),Curs!B90,"")</f>
        <v/>
      </c>
      <c r="B86" s="31" t="str">
        <f>IF(AND(NOT(ISBLANK(Curs!C90)),OR(MAX(Curs!Y90:Z90)&lt;5,MAX(Curs!Y90:Z90)=1)),Curs!C90,"")</f>
        <v/>
      </c>
      <c r="C86" s="10"/>
      <c r="D86" s="10"/>
      <c r="E86" s="10"/>
      <c r="F86" s="10"/>
      <c r="G86" s="10"/>
      <c r="H86" s="24" t="str">
        <f t="shared" si="3"/>
        <v/>
      </c>
      <c r="I86" s="23" t="str">
        <f t="shared" si="4"/>
        <v/>
      </c>
    </row>
    <row r="87" spans="1:9" x14ac:dyDescent="0.35">
      <c r="A87" s="30" t="str">
        <f>IF(NOT(ISBLANK(Curs!B91)),Curs!B91,"")</f>
        <v/>
      </c>
      <c r="B87" s="31" t="str">
        <f>IF(AND(NOT(ISBLANK(Curs!C91)),OR(MAX(Curs!Y91:Z91)&lt;5,MAX(Curs!Y91:Z91)=1)),Curs!C91,"")</f>
        <v/>
      </c>
      <c r="C87" s="10"/>
      <c r="D87" s="10"/>
      <c r="E87" s="10"/>
      <c r="F87" s="10"/>
      <c r="G87" s="10"/>
      <c r="H87" s="24" t="str">
        <f t="shared" si="3"/>
        <v/>
      </c>
      <c r="I87" s="23" t="str">
        <f t="shared" si="4"/>
        <v/>
      </c>
    </row>
    <row r="88" spans="1:9" x14ac:dyDescent="0.35">
      <c r="A88" s="30" t="str">
        <f>IF(NOT(ISBLANK(Curs!B92)),Curs!B92,"")</f>
        <v/>
      </c>
      <c r="B88" s="31" t="str">
        <f>IF(AND(NOT(ISBLANK(Curs!C92)),OR(MAX(Curs!Y92:Z92)&lt;5,MAX(Curs!Y92:Z92)=1)),Curs!C92,"")</f>
        <v/>
      </c>
      <c r="C88" s="10"/>
      <c r="D88" s="10"/>
      <c r="E88" s="10"/>
      <c r="F88" s="10"/>
      <c r="G88" s="10"/>
      <c r="H88" s="24" t="str">
        <f t="shared" si="3"/>
        <v/>
      </c>
      <c r="I88" s="23" t="str">
        <f t="shared" si="4"/>
        <v/>
      </c>
    </row>
    <row r="89" spans="1:9" x14ac:dyDescent="0.35">
      <c r="A89" s="30" t="str">
        <f>IF(NOT(ISBLANK(Curs!B93)),Curs!B93,"")</f>
        <v/>
      </c>
      <c r="B89" s="31" t="str">
        <f>IF(AND(NOT(ISBLANK(Curs!C93)),OR(MAX(Curs!Y93:Z93)&lt;5,MAX(Curs!Y93:Z93)=1)),Curs!C93,"")</f>
        <v/>
      </c>
      <c r="C89" s="10"/>
      <c r="D89" s="10"/>
      <c r="E89" s="10"/>
      <c r="F89" s="10"/>
      <c r="G89" s="10"/>
      <c r="H89" s="24" t="str">
        <f t="shared" si="3"/>
        <v/>
      </c>
      <c r="I89" s="23" t="str">
        <f t="shared" si="4"/>
        <v/>
      </c>
    </row>
    <row r="90" spans="1:9" x14ac:dyDescent="0.35">
      <c r="A90" s="30" t="str">
        <f>IF(NOT(ISBLANK(Curs!B94)),Curs!B94,"")</f>
        <v/>
      </c>
      <c r="B90" s="31" t="str">
        <f>IF(AND(NOT(ISBLANK(Curs!C94)),OR(MAX(Curs!Y94:Z94)&lt;5,MAX(Curs!Y94:Z94)=1)),Curs!C94,"")</f>
        <v/>
      </c>
      <c r="C90" s="10"/>
      <c r="D90" s="10"/>
      <c r="E90" s="10"/>
      <c r="F90" s="10"/>
      <c r="G90" s="10"/>
      <c r="H90" s="24" t="str">
        <f t="shared" si="3"/>
        <v/>
      </c>
      <c r="I90" s="23" t="str">
        <f t="shared" si="4"/>
        <v/>
      </c>
    </row>
    <row r="91" spans="1:9" x14ac:dyDescent="0.35">
      <c r="A91" s="30" t="str">
        <f>IF(NOT(ISBLANK(Curs!B95)),Curs!B95,"")</f>
        <v/>
      </c>
      <c r="B91" s="31" t="str">
        <f>IF(AND(NOT(ISBLANK(Curs!C95)),OR(MAX(Curs!Y95:Z95)&lt;5,MAX(Curs!Y95:Z95)=1)),Curs!C95,"")</f>
        <v/>
      </c>
      <c r="C91" s="10"/>
      <c r="D91" s="10"/>
      <c r="E91" s="10"/>
      <c r="F91" s="10"/>
      <c r="G91" s="10"/>
      <c r="H91" s="24" t="str">
        <f t="shared" si="3"/>
        <v/>
      </c>
      <c r="I91" s="23" t="str">
        <f t="shared" si="4"/>
        <v/>
      </c>
    </row>
    <row r="92" spans="1:9" x14ac:dyDescent="0.35">
      <c r="A92" s="30" t="str">
        <f>IF(NOT(ISBLANK(Curs!B96)),Curs!B96,"")</f>
        <v/>
      </c>
      <c r="B92" s="31" t="str">
        <f>IF(AND(NOT(ISBLANK(Curs!C96)),OR(MAX(Curs!Y96:Z96)&lt;5,MAX(Curs!Y96:Z96)=1)),Curs!C96,"")</f>
        <v/>
      </c>
      <c r="C92" s="10"/>
      <c r="D92" s="10"/>
      <c r="E92" s="10"/>
      <c r="F92" s="10"/>
      <c r="G92" s="10"/>
      <c r="H92" s="24" t="str">
        <f t="shared" si="3"/>
        <v/>
      </c>
      <c r="I92" s="23" t="str">
        <f t="shared" si="4"/>
        <v/>
      </c>
    </row>
    <row r="93" spans="1:9" x14ac:dyDescent="0.35">
      <c r="A93" s="30" t="str">
        <f>IF(NOT(ISBLANK(Curs!B97)),Curs!B97,"")</f>
        <v/>
      </c>
      <c r="B93" s="31" t="str">
        <f>IF(AND(NOT(ISBLANK(Curs!C97)),OR(MAX(Curs!Y97:Z97)&lt;5,MAX(Curs!Y97:Z97)=1)),Curs!C97,"")</f>
        <v/>
      </c>
      <c r="C93" s="10"/>
      <c r="D93" s="10"/>
      <c r="E93" s="10"/>
      <c r="F93" s="10"/>
      <c r="G93" s="10"/>
      <c r="H93" s="24" t="str">
        <f t="shared" si="3"/>
        <v/>
      </c>
      <c r="I93" s="23" t="str">
        <f t="shared" si="4"/>
        <v/>
      </c>
    </row>
    <row r="94" spans="1:9" x14ac:dyDescent="0.35">
      <c r="A94" s="30" t="str">
        <f>IF(NOT(ISBLANK(Curs!B98)),Curs!B98,"")</f>
        <v/>
      </c>
      <c r="B94" s="31" t="str">
        <f>IF(AND(NOT(ISBLANK(Curs!C98)),OR(MAX(Curs!Y98:Z98)&lt;5,MAX(Curs!Y98:Z98)=1)),Curs!C98,"")</f>
        <v/>
      </c>
      <c r="C94" s="10"/>
      <c r="D94" s="10"/>
      <c r="E94" s="10"/>
      <c r="F94" s="10"/>
      <c r="G94" s="10"/>
      <c r="H94" s="24" t="str">
        <f t="shared" si="3"/>
        <v/>
      </c>
      <c r="I94" s="23" t="str">
        <f t="shared" si="4"/>
        <v/>
      </c>
    </row>
    <row r="95" spans="1:9" x14ac:dyDescent="0.35">
      <c r="A95" s="30" t="str">
        <f>IF(NOT(ISBLANK(Curs!B99)),Curs!B99,"")</f>
        <v/>
      </c>
      <c r="B95" s="31" t="str">
        <f>IF(AND(NOT(ISBLANK(Curs!C99)),OR(MAX(Curs!Y99:Z99)&lt;5,MAX(Curs!Y99:Z99)=1)),Curs!C99,"")</f>
        <v/>
      </c>
      <c r="C95" s="10"/>
      <c r="D95" s="10"/>
      <c r="E95" s="10"/>
      <c r="F95" s="10"/>
      <c r="G95" s="10"/>
      <c r="H95" s="24" t="str">
        <f t="shared" si="3"/>
        <v/>
      </c>
      <c r="I95" s="23" t="str">
        <f t="shared" si="4"/>
        <v/>
      </c>
    </row>
    <row r="96" spans="1:9" x14ac:dyDescent="0.35">
      <c r="A96" s="30" t="str">
        <f>IF(NOT(ISBLANK(Curs!B100)),Curs!B100,"")</f>
        <v/>
      </c>
      <c r="B96" s="31" t="str">
        <f>IF(AND(NOT(ISBLANK(Curs!C100)),OR(MAX(Curs!Y100:Z100)&lt;5,MAX(Curs!Y100:Z100)=1)),Curs!C100,"")</f>
        <v/>
      </c>
      <c r="C96" s="10"/>
      <c r="D96" s="10"/>
      <c r="E96" s="10"/>
      <c r="F96" s="10"/>
      <c r="G96" s="10"/>
      <c r="H96" s="24" t="str">
        <f t="shared" si="3"/>
        <v/>
      </c>
      <c r="I96" s="23" t="str">
        <f t="shared" si="4"/>
        <v/>
      </c>
    </row>
    <row r="97" spans="1:9" x14ac:dyDescent="0.35">
      <c r="A97" s="30" t="str">
        <f>IF(NOT(ISBLANK(Curs!B101)),Curs!B101,"")</f>
        <v/>
      </c>
      <c r="B97" s="31" t="str">
        <f>IF(AND(NOT(ISBLANK(Curs!C101)),OR(MAX(Curs!Y101:Z101)&lt;5,MAX(Curs!Y101:Z101)=1)),Curs!C101,"")</f>
        <v/>
      </c>
      <c r="C97" s="10"/>
      <c r="D97" s="10"/>
      <c r="E97" s="10"/>
      <c r="F97" s="10"/>
      <c r="G97" s="10"/>
      <c r="H97" s="24" t="str">
        <f t="shared" si="3"/>
        <v/>
      </c>
      <c r="I97" s="23" t="str">
        <f t="shared" si="4"/>
        <v/>
      </c>
    </row>
    <row r="98" spans="1:9" x14ac:dyDescent="0.35">
      <c r="A98" s="30" t="str">
        <f>IF(NOT(ISBLANK(Curs!B102)),Curs!B102,"")</f>
        <v/>
      </c>
      <c r="B98" s="31" t="str">
        <f>IF(AND(NOT(ISBLANK(Curs!C102)),OR(MAX(Curs!Y102:Z102)&lt;5,MAX(Curs!Y102:Z102)=1)),Curs!C102,"")</f>
        <v/>
      </c>
      <c r="C98" s="10"/>
      <c r="D98" s="10"/>
      <c r="E98" s="10"/>
      <c r="F98" s="10"/>
      <c r="G98" s="10"/>
      <c r="H98" s="24" t="str">
        <f t="shared" si="3"/>
        <v/>
      </c>
      <c r="I98" s="23" t="str">
        <f t="shared" si="4"/>
        <v/>
      </c>
    </row>
    <row r="99" spans="1:9" x14ac:dyDescent="0.35">
      <c r="A99" s="30" t="str">
        <f>IF(NOT(ISBLANK(Curs!B103)),Curs!B103,"")</f>
        <v/>
      </c>
      <c r="B99" s="31" t="str">
        <f>IF(AND(NOT(ISBLANK(Curs!C103)),OR(MAX(Curs!Y103:Z103)&lt;5,MAX(Curs!Y103:Z103)=1)),Curs!C103,"")</f>
        <v/>
      </c>
      <c r="C99" s="10"/>
      <c r="D99" s="10"/>
      <c r="E99" s="10"/>
      <c r="F99" s="10"/>
      <c r="G99" s="10"/>
      <c r="H99" s="24" t="str">
        <f t="shared" si="3"/>
        <v/>
      </c>
      <c r="I99" s="23" t="str">
        <f t="shared" si="4"/>
        <v/>
      </c>
    </row>
    <row r="100" spans="1:9" x14ac:dyDescent="0.35">
      <c r="A100" s="30" t="str">
        <f>IF(NOT(ISBLANK(Curs!B104)),Curs!B104,"")</f>
        <v/>
      </c>
      <c r="B100" s="31" t="str">
        <f>IF(AND(NOT(ISBLANK(Curs!C104)),OR(MAX(Curs!Y104:Z104)&lt;5,MAX(Curs!Y104:Z104)=1)),Curs!C104,"")</f>
        <v/>
      </c>
      <c r="C100" s="10"/>
      <c r="D100" s="10"/>
      <c r="E100" s="10"/>
      <c r="F100" s="10"/>
      <c r="G100" s="10"/>
      <c r="H100" s="24" t="str">
        <f t="shared" si="3"/>
        <v/>
      </c>
      <c r="I100" s="23" t="str">
        <f t="shared" si="4"/>
        <v/>
      </c>
    </row>
    <row r="101" spans="1:9" x14ac:dyDescent="0.35">
      <c r="A101" s="30" t="str">
        <f>IF(NOT(ISBLANK(Curs!B105)),Curs!B105,"")</f>
        <v/>
      </c>
      <c r="B101" s="31" t="str">
        <f>IF(AND(NOT(ISBLANK(Curs!C105)),OR(MAX(Curs!Y105:Z105)&lt;5,MAX(Curs!Y105:Z105)=1)),Curs!C105,"")</f>
        <v/>
      </c>
      <c r="C101" s="10"/>
      <c r="D101" s="10"/>
      <c r="E101" s="10"/>
      <c r="F101" s="10"/>
      <c r="G101" s="10"/>
      <c r="H101" s="24" t="str">
        <f t="shared" si="3"/>
        <v/>
      </c>
      <c r="I101" s="23" t="str">
        <f t="shared" si="4"/>
        <v/>
      </c>
    </row>
    <row r="102" spans="1:9" x14ac:dyDescent="0.35">
      <c r="A102" s="30" t="str">
        <f>IF(NOT(ISBLANK(Curs!B106)),Curs!B106,"")</f>
        <v/>
      </c>
      <c r="B102" s="31" t="str">
        <f>IF(AND(NOT(ISBLANK(Curs!C106)),OR(MAX(Curs!Y106:Z106)&lt;5,MAX(Curs!Y106:Z106)=1)),Curs!C106,"")</f>
        <v/>
      </c>
      <c r="C102" s="10"/>
      <c r="D102" s="10"/>
      <c r="E102" s="10"/>
      <c r="F102" s="10"/>
      <c r="G102" s="10"/>
      <c r="H102" s="24" t="str">
        <f t="shared" si="3"/>
        <v/>
      </c>
      <c r="I102" s="23" t="str">
        <f t="shared" si="4"/>
        <v/>
      </c>
    </row>
    <row r="103" spans="1:9" x14ac:dyDescent="0.35">
      <c r="A103" s="30" t="str">
        <f>IF(NOT(ISBLANK(Curs!B107)),Curs!B107,"")</f>
        <v/>
      </c>
      <c r="B103" s="31" t="str">
        <f>IF(AND(NOT(ISBLANK(Curs!C107)),OR(MAX(Curs!Y107:Z107)&lt;5,MAX(Curs!Y107:Z107)=1)),Curs!C107,"")</f>
        <v/>
      </c>
      <c r="C103" s="10"/>
      <c r="D103" s="10"/>
      <c r="E103" s="10"/>
      <c r="F103" s="10"/>
      <c r="G103" s="10"/>
      <c r="H103" s="24" t="str">
        <f t="shared" si="3"/>
        <v/>
      </c>
      <c r="I103" s="23" t="str">
        <f t="shared" si="4"/>
        <v/>
      </c>
    </row>
    <row r="104" spans="1:9" x14ac:dyDescent="0.35">
      <c r="A104" s="30" t="str">
        <f>IF(NOT(ISBLANK(Curs!B108)),Curs!B108,"")</f>
        <v/>
      </c>
      <c r="B104" s="31" t="str">
        <f>IF(AND(NOT(ISBLANK(Curs!C108)),OR(MAX(Curs!Y108:Z108)&lt;5,MAX(Curs!Y108:Z108)=1)),Curs!C108,"")</f>
        <v/>
      </c>
      <c r="C104" s="10"/>
      <c r="D104" s="10"/>
      <c r="E104" s="10"/>
      <c r="F104" s="10"/>
      <c r="G104" s="10"/>
      <c r="H104" s="24" t="str">
        <f t="shared" si="3"/>
        <v/>
      </c>
      <c r="I104" s="23" t="str">
        <f t="shared" si="4"/>
        <v/>
      </c>
    </row>
    <row r="105" spans="1:9" x14ac:dyDescent="0.35">
      <c r="A105" s="30" t="str">
        <f>IF(NOT(ISBLANK(Curs!B109)),Curs!B109,"")</f>
        <v/>
      </c>
      <c r="B105" s="31" t="str">
        <f>IF(AND(NOT(ISBLANK(Curs!C109)),OR(MAX(Curs!Y109:Z109)&lt;5,MAX(Curs!Y109:Z109)=1)),Curs!C109,"")</f>
        <v/>
      </c>
      <c r="C105" s="10"/>
      <c r="D105" s="10"/>
      <c r="E105" s="10"/>
      <c r="F105" s="10"/>
      <c r="G105" s="10"/>
      <c r="H105" s="24" t="str">
        <f t="shared" si="3"/>
        <v/>
      </c>
      <c r="I105" s="23" t="str">
        <f t="shared" si="4"/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05"/>
  <sheetViews>
    <sheetView zoomScale="85" zoomScaleNormal="85" workbookViewId="0">
      <selection activeCell="G2" sqref="G2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40</v>
      </c>
      <c r="D1" s="21" t="s">
        <v>42</v>
      </c>
      <c r="E1" s="21" t="s">
        <v>41</v>
      </c>
      <c r="F1" s="25" t="s">
        <v>34</v>
      </c>
      <c r="G1" s="5" t="s">
        <v>29</v>
      </c>
      <c r="H1" s="6" t="s">
        <v>30</v>
      </c>
      <c r="I1" s="7"/>
      <c r="J1" s="6"/>
      <c r="K1" s="207" t="s">
        <v>67</v>
      </c>
      <c r="L1" s="207"/>
      <c r="M1" s="8"/>
      <c r="N1" s="9"/>
      <c r="O1" s="9"/>
      <c r="P1" s="9"/>
    </row>
    <row r="2" spans="1:16" ht="18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24">
        <f>IF(B2="","",
IF(Curs!AG6,"Eliberat",
ROUND(SUM(C2:E2),0)))</f>
        <v>0</v>
      </c>
      <c r="G2" s="23" t="str">
        <f>IF(B2="","",
IF(Curs!AG6,Curs!AG6,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IF(AND(F2&gt;=$H$11,F2&lt;=$I$11),$J$11))))))))))))</f>
        <v>n/p</v>
      </c>
      <c r="H2" s="6" t="s">
        <v>32</v>
      </c>
      <c r="I2" s="6"/>
      <c r="J2" s="12" t="s">
        <v>29</v>
      </c>
      <c r="K2" s="27" t="s">
        <v>29</v>
      </c>
      <c r="L2" s="27" t="s">
        <v>31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24" t="str">
        <f>IF(B3="","",
IF(Curs!AG7,"Eliberat",
ROUND(SUM(C3:E3),0)))</f>
        <v/>
      </c>
      <c r="G3" s="23" t="str">
        <f>IF(B3="","",
IF(Curs!AG7,Curs!AG7,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24" t="str">
        <f>IF(B4="","",
IF(Curs!AG8,"Eliberat",
ROUND(SUM(C4:E4),0)))</f>
        <v/>
      </c>
      <c r="G4" s="23" t="str">
        <f>IF(B4="","",
IF(Curs!AG8,Curs!AG8,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IF(AND(F4&gt;=$H$11,F4&lt;=$I$11),$J$11))))))))))))</f>
        <v/>
      </c>
      <c r="H4" s="22">
        <v>4</v>
      </c>
      <c r="I4" s="22">
        <v>5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24" t="str">
        <f>IF(B5="","",
IF(Curs!AG9,"Eliberat",
ROUND(SUM(C5:E5),0)))</f>
        <v/>
      </c>
      <c r="G5" s="23" t="str">
        <f>IF(B5="","",
IF(Curs!AG9,Curs!AG9,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IF(AND(F5&gt;=$H$11,F5&lt;=$I$11),$J$11))))))))))))</f>
        <v/>
      </c>
      <c r="H5" s="22">
        <v>6</v>
      </c>
      <c r="I5" s="22">
        <v>9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24" t="str">
        <f>IF(B6="","",
IF(Curs!AG10,"Eliberat",
ROUND(SUM(C6:E6),0)))</f>
        <v/>
      </c>
      <c r="G6" s="23" t="str">
        <f>IF(B6="","",
IF(Curs!AG10,Curs!AG10,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IF(AND(F6&gt;=$H$11,F6&lt;=$I$11),$J$11))))))))))))</f>
        <v/>
      </c>
      <c r="H6" s="22">
        <v>10</v>
      </c>
      <c r="I6" s="22">
        <v>13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24" t="str">
        <f>IF(B7="","",
IF(Curs!AG11,"Eliberat",
ROUND(SUM(C7:E7),0)))</f>
        <v/>
      </c>
      <c r="G7" s="23" t="str">
        <f>IF(B7="","",
IF(Curs!AG11,Curs!AG11,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IF(AND(F7&gt;=$H$11,F7&lt;=$I$11),$J$11))))))))))))</f>
        <v/>
      </c>
      <c r="H7" s="22">
        <v>14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24" t="str">
        <f>IF(B8="","",
IF(Curs!AG12,"Eliberat",
ROUND(SUM(C8:E8),0)))</f>
        <v/>
      </c>
      <c r="G8" s="23" t="str">
        <f>IF(B8="","",
IF(Curs!AG12,Curs!AG12,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IF(AND(F8&gt;=$H$11,F8&lt;=$I$11),$J$11))))))))))))</f>
        <v/>
      </c>
      <c r="H8" s="22">
        <v>19</v>
      </c>
      <c r="I8" s="22">
        <v>22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24" t="str">
        <f>IF(B9="","",
IF(Curs!AG13,"Eliberat",
ROUND(SUM(C9:E9),0)))</f>
        <v/>
      </c>
      <c r="G9" s="23" t="str">
        <f>IF(B9="","",
IF(Curs!AG13,Curs!AG13,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IF(AND(F9&gt;=$H$11,F9&lt;=$I$11),$J$11))))))))))))</f>
        <v/>
      </c>
      <c r="H9" s="22">
        <v>23</v>
      </c>
      <c r="I9" s="22">
        <v>26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24" t="str">
        <f>IF(B10="","",
IF(Curs!AG14,"Eliberat",
ROUND(SUM(C10:E10),0)))</f>
        <v/>
      </c>
      <c r="G10" s="23" t="str">
        <f>IF(B10="","",
IF(Curs!AG14,Curs!AG14,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IF(AND(F10&gt;=$H$11,F10&lt;=$I$11),$J$11))))))))))))</f>
        <v/>
      </c>
      <c r="H10" s="22">
        <v>27</v>
      </c>
      <c r="I10" s="22">
        <v>28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24" t="str">
        <f>IF(B11="","",
IF(Curs!AG15,"Eliberat",
ROUND(SUM(C11:E11),0)))</f>
        <v/>
      </c>
      <c r="G11" s="23" t="str">
        <f>IF(B11="","",
IF(Curs!AG15,Curs!AG15,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IF(AND(F11&gt;=$H$11,F11&lt;=$I$11),$J$11))))))))))))</f>
        <v/>
      </c>
      <c r="H11" s="22">
        <v>29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24" t="str">
        <f>IF(B12="","",
IF(Curs!AG16,"Eliberat",
ROUND(SUM(C12:E12),0)))</f>
        <v/>
      </c>
      <c r="G12" s="23" t="str">
        <f>IF(B12="","",
IF(Curs!AG16,Curs!AG16,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24" t="str">
        <f>IF(B13="","",
IF(Curs!AG17,"Eliberat",
ROUND(SUM(C13:E13),0)))</f>
        <v/>
      </c>
      <c r="G13" s="23" t="str">
        <f>IF(B13="","",
IF(Curs!AG17,Curs!AG17,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IF(AND(F13&gt;=$H$11,F13&lt;=$I$11),$J$11))))))))))))</f>
        <v/>
      </c>
      <c r="H13" s="22"/>
      <c r="I13" s="22"/>
      <c r="J13" s="12"/>
      <c r="K13" s="29" t="s">
        <v>33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24" t="str">
        <f>IF(B14="","",
IF(Curs!AG18,"Eliberat",
ROUND(SUM(C14:E14),0)))</f>
        <v/>
      </c>
      <c r="G14" s="23" t="str">
        <f>IF(B14="","",
IF(Curs!AG18,Curs!AG18,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24" t="str">
        <f>IF(B15="","",
IF(Curs!AG19,"Eliberat",
ROUND(SUM(C15:E15),0)))</f>
        <v/>
      </c>
      <c r="G15" s="23" t="str">
        <f>IF(B15="","",
IF(Curs!AG19,Curs!AG19,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24" t="str">
        <f>IF(B16="","",
IF(Curs!AG20,"Eliberat",
ROUND(SUM(C16:E16),0)))</f>
        <v/>
      </c>
      <c r="G16" s="23" t="str">
        <f>IF(B16="","",
IF(Curs!AG20,Curs!AG20,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24" t="str">
        <f>IF(B17="","",
IF(Curs!AG21,"Eliberat",
ROUND(SUM(C17:E17),0)))</f>
        <v/>
      </c>
      <c r="G17" s="23" t="str">
        <f>IF(B17="","",
IF(Curs!AG21,Curs!AG21,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24" t="str">
        <f>IF(B18="","",
IF(Curs!AG22,"Eliberat",
ROUND(SUM(C18:E18),0)))</f>
        <v/>
      </c>
      <c r="G18" s="23" t="str">
        <f>IF(B18="","",
IF(Curs!AG22,Curs!AG22,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24" t="str">
        <f>IF(B19="","",
IF(Curs!AG23,"Eliberat",
ROUND(SUM(C19:E19),0)))</f>
        <v/>
      </c>
      <c r="G19" s="23" t="str">
        <f>IF(B19="","",
IF(Curs!AG23,Curs!AG23,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24" t="str">
        <f>IF(B20="","",
IF(Curs!AG24,"Eliberat",
ROUND(SUM(C20:E20),0)))</f>
        <v/>
      </c>
      <c r="G20" s="23" t="str">
        <f>IF(B20="","",
IF(Curs!AG24,Curs!AG24,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24" t="str">
        <f>IF(B21="","",
IF(Curs!AG25,"Eliberat",
ROUND(SUM(C21:E21),0)))</f>
        <v/>
      </c>
      <c r="G21" s="23" t="str">
        <f>IF(B21="","",
IF(Curs!AG25,Curs!AG25,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24" t="str">
        <f>IF(B22="","",
IF(Curs!AG26,"Eliberat",
ROUND(SUM(C22:E22),0)))</f>
        <v/>
      </c>
      <c r="G22" s="23" t="str">
        <f>IF(B22="","",
IF(Curs!AG26,Curs!AG26,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24" t="str">
        <f>IF(B23="","",
IF(Curs!AG27,"Eliberat",
ROUND(SUM(C23:E23),0)))</f>
        <v/>
      </c>
      <c r="G23" s="23" t="str">
        <f>IF(B23="","",
IF(Curs!AG27,Curs!AG27,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24" t="str">
        <f>IF(B24="","",
IF(Curs!AG28,"Eliberat",
ROUND(SUM(C24:E24),0)))</f>
        <v/>
      </c>
      <c r="G24" s="23" t="str">
        <f>IF(B24="","",
IF(Curs!AG28,Curs!AG28,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24" t="str">
        <f>IF(B25="","",
IF(Curs!AG29,"Eliberat",
ROUND(SUM(C25:E25),0)))</f>
        <v/>
      </c>
      <c r="G25" s="23" t="str">
        <f>IF(B25="","",
IF(Curs!AG29,Curs!AG29,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24" t="str">
        <f>IF(B26="","",
IF(Curs!AG30,"Eliberat",
ROUND(SUM(C26:E26),0)))</f>
        <v/>
      </c>
      <c r="G26" s="23" t="str">
        <f>IF(B26="","",
IF(Curs!AG30,Curs!AG30,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24" t="str">
        <f>IF(B27="","",
IF(Curs!AG31,"Eliberat",
ROUND(SUM(C27:E27),0)))</f>
        <v/>
      </c>
      <c r="G27" s="23" t="str">
        <f>IF(B27="","",
IF(Curs!AG31,Curs!AG31,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24" t="str">
        <f>IF(B28="","",
IF(Curs!AG32,"Eliberat",
ROUND(SUM(C28:E28),0)))</f>
        <v/>
      </c>
      <c r="G28" s="23" t="str">
        <f>IF(B28="","",
IF(Curs!AG32,Curs!AG32,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IF(AND(F28&gt;=$H$11,F28&lt;=$I$11),$J$11))))))))))))</f>
        <v/>
      </c>
    </row>
    <row r="29" spans="1:16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24" t="str">
        <f>IF(B29="","",
IF(Curs!AG33,"Eliberat",
ROUND(SUM(C29:E29),0)))</f>
        <v/>
      </c>
      <c r="G29" s="23" t="str">
        <f>IF(B29="","",
IF(Curs!AG33,Curs!AG33,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IF(AND(F29&gt;=$H$11,F29&lt;=$I$11),$J$11))))))))))))</f>
        <v/>
      </c>
    </row>
    <row r="30" spans="1:16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24" t="str">
        <f>IF(B30="","",
IF(Curs!AG34,"Eliberat",
ROUND(SUM(C30:E30),0)))</f>
        <v/>
      </c>
      <c r="G30" s="23" t="str">
        <f>IF(B30="","",
IF(Curs!AG34,Curs!AG34,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IF(AND(F30&gt;=$H$11,F30&lt;=$I$11),$J$11))))))))))))</f>
        <v/>
      </c>
    </row>
    <row r="31" spans="1:16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24" t="str">
        <f>IF(B31="","",
IF(Curs!AG35,"Eliberat",
ROUND(SUM(C31:E31),0)))</f>
        <v/>
      </c>
      <c r="G31" s="23" t="str">
        <f>IF(B31="","",
IF(Curs!AG35,Curs!AG35,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IF(AND(F31&gt;=$H$11,F31&lt;=$I$11),$J$11))))))))))))</f>
        <v/>
      </c>
    </row>
    <row r="32" spans="1:16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24" t="str">
        <f>IF(B32="","",
IF(Curs!AG36,"Eliberat",
ROUND(SUM(C32:E32),0)))</f>
        <v/>
      </c>
      <c r="G32" s="23" t="str">
        <f>IF(B32="","",
IF(Curs!AG36,Curs!AG36,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IF(AND(F32&gt;=$H$11,F32&lt;=$I$11),$J$11))))))))))))</f>
        <v/>
      </c>
    </row>
    <row r="33" spans="1:7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24" t="str">
        <f>IF(B33="","",
IF(Curs!AG37,"Eliberat",
ROUND(SUM(C33:E33),0)))</f>
        <v/>
      </c>
      <c r="G33" s="23" t="str">
        <f>IF(B33="","",
IF(Curs!AG37,Curs!AG37,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IF(AND(F33&gt;=$H$11,F33&lt;=$I$11),$J$11))))))))))))</f>
        <v/>
      </c>
    </row>
    <row r="34" spans="1:7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24" t="str">
        <f>IF(B34="","",
IF(Curs!AG38,"Eliberat",
ROUND(SUM(C34:E34),0)))</f>
        <v/>
      </c>
      <c r="G34" s="23" t="str">
        <f>IF(B34="","",
IF(Curs!AG38,Curs!AG38,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IF(AND(F34&gt;=$H$11,F34&lt;=$I$11),$J$11))))))))))))</f>
        <v/>
      </c>
    </row>
    <row r="35" spans="1:7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24" t="str">
        <f>IF(B35="","",
IF(Curs!AG39,"Eliberat",
ROUND(SUM(C35:E35),0)))</f>
        <v/>
      </c>
      <c r="G35" s="23" t="str">
        <f>IF(B35="","",
IF(Curs!AG39,Curs!AG39,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IF(AND(F35&gt;=$H$11,F35&lt;=$I$11),$J$11))))))))))))</f>
        <v/>
      </c>
    </row>
    <row r="36" spans="1:7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24" t="str">
        <f>IF(B36="","",
IF(Curs!AG40,"Eliberat",
ROUND(SUM(C36:E36),0)))</f>
        <v/>
      </c>
      <c r="G36" s="23" t="str">
        <f>IF(B36="","",
IF(Curs!AG40,Curs!AG40,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IF(AND(F36&gt;=$H$11,F36&lt;=$I$11),$J$11))))))))))))</f>
        <v/>
      </c>
    </row>
    <row r="37" spans="1:7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24" t="str">
        <f>IF(B37="","",
IF(Curs!AG41,"Eliberat",
ROUND(SUM(C37:E37),0)))</f>
        <v/>
      </c>
      <c r="G37" s="23" t="str">
        <f>IF(B37="","",
IF(Curs!AG41,Curs!AG41,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IF(AND(F37&gt;=$H$11,F37&lt;=$I$11),$J$11))))))))))))</f>
        <v/>
      </c>
    </row>
    <row r="38" spans="1:7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24" t="str">
        <f>IF(B38="","",
IF(Curs!AG42,"Eliberat",
ROUND(SUM(C38:E38),0)))</f>
        <v/>
      </c>
      <c r="G38" s="23" t="str">
        <f>IF(B38="","",
IF(Curs!AG42,Curs!AG42,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IF(AND(F38&gt;=$H$11,F38&lt;=$I$11),$J$11))))))))))))</f>
        <v/>
      </c>
    </row>
    <row r="39" spans="1:7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24" t="str">
        <f>IF(B39="","",
IF(Curs!AG43,"Eliberat",
ROUND(SUM(C39:E39),0)))</f>
        <v/>
      </c>
      <c r="G39" s="23" t="str">
        <f>IF(B39="","",
IF(Curs!AG43,Curs!AG43,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IF(AND(F39&gt;=$H$11,F39&lt;=$I$11),$J$11))))))))))))</f>
        <v/>
      </c>
    </row>
    <row r="40" spans="1:7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24" t="str">
        <f>IF(B40="","",
IF(Curs!AG44,"Eliberat",
ROUND(SUM(C40:E40),0)))</f>
        <v/>
      </c>
      <c r="G40" s="23" t="str">
        <f>IF(B40="","",
IF(Curs!AG44,Curs!AG44,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IF(AND(F40&gt;=$H$11,F40&lt;=$I$11),$J$11))))))))))))</f>
        <v/>
      </c>
    </row>
    <row r="41" spans="1:7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24" t="str">
        <f>IF(B41="","",
IF(Curs!AG45,"Eliberat",
ROUND(SUM(C41:E41),0)))</f>
        <v/>
      </c>
      <c r="G41" s="23" t="str">
        <f>IF(B41="","",
IF(Curs!AG45,Curs!AG45,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IF(AND(F41&gt;=$H$11,F41&lt;=$I$11),$J$11))))))))))))</f>
        <v/>
      </c>
    </row>
    <row r="42" spans="1:7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24" t="str">
        <f>IF(B42="","",
IF(Curs!AG46,"Eliberat",
ROUND(SUM(C42:E42),0)))</f>
        <v/>
      </c>
      <c r="G42" s="23" t="str">
        <f>IF(B42="","",
IF(Curs!AG46,Curs!AG46,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IF(AND(F42&gt;=$H$11,F42&lt;=$I$11),$J$11))))))))))))</f>
        <v/>
      </c>
    </row>
    <row r="43" spans="1:7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24" t="str">
        <f>IF(B43="","",
IF(Curs!AG47,"Eliberat",
ROUND(SUM(C43:E43),0)))</f>
        <v/>
      </c>
      <c r="G43" s="23" t="str">
        <f>IF(B43="","",
IF(Curs!AG47,Curs!AG47,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IF(AND(F43&gt;=$H$11,F43&lt;=$I$11),$J$11))))))))))))</f>
        <v/>
      </c>
    </row>
    <row r="44" spans="1:7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24" t="str">
        <f>IF(B44="","",
IF(Curs!AG48,"Eliberat",
ROUND(SUM(C44:E44),0)))</f>
        <v/>
      </c>
      <c r="G44" s="23" t="str">
        <f>IF(B44="","",
IF(Curs!AG48,Curs!AG48,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IF(AND(F44&gt;=$H$11,F44&lt;=$I$11),$J$11))))))))))))</f>
        <v/>
      </c>
    </row>
    <row r="45" spans="1:7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24" t="str">
        <f>IF(B45="","",
IF(Curs!AG49,"Eliberat",
ROUND(SUM(C45:E45),0)))</f>
        <v/>
      </c>
      <c r="G45" s="23" t="str">
        <f>IF(B45="","",
IF(Curs!AG49,Curs!AG49,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IF(AND(F45&gt;=$H$11,F45&lt;=$I$11),$J$11))))))))))))</f>
        <v/>
      </c>
    </row>
    <row r="46" spans="1:7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24" t="str">
        <f>IF(B46="","",
IF(Curs!AG50,"Eliberat",
ROUND(SUM(C46:E46),0)))</f>
        <v/>
      </c>
      <c r="G46" s="23" t="str">
        <f>IF(B46="","",
IF(Curs!AG50,Curs!AG50,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IF(AND(F46&gt;=$H$11,F46&lt;=$I$11),$J$11))))))))))))</f>
        <v/>
      </c>
    </row>
    <row r="47" spans="1:7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24" t="str">
        <f>IF(B47="","",
IF(Curs!AG51,"Eliberat",
ROUND(SUM(C47:E47),0)))</f>
        <v/>
      </c>
      <c r="G47" s="23" t="str">
        <f>IF(B47="","",
IF(Curs!AG51,Curs!AG51,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IF(AND(F47&gt;=$H$11,F47&lt;=$I$11),$J$11))))))))))))</f>
        <v/>
      </c>
    </row>
    <row r="48" spans="1:7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24" t="str">
        <f>IF(B48="","",
IF(Curs!AG52,"Eliberat",
ROUND(SUM(C48:E48),0)))</f>
        <v/>
      </c>
      <c r="G48" s="23" t="str">
        <f>IF(B48="","",
IF(Curs!AG52,Curs!AG52,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IF(AND(F48&gt;=$H$11,F48&lt;=$I$11),$J$11))))))))))))</f>
        <v/>
      </c>
    </row>
    <row r="49" spans="1:7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24" t="str">
        <f>IF(B49="","",
IF(Curs!AG53,"Eliberat",
ROUND(SUM(C49:E49),0)))</f>
        <v/>
      </c>
      <c r="G49" s="23" t="str">
        <f>IF(B49="","",
IF(Curs!AG53,Curs!AG53,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IF(AND(F49&gt;=$H$11,F49&lt;=$I$11),$J$11))))))))))))</f>
        <v/>
      </c>
    </row>
    <row r="50" spans="1:7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24" t="str">
        <f>IF(B50="","",
IF(Curs!AG54,"Eliberat",
ROUND(SUM(C50:E50),0)))</f>
        <v/>
      </c>
      <c r="G50" s="23" t="str">
        <f>IF(B50="","",
IF(Curs!AG54,Curs!AG54,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IF(AND(F50&gt;=$H$11,F50&lt;=$I$11),$J$11))))))))))))</f>
        <v/>
      </c>
    </row>
    <row r="51" spans="1:7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24" t="str">
        <f>IF(B51="","",
IF(Curs!AG55,"Eliberat",
ROUND(SUM(C51:E51),0)))</f>
        <v/>
      </c>
      <c r="G51" s="23" t="str">
        <f>IF(B51="","",
IF(Curs!AG55,Curs!AG55,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IF(AND(F51&gt;=$H$11,F51&lt;=$I$11),$J$11))))))))))))</f>
        <v/>
      </c>
    </row>
    <row r="52" spans="1:7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24" t="str">
        <f>IF(B52="","",
IF(Curs!AG56,"Eliberat",
ROUND(SUM(C52:E52),0)))</f>
        <v/>
      </c>
      <c r="G52" s="23" t="str">
        <f>IF(B52="","",
IF(Curs!AG56,Curs!AG56,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IF(AND(F52&gt;=$H$11,F52&lt;=$I$11),$J$11))))))))))))</f>
        <v/>
      </c>
    </row>
    <row r="53" spans="1:7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24" t="str">
        <f>IF(B53="","",
IF(Curs!AG57,"Eliberat",
ROUND(SUM(C53:E53),0)))</f>
        <v/>
      </c>
      <c r="G53" s="23" t="str">
        <f>IF(B53="","",
IF(Curs!AG57,Curs!AG57,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IF(AND(F53&gt;=$H$11,F53&lt;=$I$11),$J$11))))))))))))</f>
        <v/>
      </c>
    </row>
    <row r="54" spans="1:7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24" t="str">
        <f>IF(B54="","",
IF(Curs!AG58,"Eliberat",
ROUND(SUM(C54:E54),0)))</f>
        <v/>
      </c>
      <c r="G54" s="23" t="str">
        <f>IF(B54="","",
IF(Curs!AG58,Curs!AG58,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IF(AND(F54&gt;=$H$11,F54&lt;=$I$11),$J$11))))))))))))</f>
        <v/>
      </c>
    </row>
    <row r="55" spans="1:7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24" t="str">
        <f>IF(B55="","",
IF(Curs!AG59,"Eliberat",
ROUND(SUM(C55:E55),0)))</f>
        <v/>
      </c>
      <c r="G55" s="23" t="str">
        <f>IF(B55="","",
IF(Curs!AG59,Curs!AG59,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IF(AND(F55&gt;=$H$11,F55&lt;=$I$11),$J$11))))))))))))</f>
        <v/>
      </c>
    </row>
    <row r="56" spans="1:7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24" t="str">
        <f>IF(B56="","",
IF(Curs!AG60,"Eliberat",
ROUND(SUM(C56:E56),0)))</f>
        <v/>
      </c>
      <c r="G56" s="23" t="str">
        <f>IF(B56="","",
IF(Curs!AG60,Curs!AG60,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IF(AND(F56&gt;=$H$11,F56&lt;=$I$11),$J$11))))))))))))</f>
        <v/>
      </c>
    </row>
    <row r="57" spans="1:7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24" t="str">
        <f>IF(B57="","",
IF(Curs!AG61,"Eliberat",
ROUND(SUM(C57:E57),0)))</f>
        <v/>
      </c>
      <c r="G57" s="23" t="str">
        <f>IF(B57="","",
IF(Curs!AG61,Curs!AG61,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IF(AND(F57&gt;=$H$11,F57&lt;=$I$11),$J$11))))))))))))</f>
        <v/>
      </c>
    </row>
    <row r="58" spans="1:7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24" t="str">
        <f>IF(B58="","",
IF(Curs!AG62,"Eliberat",
ROUND(SUM(C58:E58),0)))</f>
        <v/>
      </c>
      <c r="G58" s="23" t="str">
        <f>IF(B58="","",
IF(Curs!AG62,Curs!AG62,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IF(AND(F58&gt;=$H$11,F58&lt;=$I$11),$J$11))))))))))))</f>
        <v/>
      </c>
    </row>
    <row r="59" spans="1:7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24" t="str">
        <f>IF(B59="","",
IF(Curs!AG63,"Eliberat",
ROUND(SUM(C59:E59),0)))</f>
        <v/>
      </c>
      <c r="G59" s="23" t="str">
        <f>IF(B59="","",
IF(Curs!AG63,Curs!AG63,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IF(AND(F59&gt;=$H$11,F59&lt;=$I$11),$J$11))))))))))))</f>
        <v/>
      </c>
    </row>
    <row r="60" spans="1:7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24" t="str">
        <f>IF(B60="","",
IF(Curs!AG64,"Eliberat",
ROUND(SUM(C60:E60),0)))</f>
        <v/>
      </c>
      <c r="G60" s="23" t="str">
        <f>IF(B60="","",
IF(Curs!AG64,Curs!AG64,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IF(AND(F60&gt;=$H$11,F60&lt;=$I$11),$J$11))))))))))))</f>
        <v/>
      </c>
    </row>
    <row r="61" spans="1:7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24" t="str">
        <f>IF(B61="","",
IF(Curs!AG65,"Eliberat",
ROUND(SUM(C61:E61),0)))</f>
        <v/>
      </c>
      <c r="G61" s="23" t="str">
        <f>IF(B61="","",
IF(Curs!AG65,Curs!AG65,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IF(AND(F61&gt;=$H$11,F61&lt;=$I$11),$J$11))))))))))))</f>
        <v/>
      </c>
    </row>
    <row r="62" spans="1:7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24" t="str">
        <f>IF(B62="","",
IF(Curs!AG66,"Eliberat",
ROUND(SUM(C62:E62),0)))</f>
        <v/>
      </c>
      <c r="G62" s="23" t="str">
        <f>IF(B62="","",
IF(Curs!AG66,Curs!AG66,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IF(AND(F62&gt;=$H$11,F62&lt;=$I$11),$J$11))))))))))))</f>
        <v/>
      </c>
    </row>
    <row r="63" spans="1:7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24" t="str">
        <f>IF(B63="","",
IF(Curs!AG67,"Eliberat",
ROUND(SUM(C63:E63),0)))</f>
        <v/>
      </c>
      <c r="G63" s="23" t="str">
        <f>IF(B63="","",
IF(Curs!AG67,Curs!AG67,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IF(AND(F63&gt;=$H$11,F63&lt;=$I$11),$J$11))))))))))))</f>
        <v/>
      </c>
    </row>
    <row r="64" spans="1:7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24" t="str">
        <f>IF(B64="","",
IF(Curs!AG68,"Eliberat",
ROUND(SUM(C64:E64),0)))</f>
        <v/>
      </c>
      <c r="G64" s="23" t="str">
        <f>IF(B64="","",
IF(Curs!AG68,Curs!AG68,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IF(AND(F64&gt;=$H$11,F64&lt;=$I$11),$J$11))))))))))))</f>
        <v/>
      </c>
    </row>
    <row r="65" spans="1:7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24" t="str">
        <f>IF(B65="","",
IF(Curs!AG69,"Eliberat",
ROUND(SUM(C65:E65),0)))</f>
        <v/>
      </c>
      <c r="G65" s="23" t="str">
        <f>IF(B65="","",
IF(Curs!AG69,Curs!AG69,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IF(AND(F65&gt;=$H$11,F65&lt;=$I$11),$J$11))))))))))))</f>
        <v/>
      </c>
    </row>
    <row r="66" spans="1:7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24" t="str">
        <f>IF(B66="","",
IF(Curs!AG70,"Eliberat",
ROUND(SUM(C66:E66),0)))</f>
        <v/>
      </c>
      <c r="G66" s="23" t="str">
        <f>IF(B66="","",
IF(Curs!AG70,Curs!AG70,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IF(AND(F66&gt;=$H$11,F66&lt;=$I$11),$J$11))))))))))))</f>
        <v/>
      </c>
    </row>
    <row r="67" spans="1:7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24" t="str">
        <f>IF(B67="","",
IF(Curs!AG71,"Eliberat",
ROUND(SUM(C67:E67),0)))</f>
        <v/>
      </c>
      <c r="G67" s="23" t="str">
        <f>IF(B67="","",
IF(Curs!AG71,Curs!AG71,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IF(AND(F67&gt;=$H$11,F67&lt;=$I$11),$J$11))))))))))))</f>
        <v/>
      </c>
    </row>
    <row r="68" spans="1:7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24" t="str">
        <f>IF(B68="","",
IF(Curs!AG72,"Eliberat",
ROUND(SUM(C68:E68),0)))</f>
        <v/>
      </c>
      <c r="G68" s="23" t="str">
        <f>IF(B68="","",
IF(Curs!AG72,Curs!AG72,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IF(AND(F68&gt;=$H$11,F68&lt;=$I$11),$J$11))))))))))))</f>
        <v/>
      </c>
    </row>
    <row r="69" spans="1:7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24" t="str">
        <f>IF(B69="","",
IF(Curs!AG73,"Eliberat",
ROUND(SUM(C69:E69),0)))</f>
        <v/>
      </c>
      <c r="G69" s="23" t="str">
        <f>IF(B69="","",
IF(Curs!AG73,Curs!AG73,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IF(AND(F69&gt;=$H$11,F69&lt;=$I$11),$J$11))))))))))))</f>
        <v/>
      </c>
    </row>
    <row r="70" spans="1:7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24" t="str">
        <f>IF(B70="","",
IF(Curs!AG74,"Eliberat",
ROUND(SUM(C70:E70),0)))</f>
        <v/>
      </c>
      <c r="G70" s="23" t="str">
        <f>IF(B70="","",
IF(Curs!AG74,Curs!AG74,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IF(AND(F70&gt;=$H$11,F70&lt;=$I$11),$J$11))))))))))))</f>
        <v/>
      </c>
    </row>
    <row r="71" spans="1:7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24" t="str">
        <f>IF(B71="","",
IF(Curs!AG75,"Eliberat",
ROUND(SUM(C71:E71),0)))</f>
        <v/>
      </c>
      <c r="G71" s="23" t="str">
        <f>IF(B71="","",
IF(Curs!AG75,Curs!AG75,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IF(AND(F71&gt;=$H$11,F71&lt;=$I$11),$J$11))))))))))))</f>
        <v/>
      </c>
    </row>
    <row r="72" spans="1:7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24" t="str">
        <f>IF(B72="","",
IF(Curs!AG76,"Eliberat",
ROUND(SUM(C72:E72),0)))</f>
        <v/>
      </c>
      <c r="G72" s="23" t="str">
        <f>IF(B72="","",
IF(Curs!AG76,Curs!AG76,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IF(AND(F72&gt;=$H$11,F72&lt;=$I$11),$J$11))))))))))))</f>
        <v/>
      </c>
    </row>
    <row r="73" spans="1:7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24" t="str">
        <f>IF(B73="","",
IF(Curs!AG77,"Eliberat",
ROUND(SUM(C73:E73),0)))</f>
        <v/>
      </c>
      <c r="G73" s="23" t="str">
        <f>IF(B73="","",
IF(Curs!AG77,Curs!AG77,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IF(AND(F73&gt;=$H$11,F73&lt;=$I$11),$J$11))))))))))))</f>
        <v/>
      </c>
    </row>
    <row r="74" spans="1:7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24" t="str">
        <f>IF(B74="","",
IF(Curs!AG78,"Eliberat",
ROUND(SUM(C74:E74),0)))</f>
        <v/>
      </c>
      <c r="G74" s="23" t="str">
        <f>IF(B74="","",
IF(Curs!AG78,Curs!AG78,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IF(AND(F74&gt;=$H$11,F74&lt;=$I$11),$J$11))))))))))))</f>
        <v/>
      </c>
    </row>
    <row r="75" spans="1:7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24" t="str">
        <f>IF(B75="","",
IF(Curs!AG79,"Eliberat",
ROUND(SUM(C75:E75),0)))</f>
        <v/>
      </c>
      <c r="G75" s="23" t="str">
        <f>IF(B75="","",
IF(Curs!AG79,Curs!AG79,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IF(AND(F75&gt;=$H$11,F75&lt;=$I$11),$J$11))))))))))))</f>
        <v/>
      </c>
    </row>
    <row r="76" spans="1:7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24" t="str">
        <f>IF(B76="","",
IF(Curs!AG80,"Eliberat",
ROUND(SUM(C76:E76),0)))</f>
        <v/>
      </c>
      <c r="G76" s="23" t="str">
        <f>IF(B76="","",
IF(Curs!AG80,Curs!AG80,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IF(AND(F76&gt;=$H$11,F76&lt;=$I$11),$J$11))))))))))))</f>
        <v/>
      </c>
    </row>
    <row r="77" spans="1:7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24" t="str">
        <f>IF(B77="","",
IF(Curs!AG81,"Eliberat",
ROUND(SUM(C77:E77),0)))</f>
        <v/>
      </c>
      <c r="G77" s="23" t="str">
        <f>IF(B77="","",
IF(Curs!AG81,Curs!AG81,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IF(AND(F77&gt;=$H$11,F77&lt;=$I$11),$J$11))))))))))))</f>
        <v/>
      </c>
    </row>
    <row r="78" spans="1:7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24" t="str">
        <f>IF(B78="","",
IF(Curs!AG82,"Eliberat",
ROUND(SUM(C78:E78),0)))</f>
        <v/>
      </c>
      <c r="G78" s="23" t="str">
        <f>IF(B78="","",
IF(Curs!AG82,Curs!AG82,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IF(AND(F78&gt;=$H$11,F78&lt;=$I$11),$J$11))))))))))))</f>
        <v/>
      </c>
    </row>
    <row r="79" spans="1:7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24" t="str">
        <f>IF(B79="","",
IF(Curs!AG83,"Eliberat",
ROUND(SUM(C79:E79),0)))</f>
        <v/>
      </c>
      <c r="G79" s="23" t="str">
        <f>IF(B79="","",
IF(Curs!AG83,Curs!AG83,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IF(AND(F79&gt;=$H$11,F79&lt;=$I$11),$J$11))))))))))))</f>
        <v/>
      </c>
    </row>
    <row r="80" spans="1:7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24" t="str">
        <f>IF(B80="","",
IF(Curs!AG84,"Eliberat",
ROUND(SUM(C80:E80),0)))</f>
        <v/>
      </c>
      <c r="G80" s="23" t="str">
        <f>IF(B80="","",
IF(Curs!AG84,Curs!AG84,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IF(AND(F80&gt;=$H$11,F80&lt;=$I$11),$J$11))))))))))))</f>
        <v/>
      </c>
    </row>
    <row r="81" spans="1:7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24" t="str">
        <f>IF(B81="","",
IF(Curs!AG85,"Eliberat",
ROUND(SUM(C81:E81),0)))</f>
        <v/>
      </c>
      <c r="G81" s="23" t="str">
        <f>IF(B81="","",
IF(Curs!AG85,Curs!AG85,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IF(AND(F81&gt;=$H$11,F81&lt;=$I$11),$J$11))))))))))))</f>
        <v/>
      </c>
    </row>
    <row r="82" spans="1:7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24" t="str">
        <f>IF(B82="","",
IF(Curs!AG86,"Eliberat",
ROUND(SUM(C82:E82),0)))</f>
        <v/>
      </c>
      <c r="G82" s="23" t="str">
        <f>IF(B82="","",
IF(Curs!AG86,Curs!AG86,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IF(AND(F82&gt;=$H$11,F82&lt;=$I$11),$J$11))))))))))))</f>
        <v/>
      </c>
    </row>
    <row r="83" spans="1:7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24" t="str">
        <f>IF(B83="","",
IF(Curs!AG87,"Eliberat",
ROUND(SUM(C83:E83),0)))</f>
        <v/>
      </c>
      <c r="G83" s="23" t="str">
        <f>IF(B83="","",
IF(Curs!AG87,Curs!AG87,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IF(AND(F83&gt;=$H$11,F83&lt;=$I$11),$J$11))))))))))))</f>
        <v/>
      </c>
    </row>
    <row r="84" spans="1:7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24" t="str">
        <f>IF(B84="","",
IF(Curs!AG88,"Eliberat",
ROUND(SUM(C84:E84),0)))</f>
        <v/>
      </c>
      <c r="G84" s="23" t="str">
        <f>IF(B84="","",
IF(Curs!AG88,Curs!AG88,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IF(AND(F84&gt;=$H$11,F84&lt;=$I$11),$J$11))))))))))))</f>
        <v/>
      </c>
    </row>
    <row r="85" spans="1:7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24" t="str">
        <f>IF(B85="","",
IF(Curs!AG89,"Eliberat",
ROUND(SUM(C85:E85),0)))</f>
        <v/>
      </c>
      <c r="G85" s="23" t="str">
        <f>IF(B85="","",
IF(Curs!AG89,Curs!AG89,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IF(AND(F85&gt;=$H$11,F85&lt;=$I$11),$J$11))))))))))))</f>
        <v/>
      </c>
    </row>
    <row r="86" spans="1:7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24" t="str">
        <f>IF(B86="","",
IF(Curs!AG90,"Eliberat",
ROUND(SUM(C86:E86),0)))</f>
        <v/>
      </c>
      <c r="G86" s="23" t="str">
        <f>IF(B86="","",
IF(Curs!AG90,Curs!AG90,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IF(AND(F86&gt;=$H$11,F86&lt;=$I$11),$J$11))))))))))))</f>
        <v/>
      </c>
    </row>
    <row r="87" spans="1:7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24" t="str">
        <f>IF(B87="","",
IF(Curs!AG91,"Eliberat",
ROUND(SUM(C87:E87),0)))</f>
        <v/>
      </c>
      <c r="G87" s="23" t="str">
        <f>IF(B87="","",
IF(Curs!AG91,Curs!AG91,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IF(AND(F87&gt;=$H$11,F87&lt;=$I$11),$J$11))))))))))))</f>
        <v/>
      </c>
    </row>
    <row r="88" spans="1:7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24" t="str">
        <f>IF(B88="","",
IF(Curs!AG92,"Eliberat",
ROUND(SUM(C88:E88),0)))</f>
        <v/>
      </c>
      <c r="G88" s="23" t="str">
        <f>IF(B88="","",
IF(Curs!AG92,Curs!AG92,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IF(AND(F88&gt;=$H$11,F88&lt;=$I$11),$J$11))))))))))))</f>
        <v/>
      </c>
    </row>
    <row r="89" spans="1:7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24" t="str">
        <f>IF(B89="","",
IF(Curs!AG93,"Eliberat",
ROUND(SUM(C89:E89),0)))</f>
        <v/>
      </c>
      <c r="G89" s="23" t="str">
        <f>IF(B89="","",
IF(Curs!AG93,Curs!AG93,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IF(AND(F89&gt;=$H$11,F89&lt;=$I$11),$J$11))))))))))))</f>
        <v/>
      </c>
    </row>
    <row r="90" spans="1:7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24" t="str">
        <f>IF(B90="","",
IF(Curs!AG94,"Eliberat",
ROUND(SUM(C90:E90),0)))</f>
        <v/>
      </c>
      <c r="G90" s="23" t="str">
        <f>IF(B90="","",
IF(Curs!AG94,Curs!AG94,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IF(AND(F90&gt;=$H$11,F90&lt;=$I$11),$J$11))))))))))))</f>
        <v/>
      </c>
    </row>
    <row r="91" spans="1:7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24" t="str">
        <f>IF(B91="","",
IF(Curs!AG95,"Eliberat",
ROUND(SUM(C91:E91),0)))</f>
        <v/>
      </c>
      <c r="G91" s="23" t="str">
        <f>IF(B91="","",
IF(Curs!AG95,Curs!AG95,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IF(AND(F91&gt;=$H$11,F91&lt;=$I$11),$J$11))))))))))))</f>
        <v/>
      </c>
    </row>
    <row r="92" spans="1:7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24" t="str">
        <f>IF(B92="","",
IF(Curs!AG96,"Eliberat",
ROUND(SUM(C92:E92),0)))</f>
        <v/>
      </c>
      <c r="G92" s="23" t="str">
        <f>IF(B92="","",
IF(Curs!AG96,Curs!AG96,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IF(AND(F92&gt;=$H$11,F92&lt;=$I$11),$J$11))))))))))))</f>
        <v/>
      </c>
    </row>
    <row r="93" spans="1:7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24" t="str">
        <f>IF(B93="","",
IF(Curs!AG97,"Eliberat",
ROUND(SUM(C93:E93),0)))</f>
        <v/>
      </c>
      <c r="G93" s="23" t="str">
        <f>IF(B93="","",
IF(Curs!AG97,Curs!AG97,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IF(AND(F93&gt;=$H$11,F93&lt;=$I$11),$J$11))))))))))))</f>
        <v/>
      </c>
    </row>
    <row r="94" spans="1:7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24" t="str">
        <f>IF(B94="","",
IF(Curs!AG98,"Eliberat",
ROUND(SUM(C94:E94),0)))</f>
        <v/>
      </c>
      <c r="G94" s="23" t="str">
        <f>IF(B94="","",
IF(Curs!AG98,Curs!AG98,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IF(AND(F94&gt;=$H$11,F94&lt;=$I$11),$J$11))))))))))))</f>
        <v/>
      </c>
    </row>
    <row r="95" spans="1:7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24" t="str">
        <f>IF(B95="","",
IF(Curs!AG99,"Eliberat",
ROUND(SUM(C95:E95),0)))</f>
        <v/>
      </c>
      <c r="G95" s="23" t="str">
        <f>IF(B95="","",
IF(Curs!AG99,Curs!AG99,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IF(AND(F95&gt;=$H$11,F95&lt;=$I$11),$J$11))))))))))))</f>
        <v/>
      </c>
    </row>
    <row r="96" spans="1:7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24" t="str">
        <f>IF(B96="","",
IF(Curs!AG100,"Eliberat",
ROUND(SUM(C96:E96),0)))</f>
        <v/>
      </c>
      <c r="G96" s="23" t="str">
        <f>IF(B96="","",
IF(Curs!AG100,Curs!AG100,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IF(AND(F96&gt;=$H$11,F96&lt;=$I$11),$J$11))))))))))))</f>
        <v/>
      </c>
    </row>
    <row r="97" spans="1:7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24" t="str">
        <f>IF(B97="","",
IF(Curs!AG101,"Eliberat",
ROUND(SUM(C97:E97),0)))</f>
        <v/>
      </c>
      <c r="G97" s="23" t="str">
        <f>IF(B97="","",
IF(Curs!AG101,Curs!AG101,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IF(AND(F97&gt;=$H$11,F97&lt;=$I$11),$J$11))))))))))))</f>
        <v/>
      </c>
    </row>
    <row r="98" spans="1:7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24" t="str">
        <f>IF(B98="","",
IF(Curs!AG102,"Eliberat",
ROUND(SUM(C98:E98),0)))</f>
        <v/>
      </c>
      <c r="G98" s="23" t="str">
        <f>IF(B98="","",
IF(Curs!AG102,Curs!AG102,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IF(AND(F98&gt;=$H$11,F98&lt;=$I$11),$J$11))))))))))))</f>
        <v/>
      </c>
    </row>
    <row r="99" spans="1:7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24" t="str">
        <f>IF(B99="","",
IF(Curs!AG103,"Eliberat",
ROUND(SUM(C99:E99),0)))</f>
        <v/>
      </c>
      <c r="G99" s="23" t="str">
        <f>IF(B99="","",
IF(Curs!AG103,Curs!AG103,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IF(AND(F99&gt;=$H$11,F99&lt;=$I$11),$J$11))))))))))))</f>
        <v/>
      </c>
    </row>
    <row r="100" spans="1:7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24" t="str">
        <f>IF(B100="","",
IF(Curs!AG104,"Eliberat",
ROUND(SUM(C100:E100),0)))</f>
        <v/>
      </c>
      <c r="G100" s="23" t="str">
        <f>IF(B100="","",
IF(Curs!AG104,Curs!AG104,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IF(AND(F100&gt;=$H$11,F100&lt;=$I$11),$J$11))))))))))))</f>
        <v/>
      </c>
    </row>
    <row r="101" spans="1:7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24" t="str">
        <f>IF(B101="","",
IF(Curs!AG105,"Eliberat",
ROUND(SUM(C101:E101),0)))</f>
        <v/>
      </c>
      <c r="G101" s="23" t="str">
        <f>IF(B101="","",
IF(Curs!AG105,Curs!AG105,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IF(AND(F101&gt;=$H$11,F101&lt;=$I$11),$J$11))))))))))))</f>
        <v/>
      </c>
    </row>
    <row r="102" spans="1:7" ht="18" x14ac:dyDescent="0.35">
      <c r="A102" s="30" t="str">
        <f>IF(NOT(ISBLANK(Curs!B106)),Curs!B106,"")</f>
        <v/>
      </c>
      <c r="B102" s="31" t="str">
        <f>IF(NOT(ISBLANK(Curs!C106)),Curs!C106,"")</f>
        <v/>
      </c>
      <c r="C102" s="10"/>
      <c r="D102" s="10"/>
      <c r="E102" s="10"/>
      <c r="F102" s="24" t="str">
        <f>IF(B102="","",
IF(Curs!AG106,"Eliberat",
ROUND(SUM(C102:E102),0)))</f>
        <v/>
      </c>
      <c r="G102" s="23" t="str">
        <f>IF(B102="","",
IF(Curs!AG106,Curs!AG106,
IF(F102=0,"n/p",
IF(AND(F102&gt;=$H$3,F102&lt;=$I$3),$J$3,
IF(AND(F102&gt;=$H$4,F102&lt;=$I$4),$J$4,
IF(AND(F102&gt;=$H$5,F102&lt;=$I$5),$J$5,
IF(AND(F102&gt;=$H$6,F102&lt;=$I$6),$J$6,
IF(AND(F102&gt;=$H$7,F102&lt;=$I$7),$J$7,
IF(AND(F102&gt;=$H$8,F102&lt;=$I$8),$J$8,
IF(AND(F102&gt;=$H$9,F102&lt;=$I$9),$J$9,
IF(AND(F102&gt;=$H$10,F102&lt;=$I$10),$J$10,
IF(AND(F102&gt;=$H$11,F102&lt;=$I$11),$J$11))))))))))))</f>
        <v/>
      </c>
    </row>
    <row r="103" spans="1:7" ht="18" x14ac:dyDescent="0.35">
      <c r="A103" s="30" t="str">
        <f>IF(NOT(ISBLANK(Curs!B107)),Curs!B107,"")</f>
        <v/>
      </c>
      <c r="B103" s="31" t="str">
        <f>IF(NOT(ISBLANK(Curs!C107)),Curs!C107,"")</f>
        <v/>
      </c>
      <c r="C103" s="10"/>
      <c r="D103" s="10"/>
      <c r="E103" s="10"/>
      <c r="F103" s="24" t="str">
        <f>IF(B103="","",
IF(Curs!AG107,"Eliberat",
ROUND(SUM(C103:E103),0)))</f>
        <v/>
      </c>
      <c r="G103" s="23" t="str">
        <f>IF(B103="","",
IF(Curs!AG107,Curs!AG107,
IF(F103=0,"n/p",
IF(AND(F103&gt;=$H$3,F103&lt;=$I$3),$J$3,
IF(AND(F103&gt;=$H$4,F103&lt;=$I$4),$J$4,
IF(AND(F103&gt;=$H$5,F103&lt;=$I$5),$J$5,
IF(AND(F103&gt;=$H$6,F103&lt;=$I$6),$J$6,
IF(AND(F103&gt;=$H$7,F103&lt;=$I$7),$J$7,
IF(AND(F103&gt;=$H$8,F103&lt;=$I$8),$J$8,
IF(AND(F103&gt;=$H$9,F103&lt;=$I$9),$J$9,
IF(AND(F103&gt;=$H$10,F103&lt;=$I$10),$J$10,
IF(AND(F103&gt;=$H$11,F103&lt;=$I$11),$J$11))))))))))))</f>
        <v/>
      </c>
    </row>
    <row r="104" spans="1:7" ht="18" x14ac:dyDescent="0.35">
      <c r="A104" s="30" t="str">
        <f>IF(NOT(ISBLANK(Curs!B108)),Curs!B108,"")</f>
        <v/>
      </c>
      <c r="B104" s="31" t="str">
        <f>IF(NOT(ISBLANK(Curs!C108)),Curs!C108,"")</f>
        <v/>
      </c>
      <c r="C104" s="10"/>
      <c r="D104" s="10"/>
      <c r="E104" s="10"/>
      <c r="F104" s="24" t="str">
        <f>IF(B104="","",
IF(Curs!AG108,"Eliberat",
ROUND(SUM(C104:E104),0)))</f>
        <v/>
      </c>
      <c r="G104" s="23" t="str">
        <f>IF(B104="","",
IF(Curs!AG108,Curs!AG108,
IF(F104=0,"n/p",
IF(AND(F104&gt;=$H$3,F104&lt;=$I$3),$J$3,
IF(AND(F104&gt;=$H$4,F104&lt;=$I$4),$J$4,
IF(AND(F104&gt;=$H$5,F104&lt;=$I$5),$J$5,
IF(AND(F104&gt;=$H$6,F104&lt;=$I$6),$J$6,
IF(AND(F104&gt;=$H$7,F104&lt;=$I$7),$J$7,
IF(AND(F104&gt;=$H$8,F104&lt;=$I$8),$J$8,
IF(AND(F104&gt;=$H$9,F104&lt;=$I$9),$J$9,
IF(AND(F104&gt;=$H$10,F104&lt;=$I$10),$J$10,
IF(AND(F104&gt;=$H$11,F104&lt;=$I$11),$J$11))))))))))))</f>
        <v/>
      </c>
    </row>
    <row r="105" spans="1:7" ht="18" x14ac:dyDescent="0.35">
      <c r="A105" s="30" t="str">
        <f>IF(NOT(ISBLANK(Curs!B109)),Curs!B109,"")</f>
        <v/>
      </c>
      <c r="B105" s="31" t="str">
        <f>IF(NOT(ISBLANK(Curs!C109)),Curs!C109,"")</f>
        <v/>
      </c>
      <c r="C105" s="10"/>
      <c r="D105" s="10"/>
      <c r="E105" s="10"/>
      <c r="F105" s="24" t="str">
        <f>IF(B105="","",
IF(Curs!AG109,"Eliberat",
ROUND(SUM(C105:E105),0)))</f>
        <v/>
      </c>
      <c r="G105" s="23" t="str">
        <f>IF(B105="","",
IF(Curs!AG109,Curs!AG109,
IF(F105=0,"n/p",
IF(AND(F105&gt;=$H$3,F105&lt;=$I$3),$J$3,
IF(AND(F105&gt;=$H$4,F105&lt;=$I$4),$J$4,
IF(AND(F105&gt;=$H$5,F105&lt;=$I$5),$J$5,
IF(AND(F105&gt;=$H$6,F105&lt;=$I$6),$J$6,
IF(AND(F105&gt;=$H$7,F105&lt;=$I$7),$J$7,
IF(AND(F105&gt;=$H$8,F105&lt;=$I$8),$J$8,
IF(AND(F105&gt;=$H$9,F105&lt;=$I$9),$J$9,
IF(AND(F105&gt;=$H$10,F105&lt;=$I$10),$J$10,
IF(AND(F105&gt;=$H$11,F105&lt;=$I$11),$J$11))))))))))))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BC5-9764-4E2E-8B11-4630C129F731}">
  <dimension ref="A1:P105"/>
  <sheetViews>
    <sheetView zoomScale="85" zoomScaleNormal="85" workbookViewId="0">
      <selection activeCell="G2" sqref="G2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40</v>
      </c>
      <c r="D1" s="21" t="s">
        <v>42</v>
      </c>
      <c r="E1" s="21" t="s">
        <v>41</v>
      </c>
      <c r="F1" s="25" t="s">
        <v>34</v>
      </c>
      <c r="G1" s="5" t="s">
        <v>29</v>
      </c>
      <c r="H1" s="6" t="s">
        <v>30</v>
      </c>
      <c r="I1" s="7"/>
      <c r="J1" s="6"/>
      <c r="K1" s="207" t="s">
        <v>67</v>
      </c>
      <c r="L1" s="207"/>
      <c r="M1" s="8"/>
      <c r="N1" s="9"/>
      <c r="O1" s="9"/>
      <c r="P1" s="9"/>
    </row>
    <row r="2" spans="1:16" ht="18" x14ac:dyDescent="0.35">
      <c r="A2" s="30">
        <f>IF(NOT(ISBLANK(Curs!B6)),Curs!B6,"")</f>
        <v>1</v>
      </c>
      <c r="B2" s="31" t="str">
        <f>IF(AND(NOT(ISBLANK(Curs!C6)),OR(Curs!AB6="n/p",Curs!AB6&lt;5)),Curs!C6,"")</f>
        <v>Nume, Prenume</v>
      </c>
      <c r="C2" s="10"/>
      <c r="D2" s="10"/>
      <c r="E2" s="10"/>
      <c r="F2" s="24">
        <f>IF(B2="","",ROUND(SUM(C2:E2),0))</f>
        <v>0</v>
      </c>
      <c r="G2" s="23" t="str">
        <f>IF(B2="","",
IF(Curs!AG6,Curs!AG6,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IF(AND(F2&gt;=$H$11,F2&lt;=$I$11),$J$11))))))))))))</f>
        <v>n/p</v>
      </c>
      <c r="H2" s="6" t="s">
        <v>32</v>
      </c>
      <c r="I2" s="6"/>
      <c r="J2" s="12" t="s">
        <v>29</v>
      </c>
      <c r="K2" s="27" t="s">
        <v>29</v>
      </c>
      <c r="L2" s="27" t="s">
        <v>31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IF(AND(NOT(ISBLANK(Curs!C7)),OR(Curs!AB7="n/p",Curs!AB7&lt;5)),Curs!C7,"")</f>
        <v/>
      </c>
      <c r="C3" s="10"/>
      <c r="D3" s="10"/>
      <c r="E3" s="10"/>
      <c r="F3" s="24" t="str">
        <f t="shared" ref="F3:F66" si="0">IF(B3="","",ROUND(SUM(C3:E3),0))</f>
        <v/>
      </c>
      <c r="G3" s="23" t="str">
        <f>IF(B3="","",
IF(Curs!AG7,Curs!AG7,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IF(AND(NOT(ISBLANK(Curs!C8)),OR(Curs!AB8="n/p",Curs!AB8&lt;5)),Curs!C8,"")</f>
        <v/>
      </c>
      <c r="C4" s="10"/>
      <c r="D4" s="10"/>
      <c r="E4" s="10"/>
      <c r="F4" s="24" t="str">
        <f t="shared" si="0"/>
        <v/>
      </c>
      <c r="G4" s="23" t="str">
        <f>IF(B4="","",
IF(Curs!AG8,Curs!AG8,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IF(AND(F4&gt;=$H$11,F4&lt;=$I$11),$J$11))))))))))))</f>
        <v/>
      </c>
      <c r="H4" s="22">
        <v>4</v>
      </c>
      <c r="I4" s="22">
        <v>5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IF(AND(NOT(ISBLANK(Curs!C9)),OR(Curs!AB9="n/p",Curs!AB9&lt;5)),Curs!C9,"")</f>
        <v/>
      </c>
      <c r="C5" s="10"/>
      <c r="D5" s="10"/>
      <c r="E5" s="10"/>
      <c r="F5" s="24" t="str">
        <f t="shared" si="0"/>
        <v/>
      </c>
      <c r="G5" s="23" t="str">
        <f>IF(B5="","",
IF(Curs!AG9,Curs!AG9,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IF(AND(F5&gt;=$H$11,F5&lt;=$I$11),$J$11))))))))))))</f>
        <v/>
      </c>
      <c r="H5" s="22">
        <v>6</v>
      </c>
      <c r="I5" s="22">
        <v>9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IF(AND(NOT(ISBLANK(Curs!C10)),OR(Curs!AB10="n/p",Curs!AB10&lt;5)),Curs!C10,"")</f>
        <v/>
      </c>
      <c r="C6" s="10"/>
      <c r="D6" s="10"/>
      <c r="E6" s="10"/>
      <c r="F6" s="24" t="str">
        <f t="shared" si="0"/>
        <v/>
      </c>
      <c r="G6" s="23" t="str">
        <f>IF(B6="","",
IF(Curs!AG10,Curs!AG10,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IF(AND(F6&gt;=$H$11,F6&lt;=$I$11),$J$11))))))))))))</f>
        <v/>
      </c>
      <c r="H6" s="22">
        <v>10</v>
      </c>
      <c r="I6" s="22">
        <v>13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IF(AND(NOT(ISBLANK(Curs!C11)),OR(Curs!AB11="n/p",Curs!AB11&lt;5)),Curs!C11,"")</f>
        <v/>
      </c>
      <c r="C7" s="10"/>
      <c r="D7" s="10"/>
      <c r="E7" s="10"/>
      <c r="F7" s="24" t="str">
        <f t="shared" si="0"/>
        <v/>
      </c>
      <c r="G7" s="23" t="str">
        <f>IF(B7="","",
IF(Curs!AG11,Curs!AG11,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IF(AND(F7&gt;=$H$11,F7&lt;=$I$11),$J$11))))))))))))</f>
        <v/>
      </c>
      <c r="H7" s="22">
        <v>14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IF(AND(NOT(ISBLANK(Curs!C12)),OR(Curs!AB12="n/p",Curs!AB12&lt;5)),Curs!C12,"")</f>
        <v/>
      </c>
      <c r="C8" s="10"/>
      <c r="D8" s="10"/>
      <c r="E8" s="10"/>
      <c r="F8" s="24" t="str">
        <f t="shared" si="0"/>
        <v/>
      </c>
      <c r="G8" s="23" t="str">
        <f>IF(B8="","",
IF(Curs!AG12,Curs!AG12,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IF(AND(F8&gt;=$H$11,F8&lt;=$I$11),$J$11))))))))))))</f>
        <v/>
      </c>
      <c r="H8" s="22">
        <v>19</v>
      </c>
      <c r="I8" s="22">
        <v>22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IF(AND(NOT(ISBLANK(Curs!C13)),OR(Curs!AB13="n/p",Curs!AB13&lt;5)),Curs!C13,"")</f>
        <v/>
      </c>
      <c r="C9" s="10"/>
      <c r="D9" s="10"/>
      <c r="E9" s="10"/>
      <c r="F9" s="24" t="str">
        <f t="shared" si="0"/>
        <v/>
      </c>
      <c r="G9" s="23" t="str">
        <f>IF(B9="","",
IF(Curs!AG13,Curs!AG13,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IF(AND(F9&gt;=$H$11,F9&lt;=$I$11),$J$11))))))))))))</f>
        <v/>
      </c>
      <c r="H9" s="22">
        <v>23</v>
      </c>
      <c r="I9" s="22">
        <v>26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IF(AND(NOT(ISBLANK(Curs!C14)),OR(Curs!AB14="n/p",Curs!AB14&lt;5)),Curs!C14,"")</f>
        <v/>
      </c>
      <c r="C10" s="10"/>
      <c r="D10" s="10"/>
      <c r="E10" s="10"/>
      <c r="F10" s="24" t="str">
        <f t="shared" si="0"/>
        <v/>
      </c>
      <c r="G10" s="23" t="str">
        <f>IF(B10="","",
IF(Curs!AG14,Curs!AG14,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IF(AND(F10&gt;=$H$11,F10&lt;=$I$11),$J$11))))))))))))</f>
        <v/>
      </c>
      <c r="H10" s="22">
        <v>27</v>
      </c>
      <c r="I10" s="22">
        <v>28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IF(AND(NOT(ISBLANK(Curs!C15)),OR(Curs!AB15="n/p",Curs!AB15&lt;5)),Curs!C15,"")</f>
        <v/>
      </c>
      <c r="C11" s="10"/>
      <c r="D11" s="10"/>
      <c r="E11" s="10"/>
      <c r="F11" s="24" t="str">
        <f t="shared" si="0"/>
        <v/>
      </c>
      <c r="G11" s="23" t="str">
        <f>IF(B11="","",
IF(Curs!AG15,Curs!AG15,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IF(AND(F11&gt;=$H$11,F11&lt;=$I$11),$J$11))))))))))))</f>
        <v/>
      </c>
      <c r="H11" s="22">
        <v>29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IF(AND(NOT(ISBLANK(Curs!C16)),OR(Curs!AB16="n/p",Curs!AB16&lt;5)),Curs!C16,"")</f>
        <v/>
      </c>
      <c r="C12" s="10"/>
      <c r="D12" s="10"/>
      <c r="E12" s="10"/>
      <c r="F12" s="24" t="str">
        <f t="shared" si="0"/>
        <v/>
      </c>
      <c r="G12" s="23" t="str">
        <f>IF(B12="","",
IF(Curs!AG16,Curs!AG16,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IF(AND(NOT(ISBLANK(Curs!C17)),OR(Curs!AB17="n/p",Curs!AB17&lt;5)),Curs!C17,"")</f>
        <v/>
      </c>
      <c r="C13" s="10"/>
      <c r="D13" s="10"/>
      <c r="E13" s="10"/>
      <c r="F13" s="24" t="str">
        <f t="shared" si="0"/>
        <v/>
      </c>
      <c r="G13" s="23" t="str">
        <f>IF(B13="","",
IF(Curs!AG17,Curs!AG17,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IF(AND(F13&gt;=$H$11,F13&lt;=$I$11),$J$11))))))))))))</f>
        <v/>
      </c>
      <c r="H13" s="22"/>
      <c r="I13" s="22"/>
      <c r="J13" s="12"/>
      <c r="K13" s="29" t="s">
        <v>33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IF(AND(NOT(ISBLANK(Curs!C18)),OR(Curs!AB18="n/p",Curs!AB18&lt;5)),Curs!C18,"")</f>
        <v/>
      </c>
      <c r="C14" s="10"/>
      <c r="D14" s="10"/>
      <c r="E14" s="10"/>
      <c r="F14" s="24" t="str">
        <f t="shared" si="0"/>
        <v/>
      </c>
      <c r="G14" s="23" t="str">
        <f>IF(B14="","",
IF(Curs!AG18,Curs!AG18,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IF(AND(NOT(ISBLANK(Curs!C19)),OR(Curs!AB19="n/p",Curs!AB19&lt;5)),Curs!C19,"")</f>
        <v/>
      </c>
      <c r="C15" s="10"/>
      <c r="D15" s="10"/>
      <c r="E15" s="10"/>
      <c r="F15" s="24" t="str">
        <f t="shared" si="0"/>
        <v/>
      </c>
      <c r="G15" s="23" t="str">
        <f>IF(B15="","",
IF(Curs!AG19,Curs!AG19,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IF(AND(NOT(ISBLANK(Curs!C20)),OR(Curs!AB20="n/p",Curs!AB20&lt;5)),Curs!C20,"")</f>
        <v/>
      </c>
      <c r="C16" s="10"/>
      <c r="D16" s="10"/>
      <c r="E16" s="10"/>
      <c r="F16" s="24" t="str">
        <f t="shared" si="0"/>
        <v/>
      </c>
      <c r="G16" s="23" t="str">
        <f>IF(B16="","",
IF(Curs!AG20,Curs!AG20,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IF(AND(NOT(ISBLANK(Curs!C21)),OR(Curs!AB21="n/p",Curs!AB21&lt;5)),Curs!C21,"")</f>
        <v/>
      </c>
      <c r="C17" s="10"/>
      <c r="D17" s="10"/>
      <c r="E17" s="10"/>
      <c r="F17" s="24" t="str">
        <f t="shared" si="0"/>
        <v/>
      </c>
      <c r="G17" s="23" t="str">
        <f>IF(B17="","",
IF(Curs!AG21,Curs!AG21,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IF(AND(NOT(ISBLANK(Curs!C22)),OR(Curs!AB22="n/p",Curs!AB22&lt;5)),Curs!C22,"")</f>
        <v/>
      </c>
      <c r="C18" s="10"/>
      <c r="D18" s="10"/>
      <c r="E18" s="10"/>
      <c r="F18" s="24" t="str">
        <f t="shared" si="0"/>
        <v/>
      </c>
      <c r="G18" s="23" t="str">
        <f>IF(B18="","",
IF(Curs!AG22,Curs!AG22,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IF(AND(NOT(ISBLANK(Curs!C23)),OR(Curs!AB23="n/p",Curs!AB23&lt;5)),Curs!C23,"")</f>
        <v/>
      </c>
      <c r="C19" s="10"/>
      <c r="D19" s="10"/>
      <c r="E19" s="10"/>
      <c r="F19" s="24" t="str">
        <f t="shared" si="0"/>
        <v/>
      </c>
      <c r="G19" s="23" t="str">
        <f>IF(B19="","",
IF(Curs!AG23,Curs!AG23,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IF(AND(NOT(ISBLANK(Curs!C24)),OR(Curs!AB24="n/p",Curs!AB24&lt;5)),Curs!C24,"")</f>
        <v/>
      </c>
      <c r="C20" s="10"/>
      <c r="D20" s="10"/>
      <c r="E20" s="10"/>
      <c r="F20" s="24" t="str">
        <f t="shared" si="0"/>
        <v/>
      </c>
      <c r="G20" s="23" t="str">
        <f>IF(B20="","",
IF(Curs!AG24,Curs!AG24,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IF(AND(NOT(ISBLANK(Curs!C25)),OR(Curs!AB25="n/p",Curs!AB25&lt;5)),Curs!C25,"")</f>
        <v/>
      </c>
      <c r="C21" s="10"/>
      <c r="D21" s="10"/>
      <c r="E21" s="10"/>
      <c r="F21" s="24" t="str">
        <f t="shared" si="0"/>
        <v/>
      </c>
      <c r="G21" s="23" t="str">
        <f>IF(B21="","",
IF(Curs!AG25,Curs!AG25,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IF(AND(NOT(ISBLANK(Curs!C26)),OR(Curs!AB26="n/p",Curs!AB26&lt;5)),Curs!C26,"")</f>
        <v/>
      </c>
      <c r="C22" s="10"/>
      <c r="D22" s="10"/>
      <c r="E22" s="10"/>
      <c r="F22" s="24" t="str">
        <f t="shared" si="0"/>
        <v/>
      </c>
      <c r="G22" s="23" t="str">
        <f>IF(B22="","",
IF(Curs!AG26,Curs!AG26,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IF(AND(NOT(ISBLANK(Curs!C27)),OR(Curs!AB27="n/p",Curs!AB27&lt;5)),Curs!C27,"")</f>
        <v/>
      </c>
      <c r="C23" s="10"/>
      <c r="D23" s="10"/>
      <c r="E23" s="10"/>
      <c r="F23" s="24" t="str">
        <f t="shared" si="0"/>
        <v/>
      </c>
      <c r="G23" s="23" t="str">
        <f>IF(B23="","",
IF(Curs!AG27,Curs!AG27,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IF(AND(NOT(ISBLANK(Curs!C28)),OR(Curs!AB28="n/p",Curs!AB28&lt;5)),Curs!C28,"")</f>
        <v/>
      </c>
      <c r="C24" s="10"/>
      <c r="D24" s="10"/>
      <c r="E24" s="10"/>
      <c r="F24" s="24" t="str">
        <f t="shared" si="0"/>
        <v/>
      </c>
      <c r="G24" s="23" t="str">
        <f>IF(B24="","",
IF(Curs!AG28,Curs!AG28,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IF(AND(NOT(ISBLANK(Curs!C29)),OR(Curs!AB29="n/p",Curs!AB29&lt;5)),Curs!C29,"")</f>
        <v/>
      </c>
      <c r="C25" s="10"/>
      <c r="D25" s="10"/>
      <c r="E25" s="10"/>
      <c r="F25" s="24" t="str">
        <f t="shared" si="0"/>
        <v/>
      </c>
      <c r="G25" s="23" t="str">
        <f>IF(B25="","",
IF(Curs!AG29,Curs!AG29,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IF(AND(NOT(ISBLANK(Curs!C30)),OR(Curs!AB30="n/p",Curs!AB30&lt;5)),Curs!C30,"")</f>
        <v/>
      </c>
      <c r="C26" s="10"/>
      <c r="D26" s="10"/>
      <c r="E26" s="10"/>
      <c r="F26" s="24" t="str">
        <f t="shared" si="0"/>
        <v/>
      </c>
      <c r="G26" s="23" t="str">
        <f>IF(B26="","",
IF(Curs!AG30,Curs!AG30,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IF(AND(NOT(ISBLANK(Curs!C31)),OR(Curs!AB31="n/p",Curs!AB31&lt;5)),Curs!C31,"")</f>
        <v/>
      </c>
      <c r="C27" s="10"/>
      <c r="D27" s="10"/>
      <c r="E27" s="10"/>
      <c r="F27" s="24" t="str">
        <f t="shared" si="0"/>
        <v/>
      </c>
      <c r="G27" s="23" t="str">
        <f>IF(B27="","",
IF(Curs!AG31,Curs!AG31,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IF(AND(NOT(ISBLANK(Curs!C32)),OR(Curs!AB32="n/p",Curs!AB32&lt;5)),Curs!C32,"")</f>
        <v/>
      </c>
      <c r="C28" s="10"/>
      <c r="D28" s="10"/>
      <c r="E28" s="10"/>
      <c r="F28" s="24" t="str">
        <f t="shared" si="0"/>
        <v/>
      </c>
      <c r="G28" s="23" t="str">
        <f>IF(B28="","",
IF(Curs!AG32,Curs!AG32,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IF(AND(F28&gt;=$H$11,F28&lt;=$I$11),$J$11))))))))))))</f>
        <v/>
      </c>
    </row>
    <row r="29" spans="1:16" ht="18" x14ac:dyDescent="0.35">
      <c r="A29" s="30" t="str">
        <f>IF(NOT(ISBLANK(Curs!B33)),Curs!B33,"")</f>
        <v/>
      </c>
      <c r="B29" s="31" t="str">
        <f>IF(AND(NOT(ISBLANK(Curs!C33)),OR(Curs!AB33="n/p",Curs!AB33&lt;5)),Curs!C33,"")</f>
        <v/>
      </c>
      <c r="C29" s="10"/>
      <c r="D29" s="10"/>
      <c r="E29" s="10"/>
      <c r="F29" s="24" t="str">
        <f t="shared" si="0"/>
        <v/>
      </c>
      <c r="G29" s="23" t="str">
        <f>IF(B29="","",
IF(Curs!AG33,Curs!AG33,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IF(AND(F29&gt;=$H$11,F29&lt;=$I$11),$J$11))))))))))))</f>
        <v/>
      </c>
    </row>
    <row r="30" spans="1:16" ht="18" x14ac:dyDescent="0.35">
      <c r="A30" s="30" t="str">
        <f>IF(NOT(ISBLANK(Curs!B34)),Curs!B34,"")</f>
        <v/>
      </c>
      <c r="B30" s="31" t="str">
        <f>IF(AND(NOT(ISBLANK(Curs!C34)),OR(Curs!AB34="n/p",Curs!AB34&lt;5)),Curs!C34,"")</f>
        <v/>
      </c>
      <c r="C30" s="10"/>
      <c r="D30" s="10"/>
      <c r="E30" s="10"/>
      <c r="F30" s="24" t="str">
        <f t="shared" si="0"/>
        <v/>
      </c>
      <c r="G30" s="23" t="str">
        <f>IF(B30="","",
IF(Curs!AG34,Curs!AG34,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IF(AND(F30&gt;=$H$11,F30&lt;=$I$11),$J$11))))))))))))</f>
        <v/>
      </c>
    </row>
    <row r="31" spans="1:16" ht="18" x14ac:dyDescent="0.35">
      <c r="A31" s="30" t="str">
        <f>IF(NOT(ISBLANK(Curs!B35)),Curs!B35,"")</f>
        <v/>
      </c>
      <c r="B31" s="31" t="str">
        <f>IF(AND(NOT(ISBLANK(Curs!C35)),OR(Curs!AB35="n/p",Curs!AB35&lt;5)),Curs!C35,"")</f>
        <v/>
      </c>
      <c r="C31" s="10"/>
      <c r="D31" s="10"/>
      <c r="E31" s="10"/>
      <c r="F31" s="24" t="str">
        <f t="shared" si="0"/>
        <v/>
      </c>
      <c r="G31" s="23" t="str">
        <f>IF(B31="","",
IF(Curs!AG35,Curs!AG35,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IF(AND(F31&gt;=$H$11,F31&lt;=$I$11),$J$11))))))))))))</f>
        <v/>
      </c>
    </row>
    <row r="32" spans="1:16" ht="18" x14ac:dyDescent="0.35">
      <c r="A32" s="30" t="str">
        <f>IF(NOT(ISBLANK(Curs!B36)),Curs!B36,"")</f>
        <v/>
      </c>
      <c r="B32" s="31" t="str">
        <f>IF(AND(NOT(ISBLANK(Curs!C36)),OR(Curs!AB36="n/p",Curs!AB36&lt;5)),Curs!C36,"")</f>
        <v/>
      </c>
      <c r="C32" s="10"/>
      <c r="D32" s="10"/>
      <c r="E32" s="10"/>
      <c r="F32" s="24" t="str">
        <f t="shared" si="0"/>
        <v/>
      </c>
      <c r="G32" s="23" t="str">
        <f>IF(B32="","",
IF(Curs!AG36,Curs!AG36,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IF(AND(F32&gt;=$H$11,F32&lt;=$I$11),$J$11))))))))))))</f>
        <v/>
      </c>
    </row>
    <row r="33" spans="1:7" ht="18" x14ac:dyDescent="0.35">
      <c r="A33" s="30" t="str">
        <f>IF(NOT(ISBLANK(Curs!B37)),Curs!B37,"")</f>
        <v/>
      </c>
      <c r="B33" s="31" t="str">
        <f>IF(AND(NOT(ISBLANK(Curs!C37)),OR(Curs!AB37="n/p",Curs!AB37&lt;5)),Curs!C37,"")</f>
        <v/>
      </c>
      <c r="C33" s="10"/>
      <c r="D33" s="10"/>
      <c r="E33" s="10"/>
      <c r="F33" s="24" t="str">
        <f t="shared" si="0"/>
        <v/>
      </c>
      <c r="G33" s="23" t="str">
        <f>IF(B33="","",
IF(Curs!AG37,Curs!AG37,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IF(AND(F33&gt;=$H$11,F33&lt;=$I$11),$J$11))))))))))))</f>
        <v/>
      </c>
    </row>
    <row r="34" spans="1:7" ht="18" x14ac:dyDescent="0.35">
      <c r="A34" s="30" t="str">
        <f>IF(NOT(ISBLANK(Curs!B38)),Curs!B38,"")</f>
        <v/>
      </c>
      <c r="B34" s="31" t="str">
        <f>IF(AND(NOT(ISBLANK(Curs!C38)),OR(Curs!AB38="n/p",Curs!AB38&lt;5)),Curs!C38,"")</f>
        <v/>
      </c>
      <c r="C34" s="10"/>
      <c r="D34" s="10"/>
      <c r="E34" s="10"/>
      <c r="F34" s="24" t="str">
        <f t="shared" si="0"/>
        <v/>
      </c>
      <c r="G34" s="23" t="str">
        <f>IF(B34="","",
IF(Curs!AG38,Curs!AG38,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IF(AND(F34&gt;=$H$11,F34&lt;=$I$11),$J$11))))))))))))</f>
        <v/>
      </c>
    </row>
    <row r="35" spans="1:7" ht="18" x14ac:dyDescent="0.35">
      <c r="A35" s="30" t="str">
        <f>IF(NOT(ISBLANK(Curs!B39)),Curs!B39,"")</f>
        <v/>
      </c>
      <c r="B35" s="31" t="str">
        <f>IF(AND(NOT(ISBLANK(Curs!C39)),OR(Curs!AB39="n/p",Curs!AB39&lt;5)),Curs!C39,"")</f>
        <v/>
      </c>
      <c r="C35" s="10"/>
      <c r="D35" s="10"/>
      <c r="E35" s="10"/>
      <c r="F35" s="24" t="str">
        <f t="shared" si="0"/>
        <v/>
      </c>
      <c r="G35" s="23" t="str">
        <f>IF(B35="","",
IF(Curs!AG39,Curs!AG39,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IF(AND(F35&gt;=$H$11,F35&lt;=$I$11),$J$11))))))))))))</f>
        <v/>
      </c>
    </row>
    <row r="36" spans="1:7" ht="18" x14ac:dyDescent="0.35">
      <c r="A36" s="30" t="str">
        <f>IF(NOT(ISBLANK(Curs!B40)),Curs!B40,"")</f>
        <v/>
      </c>
      <c r="B36" s="31" t="str">
        <f>IF(AND(NOT(ISBLANK(Curs!C40)),OR(Curs!AB40="n/p",Curs!AB40&lt;5)),Curs!C40,"")</f>
        <v/>
      </c>
      <c r="C36" s="10"/>
      <c r="D36" s="10"/>
      <c r="E36" s="10"/>
      <c r="F36" s="24" t="str">
        <f t="shared" si="0"/>
        <v/>
      </c>
      <c r="G36" s="23" t="str">
        <f>IF(B36="","",
IF(Curs!AG40,Curs!AG40,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IF(AND(F36&gt;=$H$11,F36&lt;=$I$11),$J$11))))))))))))</f>
        <v/>
      </c>
    </row>
    <row r="37" spans="1:7" ht="18" x14ac:dyDescent="0.35">
      <c r="A37" s="30" t="str">
        <f>IF(NOT(ISBLANK(Curs!B41)),Curs!B41,"")</f>
        <v/>
      </c>
      <c r="B37" s="31" t="str">
        <f>IF(AND(NOT(ISBLANK(Curs!C41)),OR(Curs!AB41="n/p",Curs!AB41&lt;5)),Curs!C41,"")</f>
        <v/>
      </c>
      <c r="C37" s="10"/>
      <c r="D37" s="10"/>
      <c r="E37" s="10"/>
      <c r="F37" s="24" t="str">
        <f t="shared" si="0"/>
        <v/>
      </c>
      <c r="G37" s="23" t="str">
        <f>IF(B37="","",
IF(Curs!AG41,Curs!AG41,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IF(AND(F37&gt;=$H$11,F37&lt;=$I$11),$J$11))))))))))))</f>
        <v/>
      </c>
    </row>
    <row r="38" spans="1:7" ht="18" x14ac:dyDescent="0.35">
      <c r="A38" s="30" t="str">
        <f>IF(NOT(ISBLANK(Curs!B42)),Curs!B42,"")</f>
        <v/>
      </c>
      <c r="B38" s="31" t="str">
        <f>IF(AND(NOT(ISBLANK(Curs!C42)),OR(Curs!AB42="n/p",Curs!AB42&lt;5)),Curs!C42,"")</f>
        <v/>
      </c>
      <c r="C38" s="10"/>
      <c r="D38" s="10"/>
      <c r="E38" s="10"/>
      <c r="F38" s="24" t="str">
        <f t="shared" si="0"/>
        <v/>
      </c>
      <c r="G38" s="23" t="str">
        <f>IF(B38="","",
IF(Curs!AG42,Curs!AG42,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IF(AND(F38&gt;=$H$11,F38&lt;=$I$11),$J$11))))))))))))</f>
        <v/>
      </c>
    </row>
    <row r="39" spans="1:7" ht="18" x14ac:dyDescent="0.35">
      <c r="A39" s="30" t="str">
        <f>IF(NOT(ISBLANK(Curs!B43)),Curs!B43,"")</f>
        <v/>
      </c>
      <c r="B39" s="31" t="str">
        <f>IF(AND(NOT(ISBLANK(Curs!C43)),OR(Curs!AB43="n/p",Curs!AB43&lt;5)),Curs!C43,"")</f>
        <v/>
      </c>
      <c r="C39" s="10"/>
      <c r="D39" s="10"/>
      <c r="E39" s="10"/>
      <c r="F39" s="24" t="str">
        <f t="shared" si="0"/>
        <v/>
      </c>
      <c r="G39" s="23" t="str">
        <f>IF(B39="","",
IF(Curs!AG43,Curs!AG43,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IF(AND(F39&gt;=$H$11,F39&lt;=$I$11),$J$11))))))))))))</f>
        <v/>
      </c>
    </row>
    <row r="40" spans="1:7" ht="18" x14ac:dyDescent="0.35">
      <c r="A40" s="30" t="str">
        <f>IF(NOT(ISBLANK(Curs!B44)),Curs!B44,"")</f>
        <v/>
      </c>
      <c r="B40" s="31" t="str">
        <f>IF(AND(NOT(ISBLANK(Curs!C44)),OR(Curs!AB44="n/p",Curs!AB44&lt;5)),Curs!C44,"")</f>
        <v/>
      </c>
      <c r="C40" s="10"/>
      <c r="D40" s="10"/>
      <c r="E40" s="10"/>
      <c r="F40" s="24" t="str">
        <f t="shared" si="0"/>
        <v/>
      </c>
      <c r="G40" s="23" t="str">
        <f>IF(B40="","",
IF(Curs!AG44,Curs!AG44,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IF(AND(F40&gt;=$H$11,F40&lt;=$I$11),$J$11))))))))))))</f>
        <v/>
      </c>
    </row>
    <row r="41" spans="1:7" ht="18" x14ac:dyDescent="0.35">
      <c r="A41" s="30" t="str">
        <f>IF(NOT(ISBLANK(Curs!B45)),Curs!B45,"")</f>
        <v/>
      </c>
      <c r="B41" s="31" t="str">
        <f>IF(AND(NOT(ISBLANK(Curs!C45)),OR(Curs!AB45="n/p",Curs!AB45&lt;5)),Curs!C45,"")</f>
        <v/>
      </c>
      <c r="C41" s="10"/>
      <c r="D41" s="10"/>
      <c r="E41" s="10"/>
      <c r="F41" s="24" t="str">
        <f t="shared" si="0"/>
        <v/>
      </c>
      <c r="G41" s="23" t="str">
        <f>IF(B41="","",
IF(Curs!AG45,Curs!AG45,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IF(AND(F41&gt;=$H$11,F41&lt;=$I$11),$J$11))))))))))))</f>
        <v/>
      </c>
    </row>
    <row r="42" spans="1:7" ht="18" x14ac:dyDescent="0.35">
      <c r="A42" s="30" t="str">
        <f>IF(NOT(ISBLANK(Curs!B46)),Curs!B46,"")</f>
        <v/>
      </c>
      <c r="B42" s="31" t="str">
        <f>IF(AND(NOT(ISBLANK(Curs!C46)),OR(Curs!AB46="n/p",Curs!AB46&lt;5)),Curs!C46,"")</f>
        <v/>
      </c>
      <c r="C42" s="10"/>
      <c r="D42" s="10"/>
      <c r="E42" s="10"/>
      <c r="F42" s="24" t="str">
        <f t="shared" si="0"/>
        <v/>
      </c>
      <c r="G42" s="23" t="str">
        <f>IF(B42="","",
IF(Curs!AG46,Curs!AG46,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IF(AND(F42&gt;=$H$11,F42&lt;=$I$11),$J$11))))))))))))</f>
        <v/>
      </c>
    </row>
    <row r="43" spans="1:7" ht="18" x14ac:dyDescent="0.35">
      <c r="A43" s="30" t="str">
        <f>IF(NOT(ISBLANK(Curs!B47)),Curs!B47,"")</f>
        <v/>
      </c>
      <c r="B43" s="31" t="str">
        <f>IF(AND(NOT(ISBLANK(Curs!C47)),OR(Curs!AB47="n/p",Curs!AB47&lt;5)),Curs!C47,"")</f>
        <v/>
      </c>
      <c r="C43" s="10"/>
      <c r="D43" s="10"/>
      <c r="E43" s="10"/>
      <c r="F43" s="24" t="str">
        <f t="shared" si="0"/>
        <v/>
      </c>
      <c r="G43" s="23" t="str">
        <f>IF(B43="","",
IF(Curs!AG47,Curs!AG47,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IF(AND(F43&gt;=$H$11,F43&lt;=$I$11),$J$11))))))))))))</f>
        <v/>
      </c>
    </row>
    <row r="44" spans="1:7" ht="18" x14ac:dyDescent="0.35">
      <c r="A44" s="30" t="str">
        <f>IF(NOT(ISBLANK(Curs!B48)),Curs!B48,"")</f>
        <v/>
      </c>
      <c r="B44" s="31" t="str">
        <f>IF(AND(NOT(ISBLANK(Curs!C48)),OR(Curs!AB48="n/p",Curs!AB48&lt;5)),Curs!C48,"")</f>
        <v/>
      </c>
      <c r="C44" s="10"/>
      <c r="D44" s="10"/>
      <c r="E44" s="10"/>
      <c r="F44" s="24" t="str">
        <f t="shared" si="0"/>
        <v/>
      </c>
      <c r="G44" s="23" t="str">
        <f>IF(B44="","",
IF(Curs!AG48,Curs!AG48,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IF(AND(F44&gt;=$H$11,F44&lt;=$I$11),$J$11))))))))))))</f>
        <v/>
      </c>
    </row>
    <row r="45" spans="1:7" ht="18" x14ac:dyDescent="0.35">
      <c r="A45" s="30" t="str">
        <f>IF(NOT(ISBLANK(Curs!B49)),Curs!B49,"")</f>
        <v/>
      </c>
      <c r="B45" s="31" t="str">
        <f>IF(AND(NOT(ISBLANK(Curs!C49)),OR(Curs!AB49="n/p",Curs!AB49&lt;5)),Curs!C49,"")</f>
        <v/>
      </c>
      <c r="C45" s="10"/>
      <c r="D45" s="10"/>
      <c r="E45" s="10"/>
      <c r="F45" s="24" t="str">
        <f t="shared" si="0"/>
        <v/>
      </c>
      <c r="G45" s="23" t="str">
        <f>IF(B45="","",
IF(Curs!AG49,Curs!AG49,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IF(AND(F45&gt;=$H$11,F45&lt;=$I$11),$J$11))))))))))))</f>
        <v/>
      </c>
    </row>
    <row r="46" spans="1:7" ht="18" x14ac:dyDescent="0.35">
      <c r="A46" s="30" t="str">
        <f>IF(NOT(ISBLANK(Curs!B50)),Curs!B50,"")</f>
        <v/>
      </c>
      <c r="B46" s="31" t="str">
        <f>IF(AND(NOT(ISBLANK(Curs!C50)),OR(Curs!AB50="n/p",Curs!AB50&lt;5)),Curs!C50,"")</f>
        <v/>
      </c>
      <c r="C46" s="10"/>
      <c r="D46" s="10"/>
      <c r="E46" s="10"/>
      <c r="F46" s="24" t="str">
        <f t="shared" si="0"/>
        <v/>
      </c>
      <c r="G46" s="23" t="str">
        <f>IF(B46="","",
IF(Curs!AG50,Curs!AG50,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IF(AND(F46&gt;=$H$11,F46&lt;=$I$11),$J$11))))))))))))</f>
        <v/>
      </c>
    </row>
    <row r="47" spans="1:7" ht="18" x14ac:dyDescent="0.35">
      <c r="A47" s="30" t="str">
        <f>IF(NOT(ISBLANK(Curs!B51)),Curs!B51,"")</f>
        <v/>
      </c>
      <c r="B47" s="31" t="str">
        <f>IF(AND(NOT(ISBLANK(Curs!C51)),OR(Curs!AB51="n/p",Curs!AB51&lt;5)),Curs!C51,"")</f>
        <v/>
      </c>
      <c r="C47" s="10"/>
      <c r="D47" s="10"/>
      <c r="E47" s="10"/>
      <c r="F47" s="24" t="str">
        <f t="shared" si="0"/>
        <v/>
      </c>
      <c r="G47" s="23" t="str">
        <f>IF(B47="","",
IF(Curs!AG51,Curs!AG51,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IF(AND(F47&gt;=$H$11,F47&lt;=$I$11),$J$11))))))))))))</f>
        <v/>
      </c>
    </row>
    <row r="48" spans="1:7" ht="18" x14ac:dyDescent="0.35">
      <c r="A48" s="30" t="str">
        <f>IF(NOT(ISBLANK(Curs!B52)),Curs!B52,"")</f>
        <v/>
      </c>
      <c r="B48" s="31" t="str">
        <f>IF(AND(NOT(ISBLANK(Curs!C52)),OR(Curs!AB52="n/p",Curs!AB52&lt;5)),Curs!C52,"")</f>
        <v/>
      </c>
      <c r="C48" s="10"/>
      <c r="D48" s="10"/>
      <c r="E48" s="10"/>
      <c r="F48" s="24" t="str">
        <f t="shared" si="0"/>
        <v/>
      </c>
      <c r="G48" s="23" t="str">
        <f>IF(B48="","",
IF(Curs!AG52,Curs!AG52,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IF(AND(F48&gt;=$H$11,F48&lt;=$I$11),$J$11))))))))))))</f>
        <v/>
      </c>
    </row>
    <row r="49" spans="1:7" ht="18" x14ac:dyDescent="0.35">
      <c r="A49" s="30" t="str">
        <f>IF(NOT(ISBLANK(Curs!B53)),Curs!B53,"")</f>
        <v/>
      </c>
      <c r="B49" s="31" t="str">
        <f>IF(AND(NOT(ISBLANK(Curs!C53)),OR(Curs!AB53="n/p",Curs!AB53&lt;5)),Curs!C53,"")</f>
        <v/>
      </c>
      <c r="C49" s="10"/>
      <c r="D49" s="10"/>
      <c r="E49" s="10"/>
      <c r="F49" s="24" t="str">
        <f t="shared" si="0"/>
        <v/>
      </c>
      <c r="G49" s="23" t="str">
        <f>IF(B49="","",
IF(Curs!AG53,Curs!AG53,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IF(AND(F49&gt;=$H$11,F49&lt;=$I$11),$J$11))))))))))))</f>
        <v/>
      </c>
    </row>
    <row r="50" spans="1:7" ht="18" x14ac:dyDescent="0.35">
      <c r="A50" s="30" t="str">
        <f>IF(NOT(ISBLANK(Curs!B54)),Curs!B54,"")</f>
        <v/>
      </c>
      <c r="B50" s="31" t="str">
        <f>IF(AND(NOT(ISBLANK(Curs!C54)),OR(Curs!AB54="n/p",Curs!AB54&lt;5)),Curs!C54,"")</f>
        <v/>
      </c>
      <c r="C50" s="10"/>
      <c r="D50" s="10"/>
      <c r="E50" s="10"/>
      <c r="F50" s="24" t="str">
        <f t="shared" si="0"/>
        <v/>
      </c>
      <c r="G50" s="23" t="str">
        <f>IF(B50="","",
IF(Curs!AG54,Curs!AG54,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IF(AND(F50&gt;=$H$11,F50&lt;=$I$11),$J$11))))))))))))</f>
        <v/>
      </c>
    </row>
    <row r="51" spans="1:7" ht="18" x14ac:dyDescent="0.35">
      <c r="A51" s="30" t="str">
        <f>IF(NOT(ISBLANK(Curs!B55)),Curs!B55,"")</f>
        <v/>
      </c>
      <c r="B51" s="31" t="str">
        <f>IF(AND(NOT(ISBLANK(Curs!C55)),OR(Curs!AB55="n/p",Curs!AB55&lt;5)),Curs!C55,"")</f>
        <v/>
      </c>
      <c r="C51" s="10"/>
      <c r="D51" s="10"/>
      <c r="E51" s="10"/>
      <c r="F51" s="24" t="str">
        <f t="shared" si="0"/>
        <v/>
      </c>
      <c r="G51" s="23" t="str">
        <f>IF(B51="","",
IF(Curs!AG55,Curs!AG55,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IF(AND(F51&gt;=$H$11,F51&lt;=$I$11),$J$11))))))))))))</f>
        <v/>
      </c>
    </row>
    <row r="52" spans="1:7" ht="18" x14ac:dyDescent="0.35">
      <c r="A52" s="30" t="str">
        <f>IF(NOT(ISBLANK(Curs!B56)),Curs!B56,"")</f>
        <v/>
      </c>
      <c r="B52" s="31" t="str">
        <f>IF(AND(NOT(ISBLANK(Curs!C56)),OR(Curs!AB56="n/p",Curs!AB56&lt;5)),Curs!C56,"")</f>
        <v/>
      </c>
      <c r="C52" s="10"/>
      <c r="D52" s="10"/>
      <c r="E52" s="10"/>
      <c r="F52" s="24" t="str">
        <f t="shared" si="0"/>
        <v/>
      </c>
      <c r="G52" s="23" t="str">
        <f>IF(B52="","",
IF(Curs!AG56,Curs!AG56,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IF(AND(F52&gt;=$H$11,F52&lt;=$I$11),$J$11))))))))))))</f>
        <v/>
      </c>
    </row>
    <row r="53" spans="1:7" ht="18" x14ac:dyDescent="0.35">
      <c r="A53" s="30" t="str">
        <f>IF(NOT(ISBLANK(Curs!B57)),Curs!B57,"")</f>
        <v/>
      </c>
      <c r="B53" s="31" t="str">
        <f>IF(AND(NOT(ISBLANK(Curs!C57)),OR(Curs!AB57="n/p",Curs!AB57&lt;5)),Curs!C57,"")</f>
        <v/>
      </c>
      <c r="C53" s="10"/>
      <c r="D53" s="10"/>
      <c r="E53" s="10"/>
      <c r="F53" s="24" t="str">
        <f t="shared" si="0"/>
        <v/>
      </c>
      <c r="G53" s="23" t="str">
        <f>IF(B53="","",
IF(Curs!AG57,Curs!AG57,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IF(AND(F53&gt;=$H$11,F53&lt;=$I$11),$J$11))))))))))))</f>
        <v/>
      </c>
    </row>
    <row r="54" spans="1:7" ht="18" x14ac:dyDescent="0.35">
      <c r="A54" s="30" t="str">
        <f>IF(NOT(ISBLANK(Curs!B58)),Curs!B58,"")</f>
        <v/>
      </c>
      <c r="B54" s="31" t="str">
        <f>IF(AND(NOT(ISBLANK(Curs!C58)),OR(Curs!AB58="n/p",Curs!AB58&lt;5)),Curs!C58,"")</f>
        <v/>
      </c>
      <c r="C54" s="10"/>
      <c r="D54" s="10"/>
      <c r="E54" s="10"/>
      <c r="F54" s="24" t="str">
        <f t="shared" si="0"/>
        <v/>
      </c>
      <c r="G54" s="23" t="str">
        <f>IF(B54="","",
IF(Curs!AG58,Curs!AG58,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IF(AND(F54&gt;=$H$11,F54&lt;=$I$11),$J$11))))))))))))</f>
        <v/>
      </c>
    </row>
    <row r="55" spans="1:7" ht="18" x14ac:dyDescent="0.35">
      <c r="A55" s="30" t="str">
        <f>IF(NOT(ISBLANK(Curs!B59)),Curs!B59,"")</f>
        <v/>
      </c>
      <c r="B55" s="31" t="str">
        <f>IF(AND(NOT(ISBLANK(Curs!C59)),OR(Curs!AB59="n/p",Curs!AB59&lt;5)),Curs!C59,"")</f>
        <v/>
      </c>
      <c r="C55" s="10"/>
      <c r="D55" s="10"/>
      <c r="E55" s="10"/>
      <c r="F55" s="24" t="str">
        <f t="shared" si="0"/>
        <v/>
      </c>
      <c r="G55" s="23" t="str">
        <f>IF(B55="","",
IF(Curs!AG59,Curs!AG59,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IF(AND(F55&gt;=$H$11,F55&lt;=$I$11),$J$11))))))))))))</f>
        <v/>
      </c>
    </row>
    <row r="56" spans="1:7" ht="18" x14ac:dyDescent="0.35">
      <c r="A56" s="30" t="str">
        <f>IF(NOT(ISBLANK(Curs!B60)),Curs!B60,"")</f>
        <v/>
      </c>
      <c r="B56" s="31" t="str">
        <f>IF(AND(NOT(ISBLANK(Curs!C60)),OR(Curs!AB60="n/p",Curs!AB60&lt;5)),Curs!C60,"")</f>
        <v/>
      </c>
      <c r="C56" s="10"/>
      <c r="D56" s="10"/>
      <c r="E56" s="10"/>
      <c r="F56" s="24" t="str">
        <f t="shared" si="0"/>
        <v/>
      </c>
      <c r="G56" s="23" t="str">
        <f>IF(B56="","",
IF(Curs!AG60,Curs!AG60,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IF(AND(F56&gt;=$H$11,F56&lt;=$I$11),$J$11))))))))))))</f>
        <v/>
      </c>
    </row>
    <row r="57" spans="1:7" ht="18" x14ac:dyDescent="0.35">
      <c r="A57" s="30" t="str">
        <f>IF(NOT(ISBLANK(Curs!B61)),Curs!B61,"")</f>
        <v/>
      </c>
      <c r="B57" s="31" t="str">
        <f>IF(AND(NOT(ISBLANK(Curs!C61)),OR(Curs!AB61="n/p",Curs!AB61&lt;5)),Curs!C61,"")</f>
        <v/>
      </c>
      <c r="C57" s="10"/>
      <c r="D57" s="10"/>
      <c r="E57" s="10"/>
      <c r="F57" s="24" t="str">
        <f t="shared" si="0"/>
        <v/>
      </c>
      <c r="G57" s="23" t="str">
        <f>IF(B57="","",
IF(Curs!AG61,Curs!AG61,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IF(AND(F57&gt;=$H$11,F57&lt;=$I$11),$J$11))))))))))))</f>
        <v/>
      </c>
    </row>
    <row r="58" spans="1:7" ht="18" x14ac:dyDescent="0.35">
      <c r="A58" s="30" t="str">
        <f>IF(NOT(ISBLANK(Curs!B62)),Curs!B62,"")</f>
        <v/>
      </c>
      <c r="B58" s="31" t="str">
        <f>IF(AND(NOT(ISBLANK(Curs!C62)),OR(Curs!AB62="n/p",Curs!AB62&lt;5)),Curs!C62,"")</f>
        <v/>
      </c>
      <c r="C58" s="10"/>
      <c r="D58" s="10"/>
      <c r="E58" s="10"/>
      <c r="F58" s="24" t="str">
        <f t="shared" si="0"/>
        <v/>
      </c>
      <c r="G58" s="23" t="str">
        <f>IF(B58="","",
IF(Curs!AG62,Curs!AG62,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IF(AND(F58&gt;=$H$11,F58&lt;=$I$11),$J$11))))))))))))</f>
        <v/>
      </c>
    </row>
    <row r="59" spans="1:7" ht="18" x14ac:dyDescent="0.35">
      <c r="A59" s="30" t="str">
        <f>IF(NOT(ISBLANK(Curs!B63)),Curs!B63,"")</f>
        <v/>
      </c>
      <c r="B59" s="31" t="str">
        <f>IF(AND(NOT(ISBLANK(Curs!C63)),OR(Curs!AB63="n/p",Curs!AB63&lt;5)),Curs!C63,"")</f>
        <v/>
      </c>
      <c r="C59" s="10"/>
      <c r="D59" s="10"/>
      <c r="E59" s="10"/>
      <c r="F59" s="24" t="str">
        <f t="shared" si="0"/>
        <v/>
      </c>
      <c r="G59" s="23" t="str">
        <f>IF(B59="","",
IF(Curs!AG63,Curs!AG63,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IF(AND(F59&gt;=$H$11,F59&lt;=$I$11),$J$11))))))))))))</f>
        <v/>
      </c>
    </row>
    <row r="60" spans="1:7" ht="18" x14ac:dyDescent="0.35">
      <c r="A60" s="30" t="str">
        <f>IF(NOT(ISBLANK(Curs!B64)),Curs!B64,"")</f>
        <v/>
      </c>
      <c r="B60" s="31" t="str">
        <f>IF(AND(NOT(ISBLANK(Curs!C64)),OR(Curs!AB64="n/p",Curs!AB64&lt;5)),Curs!C64,"")</f>
        <v/>
      </c>
      <c r="C60" s="10"/>
      <c r="D60" s="10"/>
      <c r="E60" s="10"/>
      <c r="F60" s="24" t="str">
        <f t="shared" si="0"/>
        <v/>
      </c>
      <c r="G60" s="23" t="str">
        <f>IF(B60="","",
IF(Curs!AG64,Curs!AG64,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IF(AND(F60&gt;=$H$11,F60&lt;=$I$11),$J$11))))))))))))</f>
        <v/>
      </c>
    </row>
    <row r="61" spans="1:7" ht="18" x14ac:dyDescent="0.35">
      <c r="A61" s="30" t="str">
        <f>IF(NOT(ISBLANK(Curs!B65)),Curs!B65,"")</f>
        <v/>
      </c>
      <c r="B61" s="31" t="str">
        <f>IF(AND(NOT(ISBLANK(Curs!C65)),OR(Curs!AB65="n/p",Curs!AB65&lt;5)),Curs!C65,"")</f>
        <v/>
      </c>
      <c r="C61" s="10"/>
      <c r="D61" s="10"/>
      <c r="E61" s="10"/>
      <c r="F61" s="24" t="str">
        <f t="shared" si="0"/>
        <v/>
      </c>
      <c r="G61" s="23" t="str">
        <f>IF(B61="","",
IF(Curs!AG65,Curs!AG65,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IF(AND(F61&gt;=$H$11,F61&lt;=$I$11),$J$11))))))))))))</f>
        <v/>
      </c>
    </row>
    <row r="62" spans="1:7" ht="18" x14ac:dyDescent="0.35">
      <c r="A62" s="30" t="str">
        <f>IF(NOT(ISBLANK(Curs!B66)),Curs!B66,"")</f>
        <v/>
      </c>
      <c r="B62" s="31" t="str">
        <f>IF(AND(NOT(ISBLANK(Curs!C66)),OR(Curs!AB66="n/p",Curs!AB66&lt;5)),Curs!C66,"")</f>
        <v/>
      </c>
      <c r="C62" s="10"/>
      <c r="D62" s="10"/>
      <c r="E62" s="10"/>
      <c r="F62" s="24" t="str">
        <f t="shared" si="0"/>
        <v/>
      </c>
      <c r="G62" s="23" t="str">
        <f>IF(B62="","",
IF(Curs!AG66,Curs!AG66,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IF(AND(F62&gt;=$H$11,F62&lt;=$I$11),$J$11))))))))))))</f>
        <v/>
      </c>
    </row>
    <row r="63" spans="1:7" ht="18" x14ac:dyDescent="0.35">
      <c r="A63" s="30" t="str">
        <f>IF(NOT(ISBLANK(Curs!B67)),Curs!B67,"")</f>
        <v/>
      </c>
      <c r="B63" s="31" t="str">
        <f>IF(AND(NOT(ISBLANK(Curs!C67)),OR(Curs!AB67="n/p",Curs!AB67&lt;5)),Curs!C67,"")</f>
        <v/>
      </c>
      <c r="C63" s="10"/>
      <c r="D63" s="10"/>
      <c r="E63" s="10"/>
      <c r="F63" s="24" t="str">
        <f t="shared" si="0"/>
        <v/>
      </c>
      <c r="G63" s="23" t="str">
        <f>IF(B63="","",
IF(Curs!AG67,Curs!AG67,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IF(AND(F63&gt;=$H$11,F63&lt;=$I$11),$J$11))))))))))))</f>
        <v/>
      </c>
    </row>
    <row r="64" spans="1:7" ht="18" x14ac:dyDescent="0.35">
      <c r="A64" s="30" t="str">
        <f>IF(NOT(ISBLANK(Curs!B68)),Curs!B68,"")</f>
        <v/>
      </c>
      <c r="B64" s="31" t="str">
        <f>IF(AND(NOT(ISBLANK(Curs!C68)),OR(Curs!AB68="n/p",Curs!AB68&lt;5)),Curs!C68,"")</f>
        <v/>
      </c>
      <c r="C64" s="10"/>
      <c r="D64" s="10"/>
      <c r="E64" s="10"/>
      <c r="F64" s="24" t="str">
        <f t="shared" si="0"/>
        <v/>
      </c>
      <c r="G64" s="23" t="str">
        <f>IF(B64="","",
IF(Curs!AG68,Curs!AG68,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IF(AND(F64&gt;=$H$11,F64&lt;=$I$11),$J$11))))))))))))</f>
        <v/>
      </c>
    </row>
    <row r="65" spans="1:7" ht="18" x14ac:dyDescent="0.35">
      <c r="A65" s="30" t="str">
        <f>IF(NOT(ISBLANK(Curs!B69)),Curs!B69,"")</f>
        <v/>
      </c>
      <c r="B65" s="31" t="str">
        <f>IF(AND(NOT(ISBLANK(Curs!C69)),OR(Curs!AB69="n/p",Curs!AB69&lt;5)),Curs!C69,"")</f>
        <v/>
      </c>
      <c r="C65" s="10"/>
      <c r="D65" s="10"/>
      <c r="E65" s="10"/>
      <c r="F65" s="24" t="str">
        <f t="shared" si="0"/>
        <v/>
      </c>
      <c r="G65" s="23" t="str">
        <f>IF(B65="","",
IF(Curs!AG69,Curs!AG69,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IF(AND(F65&gt;=$H$11,F65&lt;=$I$11),$J$11))))))))))))</f>
        <v/>
      </c>
    </row>
    <row r="66" spans="1:7" ht="18" x14ac:dyDescent="0.35">
      <c r="A66" s="30" t="str">
        <f>IF(NOT(ISBLANK(Curs!B70)),Curs!B70,"")</f>
        <v/>
      </c>
      <c r="B66" s="31" t="str">
        <f>IF(AND(NOT(ISBLANK(Curs!C70)),OR(Curs!AB70="n/p",Curs!AB70&lt;5)),Curs!C70,"")</f>
        <v/>
      </c>
      <c r="C66" s="10"/>
      <c r="D66" s="10"/>
      <c r="E66" s="10"/>
      <c r="F66" s="24" t="str">
        <f t="shared" si="0"/>
        <v/>
      </c>
      <c r="G66" s="23" t="str">
        <f>IF(B66="","",
IF(Curs!AG70,Curs!AG70,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IF(AND(F66&gt;=$H$11,F66&lt;=$I$11),$J$11))))))))))))</f>
        <v/>
      </c>
    </row>
    <row r="67" spans="1:7" ht="18" x14ac:dyDescent="0.35">
      <c r="A67" s="30" t="str">
        <f>IF(NOT(ISBLANK(Curs!B71)),Curs!B71,"")</f>
        <v/>
      </c>
      <c r="B67" s="31" t="str">
        <f>IF(AND(NOT(ISBLANK(Curs!C71)),OR(Curs!AB71="n/p",Curs!AB71&lt;5)),Curs!C71,"")</f>
        <v/>
      </c>
      <c r="C67" s="10"/>
      <c r="D67" s="10"/>
      <c r="E67" s="10"/>
      <c r="F67" s="24" t="str">
        <f t="shared" ref="F67:F105" si="1">IF(B67="","",ROUND(SUM(C67:E67),0))</f>
        <v/>
      </c>
      <c r="G67" s="23" t="str">
        <f>IF(B67="","",
IF(Curs!AG71,Curs!AG71,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IF(AND(F67&gt;=$H$11,F67&lt;=$I$11),$J$11))))))))))))</f>
        <v/>
      </c>
    </row>
    <row r="68" spans="1:7" ht="18" x14ac:dyDescent="0.35">
      <c r="A68" s="30" t="str">
        <f>IF(NOT(ISBLANK(Curs!B72)),Curs!B72,"")</f>
        <v/>
      </c>
      <c r="B68" s="31" t="str">
        <f>IF(AND(NOT(ISBLANK(Curs!C72)),OR(Curs!AB72="n/p",Curs!AB72&lt;5)),Curs!C72,"")</f>
        <v/>
      </c>
      <c r="C68" s="10"/>
      <c r="D68" s="10"/>
      <c r="E68" s="10"/>
      <c r="F68" s="24" t="str">
        <f t="shared" si="1"/>
        <v/>
      </c>
      <c r="G68" s="23" t="str">
        <f>IF(B68="","",
IF(Curs!AG72,Curs!AG72,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IF(AND(F68&gt;=$H$11,F68&lt;=$I$11),$J$11))))))))))))</f>
        <v/>
      </c>
    </row>
    <row r="69" spans="1:7" ht="18" x14ac:dyDescent="0.35">
      <c r="A69" s="30" t="str">
        <f>IF(NOT(ISBLANK(Curs!B73)),Curs!B73,"")</f>
        <v/>
      </c>
      <c r="B69" s="31" t="str">
        <f>IF(AND(NOT(ISBLANK(Curs!C73)),OR(Curs!AB73="n/p",Curs!AB73&lt;5)),Curs!C73,"")</f>
        <v/>
      </c>
      <c r="C69" s="10"/>
      <c r="D69" s="10"/>
      <c r="E69" s="10"/>
      <c r="F69" s="24" t="str">
        <f t="shared" si="1"/>
        <v/>
      </c>
      <c r="G69" s="23" t="str">
        <f>IF(B69="","",
IF(Curs!AG73,Curs!AG73,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IF(AND(F69&gt;=$H$11,F69&lt;=$I$11),$J$11))))))))))))</f>
        <v/>
      </c>
    </row>
    <row r="70" spans="1:7" ht="18" x14ac:dyDescent="0.35">
      <c r="A70" s="30" t="str">
        <f>IF(NOT(ISBLANK(Curs!B74)),Curs!B74,"")</f>
        <v/>
      </c>
      <c r="B70" s="31" t="str">
        <f>IF(AND(NOT(ISBLANK(Curs!C74)),OR(Curs!AB74="n/p",Curs!AB74&lt;5)),Curs!C74,"")</f>
        <v/>
      </c>
      <c r="C70" s="10"/>
      <c r="D70" s="10"/>
      <c r="E70" s="10"/>
      <c r="F70" s="24" t="str">
        <f t="shared" si="1"/>
        <v/>
      </c>
      <c r="G70" s="23" t="str">
        <f>IF(B70="","",
IF(Curs!AG74,Curs!AG74,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IF(AND(F70&gt;=$H$11,F70&lt;=$I$11),$J$11))))))))))))</f>
        <v/>
      </c>
    </row>
    <row r="71" spans="1:7" ht="18" x14ac:dyDescent="0.35">
      <c r="A71" s="30" t="str">
        <f>IF(NOT(ISBLANK(Curs!B75)),Curs!B75,"")</f>
        <v/>
      </c>
      <c r="B71" s="31" t="str">
        <f>IF(AND(NOT(ISBLANK(Curs!C75)),OR(Curs!AB75="n/p",Curs!AB75&lt;5)),Curs!C75,"")</f>
        <v/>
      </c>
      <c r="C71" s="10"/>
      <c r="D71" s="10"/>
      <c r="E71" s="10"/>
      <c r="F71" s="24" t="str">
        <f t="shared" si="1"/>
        <v/>
      </c>
      <c r="G71" s="23" t="str">
        <f>IF(B71="","",
IF(Curs!AG75,Curs!AG75,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IF(AND(F71&gt;=$H$11,F71&lt;=$I$11),$J$11))))))))))))</f>
        <v/>
      </c>
    </row>
    <row r="72" spans="1:7" ht="18" x14ac:dyDescent="0.35">
      <c r="A72" s="30" t="str">
        <f>IF(NOT(ISBLANK(Curs!B76)),Curs!B76,"")</f>
        <v/>
      </c>
      <c r="B72" s="31" t="str">
        <f>IF(AND(NOT(ISBLANK(Curs!C76)),OR(Curs!AB76="n/p",Curs!AB76&lt;5)),Curs!C76,"")</f>
        <v/>
      </c>
      <c r="C72" s="10"/>
      <c r="D72" s="10"/>
      <c r="E72" s="10"/>
      <c r="F72" s="24" t="str">
        <f t="shared" si="1"/>
        <v/>
      </c>
      <c r="G72" s="23" t="str">
        <f>IF(B72="","",
IF(Curs!AG76,Curs!AG76,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IF(AND(F72&gt;=$H$11,F72&lt;=$I$11),$J$11))))))))))))</f>
        <v/>
      </c>
    </row>
    <row r="73" spans="1:7" ht="18" x14ac:dyDescent="0.35">
      <c r="A73" s="30" t="str">
        <f>IF(NOT(ISBLANK(Curs!B77)),Curs!B77,"")</f>
        <v/>
      </c>
      <c r="B73" s="31" t="str">
        <f>IF(AND(NOT(ISBLANK(Curs!C77)),OR(Curs!AB77="n/p",Curs!AB77&lt;5)),Curs!C77,"")</f>
        <v/>
      </c>
      <c r="C73" s="10"/>
      <c r="D73" s="10"/>
      <c r="E73" s="10"/>
      <c r="F73" s="24" t="str">
        <f t="shared" si="1"/>
        <v/>
      </c>
      <c r="G73" s="23" t="str">
        <f>IF(B73="","",
IF(Curs!AG77,Curs!AG77,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IF(AND(F73&gt;=$H$11,F73&lt;=$I$11),$J$11))))))))))))</f>
        <v/>
      </c>
    </row>
    <row r="74" spans="1:7" ht="18" x14ac:dyDescent="0.35">
      <c r="A74" s="30" t="str">
        <f>IF(NOT(ISBLANK(Curs!B78)),Curs!B78,"")</f>
        <v/>
      </c>
      <c r="B74" s="31" t="str">
        <f>IF(AND(NOT(ISBLANK(Curs!C78)),OR(Curs!AB78="n/p",Curs!AB78&lt;5)),Curs!C78,"")</f>
        <v/>
      </c>
      <c r="C74" s="10"/>
      <c r="D74" s="10"/>
      <c r="E74" s="10"/>
      <c r="F74" s="24" t="str">
        <f t="shared" si="1"/>
        <v/>
      </c>
      <c r="G74" s="23" t="str">
        <f>IF(B74="","",
IF(Curs!AG78,Curs!AG78,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IF(AND(F74&gt;=$H$11,F74&lt;=$I$11),$J$11))))))))))))</f>
        <v/>
      </c>
    </row>
    <row r="75" spans="1:7" ht="18" x14ac:dyDescent="0.35">
      <c r="A75" s="30" t="str">
        <f>IF(NOT(ISBLANK(Curs!B79)),Curs!B79,"")</f>
        <v/>
      </c>
      <c r="B75" s="31" t="str">
        <f>IF(AND(NOT(ISBLANK(Curs!C79)),OR(Curs!AB79="n/p",Curs!AB79&lt;5)),Curs!C79,"")</f>
        <v/>
      </c>
      <c r="C75" s="10"/>
      <c r="D75" s="10"/>
      <c r="E75" s="10"/>
      <c r="F75" s="24" t="str">
        <f t="shared" si="1"/>
        <v/>
      </c>
      <c r="G75" s="23" t="str">
        <f>IF(B75="","",
IF(Curs!AG79,Curs!AG79,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IF(AND(F75&gt;=$H$11,F75&lt;=$I$11),$J$11))))))))))))</f>
        <v/>
      </c>
    </row>
    <row r="76" spans="1:7" ht="18" x14ac:dyDescent="0.35">
      <c r="A76" s="30" t="str">
        <f>IF(NOT(ISBLANK(Curs!B80)),Curs!B80,"")</f>
        <v/>
      </c>
      <c r="B76" s="31" t="str">
        <f>IF(AND(NOT(ISBLANK(Curs!C80)),OR(Curs!AB80="n/p",Curs!AB80&lt;5)),Curs!C80,"")</f>
        <v/>
      </c>
      <c r="C76" s="10"/>
      <c r="D76" s="10"/>
      <c r="E76" s="10"/>
      <c r="F76" s="24" t="str">
        <f t="shared" si="1"/>
        <v/>
      </c>
      <c r="G76" s="23" t="str">
        <f>IF(B76="","",
IF(Curs!AG80,Curs!AG80,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IF(AND(F76&gt;=$H$11,F76&lt;=$I$11),$J$11))))))))))))</f>
        <v/>
      </c>
    </row>
    <row r="77" spans="1:7" ht="18" x14ac:dyDescent="0.35">
      <c r="A77" s="30" t="str">
        <f>IF(NOT(ISBLANK(Curs!B81)),Curs!B81,"")</f>
        <v/>
      </c>
      <c r="B77" s="31" t="str">
        <f>IF(AND(NOT(ISBLANK(Curs!C81)),OR(Curs!AB81="n/p",Curs!AB81&lt;5)),Curs!C81,"")</f>
        <v/>
      </c>
      <c r="C77" s="10"/>
      <c r="D77" s="10"/>
      <c r="E77" s="10"/>
      <c r="F77" s="24" t="str">
        <f t="shared" si="1"/>
        <v/>
      </c>
      <c r="G77" s="23" t="str">
        <f>IF(B77="","",
IF(Curs!AG81,Curs!AG81,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IF(AND(F77&gt;=$H$11,F77&lt;=$I$11),$J$11))))))))))))</f>
        <v/>
      </c>
    </row>
    <row r="78" spans="1:7" ht="18" x14ac:dyDescent="0.35">
      <c r="A78" s="30" t="str">
        <f>IF(NOT(ISBLANK(Curs!B82)),Curs!B82,"")</f>
        <v/>
      </c>
      <c r="B78" s="31" t="str">
        <f>IF(AND(NOT(ISBLANK(Curs!C82)),OR(Curs!AB82="n/p",Curs!AB82&lt;5)),Curs!C82,"")</f>
        <v/>
      </c>
      <c r="C78" s="10"/>
      <c r="D78" s="10"/>
      <c r="E78" s="10"/>
      <c r="F78" s="24" t="str">
        <f t="shared" si="1"/>
        <v/>
      </c>
      <c r="G78" s="23" t="str">
        <f>IF(B78="","",
IF(Curs!AG82,Curs!AG82,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IF(AND(F78&gt;=$H$11,F78&lt;=$I$11),$J$11))))))))))))</f>
        <v/>
      </c>
    </row>
    <row r="79" spans="1:7" ht="18" x14ac:dyDescent="0.35">
      <c r="A79" s="30" t="str">
        <f>IF(NOT(ISBLANK(Curs!B83)),Curs!B83,"")</f>
        <v/>
      </c>
      <c r="B79" s="31" t="str">
        <f>IF(AND(NOT(ISBLANK(Curs!C83)),OR(Curs!AB83="n/p",Curs!AB83&lt;5)),Curs!C83,"")</f>
        <v/>
      </c>
      <c r="C79" s="10"/>
      <c r="D79" s="10"/>
      <c r="E79" s="10"/>
      <c r="F79" s="24" t="str">
        <f t="shared" si="1"/>
        <v/>
      </c>
      <c r="G79" s="23" t="str">
        <f>IF(B79="","",
IF(Curs!AG83,Curs!AG83,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IF(AND(F79&gt;=$H$11,F79&lt;=$I$11),$J$11))))))))))))</f>
        <v/>
      </c>
    </row>
    <row r="80" spans="1:7" ht="18" x14ac:dyDescent="0.35">
      <c r="A80" s="30" t="str">
        <f>IF(NOT(ISBLANK(Curs!B84)),Curs!B84,"")</f>
        <v/>
      </c>
      <c r="B80" s="31" t="str">
        <f>IF(AND(NOT(ISBLANK(Curs!C84)),OR(Curs!AB84="n/p",Curs!AB84&lt;5)),Curs!C84,"")</f>
        <v/>
      </c>
      <c r="C80" s="10"/>
      <c r="D80" s="10"/>
      <c r="E80" s="10"/>
      <c r="F80" s="24" t="str">
        <f t="shared" si="1"/>
        <v/>
      </c>
      <c r="G80" s="23" t="str">
        <f>IF(B80="","",
IF(Curs!AG84,Curs!AG84,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IF(AND(F80&gt;=$H$11,F80&lt;=$I$11),$J$11))))))))))))</f>
        <v/>
      </c>
    </row>
    <row r="81" spans="1:7" ht="18" x14ac:dyDescent="0.35">
      <c r="A81" s="30" t="str">
        <f>IF(NOT(ISBLANK(Curs!B85)),Curs!B85,"")</f>
        <v/>
      </c>
      <c r="B81" s="31" t="str">
        <f>IF(AND(NOT(ISBLANK(Curs!C85)),OR(Curs!AB85="n/p",Curs!AB85&lt;5)),Curs!C85,"")</f>
        <v/>
      </c>
      <c r="C81" s="10"/>
      <c r="D81" s="10"/>
      <c r="E81" s="10"/>
      <c r="F81" s="24" t="str">
        <f t="shared" si="1"/>
        <v/>
      </c>
      <c r="G81" s="23" t="str">
        <f>IF(B81="","",
IF(Curs!AG85,Curs!AG85,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IF(AND(F81&gt;=$H$11,F81&lt;=$I$11),$J$11))))))))))))</f>
        <v/>
      </c>
    </row>
    <row r="82" spans="1:7" ht="18" x14ac:dyDescent="0.35">
      <c r="A82" s="30" t="str">
        <f>IF(NOT(ISBLANK(Curs!B86)),Curs!B86,"")</f>
        <v/>
      </c>
      <c r="B82" s="31" t="str">
        <f>IF(AND(NOT(ISBLANK(Curs!C86)),OR(Curs!AB86="n/p",Curs!AB86&lt;5)),Curs!C86,"")</f>
        <v/>
      </c>
      <c r="C82" s="10"/>
      <c r="D82" s="10"/>
      <c r="E82" s="10"/>
      <c r="F82" s="24" t="str">
        <f t="shared" si="1"/>
        <v/>
      </c>
      <c r="G82" s="23" t="str">
        <f>IF(B82="","",
IF(Curs!AG86,Curs!AG86,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IF(AND(F82&gt;=$H$11,F82&lt;=$I$11),$J$11))))))))))))</f>
        <v/>
      </c>
    </row>
    <row r="83" spans="1:7" ht="18" x14ac:dyDescent="0.35">
      <c r="A83" s="30" t="str">
        <f>IF(NOT(ISBLANK(Curs!B87)),Curs!B87,"")</f>
        <v/>
      </c>
      <c r="B83" s="31" t="str">
        <f>IF(AND(NOT(ISBLANK(Curs!C87)),OR(Curs!AB87="n/p",Curs!AB87&lt;5)),Curs!C87,"")</f>
        <v/>
      </c>
      <c r="C83" s="10"/>
      <c r="D83" s="10"/>
      <c r="E83" s="10"/>
      <c r="F83" s="24" t="str">
        <f t="shared" si="1"/>
        <v/>
      </c>
      <c r="G83" s="23" t="str">
        <f>IF(B83="","",
IF(Curs!AG87,Curs!AG87,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IF(AND(F83&gt;=$H$11,F83&lt;=$I$11),$J$11))))))))))))</f>
        <v/>
      </c>
    </row>
    <row r="84" spans="1:7" ht="18" x14ac:dyDescent="0.35">
      <c r="A84" s="30" t="str">
        <f>IF(NOT(ISBLANK(Curs!B88)),Curs!B88,"")</f>
        <v/>
      </c>
      <c r="B84" s="31" t="str">
        <f>IF(AND(NOT(ISBLANK(Curs!C88)),OR(Curs!AB88="n/p",Curs!AB88&lt;5)),Curs!C88,"")</f>
        <v/>
      </c>
      <c r="C84" s="10"/>
      <c r="D84" s="10"/>
      <c r="E84" s="10"/>
      <c r="F84" s="24" t="str">
        <f t="shared" si="1"/>
        <v/>
      </c>
      <c r="G84" s="23" t="str">
        <f>IF(B84="","",
IF(Curs!AG88,Curs!AG88,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IF(AND(F84&gt;=$H$11,F84&lt;=$I$11),$J$11))))))))))))</f>
        <v/>
      </c>
    </row>
    <row r="85" spans="1:7" ht="18" x14ac:dyDescent="0.35">
      <c r="A85" s="30" t="str">
        <f>IF(NOT(ISBLANK(Curs!B89)),Curs!B89,"")</f>
        <v/>
      </c>
      <c r="B85" s="31" t="str">
        <f>IF(AND(NOT(ISBLANK(Curs!C89)),OR(Curs!AB89="n/p",Curs!AB89&lt;5)),Curs!C89,"")</f>
        <v/>
      </c>
      <c r="C85" s="10"/>
      <c r="D85" s="10"/>
      <c r="E85" s="10"/>
      <c r="F85" s="24" t="str">
        <f t="shared" si="1"/>
        <v/>
      </c>
      <c r="G85" s="23" t="str">
        <f>IF(B85="","",
IF(Curs!AG89,Curs!AG89,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IF(AND(F85&gt;=$H$11,F85&lt;=$I$11),$J$11))))))))))))</f>
        <v/>
      </c>
    </row>
    <row r="86" spans="1:7" ht="18" x14ac:dyDescent="0.35">
      <c r="A86" s="30" t="str">
        <f>IF(NOT(ISBLANK(Curs!B90)),Curs!B90,"")</f>
        <v/>
      </c>
      <c r="B86" s="31" t="str">
        <f>IF(AND(NOT(ISBLANK(Curs!C90)),OR(Curs!AB90="n/p",Curs!AB90&lt;5)),Curs!C90,"")</f>
        <v/>
      </c>
      <c r="C86" s="10"/>
      <c r="D86" s="10"/>
      <c r="E86" s="10"/>
      <c r="F86" s="24" t="str">
        <f t="shared" si="1"/>
        <v/>
      </c>
      <c r="G86" s="23" t="str">
        <f>IF(B86="","",
IF(Curs!AG90,Curs!AG90,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IF(AND(F86&gt;=$H$11,F86&lt;=$I$11),$J$11))))))))))))</f>
        <v/>
      </c>
    </row>
    <row r="87" spans="1:7" ht="18" x14ac:dyDescent="0.35">
      <c r="A87" s="30" t="str">
        <f>IF(NOT(ISBLANK(Curs!B91)),Curs!B91,"")</f>
        <v/>
      </c>
      <c r="B87" s="31" t="str">
        <f>IF(AND(NOT(ISBLANK(Curs!C91)),OR(Curs!AB91="n/p",Curs!AB91&lt;5)),Curs!C91,"")</f>
        <v/>
      </c>
      <c r="C87" s="10"/>
      <c r="D87" s="10"/>
      <c r="E87" s="10"/>
      <c r="F87" s="24" t="str">
        <f t="shared" si="1"/>
        <v/>
      </c>
      <c r="G87" s="23" t="str">
        <f>IF(B87="","",
IF(Curs!AG91,Curs!AG91,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IF(AND(F87&gt;=$H$11,F87&lt;=$I$11),$J$11))))))))))))</f>
        <v/>
      </c>
    </row>
    <row r="88" spans="1:7" ht="18" x14ac:dyDescent="0.35">
      <c r="A88" s="30" t="str">
        <f>IF(NOT(ISBLANK(Curs!B92)),Curs!B92,"")</f>
        <v/>
      </c>
      <c r="B88" s="31" t="str">
        <f>IF(AND(NOT(ISBLANK(Curs!C92)),OR(Curs!AB92="n/p",Curs!AB92&lt;5)),Curs!C92,"")</f>
        <v/>
      </c>
      <c r="C88" s="10"/>
      <c r="D88" s="10"/>
      <c r="E88" s="10"/>
      <c r="F88" s="24" t="str">
        <f t="shared" si="1"/>
        <v/>
      </c>
      <c r="G88" s="23" t="str">
        <f>IF(B88="","",
IF(Curs!AG92,Curs!AG92,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IF(AND(F88&gt;=$H$11,F88&lt;=$I$11),$J$11))))))))))))</f>
        <v/>
      </c>
    </row>
    <row r="89" spans="1:7" ht="18" x14ac:dyDescent="0.35">
      <c r="A89" s="30" t="str">
        <f>IF(NOT(ISBLANK(Curs!B93)),Curs!B93,"")</f>
        <v/>
      </c>
      <c r="B89" s="31" t="str">
        <f>IF(AND(NOT(ISBLANK(Curs!C93)),OR(Curs!AB93="n/p",Curs!AB93&lt;5)),Curs!C93,"")</f>
        <v/>
      </c>
      <c r="C89" s="10"/>
      <c r="D89" s="10"/>
      <c r="E89" s="10"/>
      <c r="F89" s="24" t="str">
        <f t="shared" si="1"/>
        <v/>
      </c>
      <c r="G89" s="23" t="str">
        <f>IF(B89="","",
IF(Curs!AG93,Curs!AG93,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IF(AND(F89&gt;=$H$11,F89&lt;=$I$11),$J$11))))))))))))</f>
        <v/>
      </c>
    </row>
    <row r="90" spans="1:7" ht="18" x14ac:dyDescent="0.35">
      <c r="A90" s="30" t="str">
        <f>IF(NOT(ISBLANK(Curs!B94)),Curs!B94,"")</f>
        <v/>
      </c>
      <c r="B90" s="31" t="str">
        <f>IF(AND(NOT(ISBLANK(Curs!C94)),OR(Curs!AB94="n/p",Curs!AB94&lt;5)),Curs!C94,"")</f>
        <v/>
      </c>
      <c r="C90" s="10"/>
      <c r="D90" s="10"/>
      <c r="E90" s="10"/>
      <c r="F90" s="24" t="str">
        <f t="shared" si="1"/>
        <v/>
      </c>
      <c r="G90" s="23" t="str">
        <f>IF(B90="","",
IF(Curs!AG94,Curs!AG94,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IF(AND(F90&gt;=$H$11,F90&lt;=$I$11),$J$11))))))))))))</f>
        <v/>
      </c>
    </row>
    <row r="91" spans="1:7" ht="18" x14ac:dyDescent="0.35">
      <c r="A91" s="30" t="str">
        <f>IF(NOT(ISBLANK(Curs!B95)),Curs!B95,"")</f>
        <v/>
      </c>
      <c r="B91" s="31" t="str">
        <f>IF(AND(NOT(ISBLANK(Curs!C95)),OR(Curs!AB95="n/p",Curs!AB95&lt;5)),Curs!C95,"")</f>
        <v/>
      </c>
      <c r="C91" s="10"/>
      <c r="D91" s="10"/>
      <c r="E91" s="10"/>
      <c r="F91" s="24" t="str">
        <f t="shared" si="1"/>
        <v/>
      </c>
      <c r="G91" s="23" t="str">
        <f>IF(B91="","",
IF(Curs!AG95,Curs!AG95,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IF(AND(F91&gt;=$H$11,F91&lt;=$I$11),$J$11))))))))))))</f>
        <v/>
      </c>
    </row>
    <row r="92" spans="1:7" ht="18" x14ac:dyDescent="0.35">
      <c r="A92" s="30" t="str">
        <f>IF(NOT(ISBLANK(Curs!B96)),Curs!B96,"")</f>
        <v/>
      </c>
      <c r="B92" s="31" t="str">
        <f>IF(AND(NOT(ISBLANK(Curs!C96)),OR(Curs!AB96="n/p",Curs!AB96&lt;5)),Curs!C96,"")</f>
        <v/>
      </c>
      <c r="C92" s="10"/>
      <c r="D92" s="10"/>
      <c r="E92" s="10"/>
      <c r="F92" s="24" t="str">
        <f t="shared" si="1"/>
        <v/>
      </c>
      <c r="G92" s="23" t="str">
        <f>IF(B92="","",
IF(Curs!AG96,Curs!AG96,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IF(AND(F92&gt;=$H$11,F92&lt;=$I$11),$J$11))))))))))))</f>
        <v/>
      </c>
    </row>
    <row r="93" spans="1:7" ht="18" x14ac:dyDescent="0.35">
      <c r="A93" s="30" t="str">
        <f>IF(NOT(ISBLANK(Curs!B97)),Curs!B97,"")</f>
        <v/>
      </c>
      <c r="B93" s="31" t="str">
        <f>IF(AND(NOT(ISBLANK(Curs!C97)),OR(Curs!AB97="n/p",Curs!AB97&lt;5)),Curs!C97,"")</f>
        <v/>
      </c>
      <c r="C93" s="10"/>
      <c r="D93" s="10"/>
      <c r="E93" s="10"/>
      <c r="F93" s="24" t="str">
        <f t="shared" si="1"/>
        <v/>
      </c>
      <c r="G93" s="23" t="str">
        <f>IF(B93="","",
IF(Curs!AG97,Curs!AG97,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IF(AND(F93&gt;=$H$11,F93&lt;=$I$11),$J$11))))))))))))</f>
        <v/>
      </c>
    </row>
    <row r="94" spans="1:7" ht="18" x14ac:dyDescent="0.35">
      <c r="A94" s="30" t="str">
        <f>IF(NOT(ISBLANK(Curs!B98)),Curs!B98,"")</f>
        <v/>
      </c>
      <c r="B94" s="31" t="str">
        <f>IF(AND(NOT(ISBLANK(Curs!C98)),OR(Curs!AB98="n/p",Curs!AB98&lt;5)),Curs!C98,"")</f>
        <v/>
      </c>
      <c r="C94" s="10"/>
      <c r="D94" s="10"/>
      <c r="E94" s="10"/>
      <c r="F94" s="24" t="str">
        <f t="shared" si="1"/>
        <v/>
      </c>
      <c r="G94" s="23" t="str">
        <f>IF(B94="","",
IF(Curs!AG98,Curs!AG98,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IF(AND(F94&gt;=$H$11,F94&lt;=$I$11),$J$11))))))))))))</f>
        <v/>
      </c>
    </row>
    <row r="95" spans="1:7" ht="18" x14ac:dyDescent="0.35">
      <c r="A95" s="30" t="str">
        <f>IF(NOT(ISBLANK(Curs!B99)),Curs!B99,"")</f>
        <v/>
      </c>
      <c r="B95" s="31" t="str">
        <f>IF(AND(NOT(ISBLANK(Curs!C99)),OR(Curs!AB99="n/p",Curs!AB99&lt;5)),Curs!C99,"")</f>
        <v/>
      </c>
      <c r="C95" s="10"/>
      <c r="D95" s="10"/>
      <c r="E95" s="10"/>
      <c r="F95" s="24" t="str">
        <f t="shared" si="1"/>
        <v/>
      </c>
      <c r="G95" s="23" t="str">
        <f>IF(B95="","",
IF(Curs!AG99,Curs!AG99,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IF(AND(F95&gt;=$H$11,F95&lt;=$I$11),$J$11))))))))))))</f>
        <v/>
      </c>
    </row>
    <row r="96" spans="1:7" ht="18" x14ac:dyDescent="0.35">
      <c r="A96" s="30" t="str">
        <f>IF(NOT(ISBLANK(Curs!B100)),Curs!B100,"")</f>
        <v/>
      </c>
      <c r="B96" s="31" t="str">
        <f>IF(AND(NOT(ISBLANK(Curs!C100)),OR(Curs!AB100="n/p",Curs!AB100&lt;5)),Curs!C100,"")</f>
        <v/>
      </c>
      <c r="C96" s="10"/>
      <c r="D96" s="10"/>
      <c r="E96" s="10"/>
      <c r="F96" s="24" t="str">
        <f t="shared" si="1"/>
        <v/>
      </c>
      <c r="G96" s="23" t="str">
        <f>IF(B96="","",
IF(Curs!AG100,Curs!AG100,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IF(AND(F96&gt;=$H$11,F96&lt;=$I$11),$J$11))))))))))))</f>
        <v/>
      </c>
    </row>
    <row r="97" spans="1:7" ht="18" x14ac:dyDescent="0.35">
      <c r="A97" s="30" t="str">
        <f>IF(NOT(ISBLANK(Curs!B101)),Curs!B101,"")</f>
        <v/>
      </c>
      <c r="B97" s="31" t="str">
        <f>IF(AND(NOT(ISBLANK(Curs!C101)),OR(Curs!AB101="n/p",Curs!AB101&lt;5)),Curs!C101,"")</f>
        <v/>
      </c>
      <c r="C97" s="10"/>
      <c r="D97" s="10"/>
      <c r="E97" s="10"/>
      <c r="F97" s="24" t="str">
        <f t="shared" si="1"/>
        <v/>
      </c>
      <c r="G97" s="23" t="str">
        <f>IF(B97="","",
IF(Curs!AG101,Curs!AG101,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IF(AND(F97&gt;=$H$11,F97&lt;=$I$11),$J$11))))))))))))</f>
        <v/>
      </c>
    </row>
    <row r="98" spans="1:7" ht="18" x14ac:dyDescent="0.35">
      <c r="A98" s="30" t="str">
        <f>IF(NOT(ISBLANK(Curs!B102)),Curs!B102,"")</f>
        <v/>
      </c>
      <c r="B98" s="31" t="str">
        <f>IF(AND(NOT(ISBLANK(Curs!C102)),OR(Curs!AB102="n/p",Curs!AB102&lt;5)),Curs!C102,"")</f>
        <v/>
      </c>
      <c r="C98" s="10"/>
      <c r="D98" s="10"/>
      <c r="E98" s="10"/>
      <c r="F98" s="24" t="str">
        <f t="shared" si="1"/>
        <v/>
      </c>
      <c r="G98" s="23" t="str">
        <f>IF(B98="","",
IF(Curs!AG102,Curs!AG102,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IF(AND(F98&gt;=$H$11,F98&lt;=$I$11),$J$11))))))))))))</f>
        <v/>
      </c>
    </row>
    <row r="99" spans="1:7" ht="18" x14ac:dyDescent="0.35">
      <c r="A99" s="30" t="str">
        <f>IF(NOT(ISBLANK(Curs!B103)),Curs!B103,"")</f>
        <v/>
      </c>
      <c r="B99" s="31" t="str">
        <f>IF(AND(NOT(ISBLANK(Curs!C103)),OR(Curs!AB103="n/p",Curs!AB103&lt;5)),Curs!C103,"")</f>
        <v/>
      </c>
      <c r="C99" s="10"/>
      <c r="D99" s="10"/>
      <c r="E99" s="10"/>
      <c r="F99" s="24" t="str">
        <f t="shared" si="1"/>
        <v/>
      </c>
      <c r="G99" s="23" t="str">
        <f>IF(B99="","",
IF(Curs!AG103,Curs!AG103,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IF(AND(F99&gt;=$H$11,F99&lt;=$I$11),$J$11))))))))))))</f>
        <v/>
      </c>
    </row>
    <row r="100" spans="1:7" ht="18" x14ac:dyDescent="0.35">
      <c r="A100" s="30" t="str">
        <f>IF(NOT(ISBLANK(Curs!B104)),Curs!B104,"")</f>
        <v/>
      </c>
      <c r="B100" s="31" t="str">
        <f>IF(AND(NOT(ISBLANK(Curs!C104)),OR(Curs!AB104="n/p",Curs!AB104&lt;5)),Curs!C104,"")</f>
        <v/>
      </c>
      <c r="C100" s="10"/>
      <c r="D100" s="10"/>
      <c r="E100" s="10"/>
      <c r="F100" s="24" t="str">
        <f t="shared" si="1"/>
        <v/>
      </c>
      <c r="G100" s="23" t="str">
        <f>IF(B100="","",
IF(Curs!AG104,Curs!AG104,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IF(AND(F100&gt;=$H$11,F100&lt;=$I$11),$J$11))))))))))))</f>
        <v/>
      </c>
    </row>
    <row r="101" spans="1:7" ht="18" x14ac:dyDescent="0.35">
      <c r="A101" s="30" t="str">
        <f>IF(NOT(ISBLANK(Curs!B105)),Curs!B105,"")</f>
        <v/>
      </c>
      <c r="B101" s="31" t="str">
        <f>IF(AND(NOT(ISBLANK(Curs!C105)),OR(Curs!AB105="n/p",Curs!AB105&lt;5)),Curs!C105,"")</f>
        <v/>
      </c>
      <c r="C101" s="10"/>
      <c r="D101" s="10"/>
      <c r="E101" s="10"/>
      <c r="F101" s="24" t="str">
        <f t="shared" si="1"/>
        <v/>
      </c>
      <c r="G101" s="23" t="str">
        <f>IF(B101="","",
IF(Curs!AG105,Curs!AG105,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IF(AND(F101&gt;=$H$11,F101&lt;=$I$11),$J$11))))))))))))</f>
        <v/>
      </c>
    </row>
    <row r="102" spans="1:7" ht="18" x14ac:dyDescent="0.35">
      <c r="A102" s="30" t="str">
        <f>IF(NOT(ISBLANK(Curs!B106)),Curs!B106,"")</f>
        <v/>
      </c>
      <c r="B102" s="31" t="str">
        <f>IF(AND(NOT(ISBLANK(Curs!C106)),OR(Curs!AB106="n/p",Curs!AB106&lt;5)),Curs!C106,"")</f>
        <v/>
      </c>
      <c r="C102" s="10"/>
      <c r="D102" s="10"/>
      <c r="E102" s="10"/>
      <c r="F102" s="24" t="str">
        <f t="shared" si="1"/>
        <v/>
      </c>
      <c r="G102" s="23" t="str">
        <f>IF(B102="","",
IF(Curs!AG106,Curs!AG106,
IF(F102=0,"n/p",
IF(AND(F102&gt;=$H$3,F102&lt;=$I$3),$J$3,
IF(AND(F102&gt;=$H$4,F102&lt;=$I$4),$J$4,
IF(AND(F102&gt;=$H$5,F102&lt;=$I$5),$J$5,
IF(AND(F102&gt;=$H$6,F102&lt;=$I$6),$J$6,
IF(AND(F102&gt;=$H$7,F102&lt;=$I$7),$J$7,
IF(AND(F102&gt;=$H$8,F102&lt;=$I$8),$J$8,
IF(AND(F102&gt;=$H$9,F102&lt;=$I$9),$J$9,
IF(AND(F102&gt;=$H$10,F102&lt;=$I$10),$J$10,
IF(AND(F102&gt;=$H$11,F102&lt;=$I$11),$J$11))))))))))))</f>
        <v/>
      </c>
    </row>
    <row r="103" spans="1:7" ht="18" x14ac:dyDescent="0.35">
      <c r="A103" s="30" t="str">
        <f>IF(NOT(ISBLANK(Curs!B107)),Curs!B107,"")</f>
        <v/>
      </c>
      <c r="B103" s="31" t="str">
        <f>IF(AND(NOT(ISBLANK(Curs!C107)),OR(Curs!AB107="n/p",Curs!AB107&lt;5)),Curs!C107,"")</f>
        <v/>
      </c>
      <c r="C103" s="10"/>
      <c r="D103" s="10"/>
      <c r="E103" s="10"/>
      <c r="F103" s="24" t="str">
        <f t="shared" si="1"/>
        <v/>
      </c>
      <c r="G103" s="23" t="str">
        <f>IF(B103="","",
IF(Curs!AG107,Curs!AG107,
IF(F103=0,"n/p",
IF(AND(F103&gt;=$H$3,F103&lt;=$I$3),$J$3,
IF(AND(F103&gt;=$H$4,F103&lt;=$I$4),$J$4,
IF(AND(F103&gt;=$H$5,F103&lt;=$I$5),$J$5,
IF(AND(F103&gt;=$H$6,F103&lt;=$I$6),$J$6,
IF(AND(F103&gt;=$H$7,F103&lt;=$I$7),$J$7,
IF(AND(F103&gt;=$H$8,F103&lt;=$I$8),$J$8,
IF(AND(F103&gt;=$H$9,F103&lt;=$I$9),$J$9,
IF(AND(F103&gt;=$H$10,F103&lt;=$I$10),$J$10,
IF(AND(F103&gt;=$H$11,F103&lt;=$I$11),$J$11))))))))))))</f>
        <v/>
      </c>
    </row>
    <row r="104" spans="1:7" ht="18" x14ac:dyDescent="0.35">
      <c r="A104" s="30" t="str">
        <f>IF(NOT(ISBLANK(Curs!B108)),Curs!B108,"")</f>
        <v/>
      </c>
      <c r="B104" s="31" t="str">
        <f>IF(AND(NOT(ISBLANK(Curs!C108)),OR(Curs!AB108="n/p",Curs!AB108&lt;5)),Curs!C108,"")</f>
        <v/>
      </c>
      <c r="C104" s="10"/>
      <c r="D104" s="10"/>
      <c r="E104" s="10"/>
      <c r="F104" s="24" t="str">
        <f t="shared" si="1"/>
        <v/>
      </c>
      <c r="G104" s="23" t="str">
        <f>IF(B104="","",
IF(Curs!AG108,Curs!AG108,
IF(F104=0,"n/p",
IF(AND(F104&gt;=$H$3,F104&lt;=$I$3),$J$3,
IF(AND(F104&gt;=$H$4,F104&lt;=$I$4),$J$4,
IF(AND(F104&gt;=$H$5,F104&lt;=$I$5),$J$5,
IF(AND(F104&gt;=$H$6,F104&lt;=$I$6),$J$6,
IF(AND(F104&gt;=$H$7,F104&lt;=$I$7),$J$7,
IF(AND(F104&gt;=$H$8,F104&lt;=$I$8),$J$8,
IF(AND(F104&gt;=$H$9,F104&lt;=$I$9),$J$9,
IF(AND(F104&gt;=$H$10,F104&lt;=$I$10),$J$10,
IF(AND(F104&gt;=$H$11,F104&lt;=$I$11),$J$11))))))))))))</f>
        <v/>
      </c>
    </row>
    <row r="105" spans="1:7" ht="18" x14ac:dyDescent="0.35">
      <c r="A105" s="30" t="str">
        <f>IF(NOT(ISBLANK(Curs!B109)),Curs!B109,"")</f>
        <v/>
      </c>
      <c r="B105" s="31" t="str">
        <f>IF(AND(NOT(ISBLANK(Curs!C109)),OR(Curs!AB109="n/p",Curs!AB109&lt;5)),Curs!C109,"")</f>
        <v/>
      </c>
      <c r="C105" s="10"/>
      <c r="D105" s="10"/>
      <c r="E105" s="10"/>
      <c r="F105" s="24" t="str">
        <f t="shared" si="1"/>
        <v/>
      </c>
      <c r="G105" s="23" t="str">
        <f>IF(B105="","",
IF(Curs!AG109,Curs!AG109,
IF(F105=0,"n/p",
IF(AND(F105&gt;=$H$3,F105&lt;=$I$3),$J$3,
IF(AND(F105&gt;=$H$4,F105&lt;=$I$4),$J$4,
IF(AND(F105&gt;=$H$5,F105&lt;=$I$5),$J$5,
IF(AND(F105&gt;=$H$6,F105&lt;=$I$6),$J$6,
IF(AND(F105&gt;=$H$7,F105&lt;=$I$7),$J$7,
IF(AND(F105&gt;=$H$8,F105&lt;=$I$8),$J$8,
IF(AND(F105&gt;=$H$9,F105&lt;=$I$9),$J$9,
IF(AND(F105&gt;=$H$10,F105&lt;=$I$10),$J$10,
IF(AND(F105&gt;=$H$11,F105&lt;=$I$11),$J$11))))))))))))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M106"/>
  <sheetViews>
    <sheetView topLeftCell="Y7" zoomScale="85" zoomScaleNormal="85" workbookViewId="0">
      <selection activeCell="AC21" sqref="AC21"/>
    </sheetView>
  </sheetViews>
  <sheetFormatPr defaultColWidth="9.109375" defaultRowHeight="15.6" x14ac:dyDescent="0.3"/>
  <cols>
    <col min="1" max="1" width="4.88671875" style="110" customWidth="1"/>
    <col min="2" max="2" width="31.109375" style="110" customWidth="1"/>
    <col min="3" max="31" width="4.33203125" style="110" customWidth="1"/>
    <col min="32" max="33" width="6.33203125" style="110" customWidth="1"/>
    <col min="34" max="34" width="12.109375" style="110" customWidth="1"/>
    <col min="35" max="36" width="9.109375" style="110"/>
    <col min="37" max="37" width="120" style="110" customWidth="1"/>
    <col min="38" max="38" width="8" style="110" customWidth="1"/>
    <col min="39" max="39" width="19.6640625" style="110" customWidth="1"/>
    <col min="40" max="47" width="9.109375" style="110"/>
    <col min="48" max="48" width="9.109375" style="110" customWidth="1"/>
    <col min="49" max="16384" width="9.109375" style="110"/>
  </cols>
  <sheetData>
    <row r="1" spans="1:39" x14ac:dyDescent="0.3">
      <c r="AK1" s="111" t="s">
        <v>96</v>
      </c>
    </row>
    <row r="2" spans="1:39" x14ac:dyDescent="0.3">
      <c r="AJ2" s="110" t="s">
        <v>108</v>
      </c>
    </row>
    <row r="3" spans="1:39" x14ac:dyDescent="0.3">
      <c r="B3" s="111" t="s">
        <v>97</v>
      </c>
      <c r="AJ3" s="110" t="s">
        <v>109</v>
      </c>
      <c r="AK3" s="111"/>
    </row>
    <row r="4" spans="1:39" ht="18" x14ac:dyDescent="0.35">
      <c r="C4" s="215" t="str">
        <f>Curs!E3</f>
        <v>Curs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AJ4" s="110" t="s">
        <v>110</v>
      </c>
      <c r="AK4" s="112"/>
    </row>
    <row r="5" spans="1:39" ht="15.6" customHeight="1" x14ac:dyDescent="0.3">
      <c r="A5" s="216" t="s">
        <v>98</v>
      </c>
      <c r="B5" s="216" t="s">
        <v>107</v>
      </c>
      <c r="C5" s="210" t="str">
        <f>IF(Curs!E5&lt;&gt;"",Curs!E5,"")</f>
        <v>29.01</v>
      </c>
      <c r="D5" s="210" t="str">
        <f>IF(Curs!F5&lt;&gt;"",Curs!F5,"")</f>
        <v>5.02</v>
      </c>
      <c r="E5" s="210" t="str">
        <f>IF(Curs!G5&lt;&gt;"",Curs!G5,"")</f>
        <v>12.02</v>
      </c>
      <c r="F5" s="210" t="str">
        <f>IF(Curs!H5&lt;&gt;"",Curs!H5,"")</f>
        <v>19.02</v>
      </c>
      <c r="G5" s="210" t="str">
        <f>IF(Curs!I5&lt;&gt;"",Curs!I5,"")</f>
        <v>26.02</v>
      </c>
      <c r="H5" s="210" t="str">
        <f>IF(Curs!J5&lt;&gt;"",Curs!J5,"")</f>
        <v>4.03</v>
      </c>
      <c r="I5" s="210" t="str">
        <f>IF(Curs!K5&lt;&gt;"",Curs!K5,"")</f>
        <v>11.03</v>
      </c>
      <c r="J5" s="210" t="str">
        <f>IF(Curs!L5&lt;&gt;"",Curs!L5,"")</f>
        <v>18.03</v>
      </c>
      <c r="K5" s="210" t="str">
        <f>IF(Curs!M5&lt;&gt;"",Curs!M5,"")</f>
        <v>25.03</v>
      </c>
      <c r="L5" s="210" t="str">
        <f>IF(Curs!N5&lt;&gt;"",Curs!N5,"")</f>
        <v>1.04</v>
      </c>
      <c r="M5" s="210" t="str">
        <f>IF(Curs!O5&lt;&gt;"",Curs!O5,"")</f>
        <v>8.04</v>
      </c>
      <c r="N5" s="210" t="str">
        <f>IF(Curs!P5&lt;&gt;"",Curs!P5,"")</f>
        <v>15.04</v>
      </c>
      <c r="O5" s="210" t="str">
        <f>IF(Curs!Q5&lt;&gt;"",Curs!Q5,"")</f>
        <v>22.04</v>
      </c>
      <c r="P5" s="210" t="str">
        <f>IF(Curs!R5&lt;&gt;"",Curs!R5,"")</f>
        <v>29.04</v>
      </c>
      <c r="Q5" s="210" t="str">
        <f>IF(Curs!S5&lt;&gt;"",Curs!S5,"")</f>
        <v>13.05</v>
      </c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2"/>
      <c r="AF5" s="214" t="s">
        <v>99</v>
      </c>
      <c r="AG5" s="214"/>
      <c r="AH5" s="214"/>
      <c r="AJ5" s="208" t="s">
        <v>100</v>
      </c>
      <c r="AK5" s="208" t="s">
        <v>101</v>
      </c>
      <c r="AL5" s="208" t="s">
        <v>102</v>
      </c>
      <c r="AM5" s="208" t="s">
        <v>103</v>
      </c>
    </row>
    <row r="6" spans="1:39" ht="40.200000000000003" customHeight="1" x14ac:dyDescent="0.3">
      <c r="A6" s="216"/>
      <c r="B6" s="216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3"/>
      <c r="AF6" s="113" t="s">
        <v>21</v>
      </c>
      <c r="AG6" s="113" t="s">
        <v>22</v>
      </c>
      <c r="AH6" s="113" t="s">
        <v>104</v>
      </c>
      <c r="AJ6" s="209"/>
      <c r="AK6" s="209"/>
      <c r="AL6" s="209"/>
      <c r="AM6" s="209"/>
    </row>
    <row r="7" spans="1:39" ht="19.95" customHeight="1" x14ac:dyDescent="0.3">
      <c r="A7" s="114">
        <f>Curs!B6</f>
        <v>1</v>
      </c>
      <c r="B7" s="115" t="str">
        <f>IF(NOT(ISBLANK(Curs!C6)),Curs!C6,"")</f>
        <v>Nume, Prenume</v>
      </c>
      <c r="C7" s="123" t="str">
        <f>IF(Curs!E6&lt;&gt;"a","",Curs!E6)</f>
        <v/>
      </c>
      <c r="D7" s="123" t="str">
        <f>IF(Curs!F6&lt;&gt;"a","",Curs!F6)</f>
        <v/>
      </c>
      <c r="E7" s="123" t="str">
        <f>IF(Curs!G6&lt;&gt;"a","",Curs!G6)</f>
        <v/>
      </c>
      <c r="F7" s="123" t="str">
        <f>IF(Curs!H6&lt;&gt;"a","",Curs!H6)</f>
        <v/>
      </c>
      <c r="G7" s="123" t="str">
        <f>IF(Curs!I6&lt;&gt;"a","",Curs!I6)</f>
        <v/>
      </c>
      <c r="H7" s="123" t="str">
        <f>IF(Curs!J6&lt;&gt;"a","",Curs!J6)</f>
        <v/>
      </c>
      <c r="I7" s="123" t="str">
        <f>IF(Curs!K6&lt;&gt;"a","",Curs!K6)</f>
        <v/>
      </c>
      <c r="J7" s="123" t="str">
        <f>IF(Curs!L6&lt;&gt;"a","",Curs!L6)</f>
        <v/>
      </c>
      <c r="K7" s="123" t="str">
        <f>IF(Curs!M6&lt;&gt;"a","",Curs!M6)</f>
        <v/>
      </c>
      <c r="L7" s="123" t="str">
        <f>IF(Curs!N6&lt;&gt;"a","",Curs!N6)</f>
        <v/>
      </c>
      <c r="M7" s="123" t="str">
        <f>IF(Curs!O6&lt;&gt;"a","",Curs!O6)</f>
        <v/>
      </c>
      <c r="N7" s="123" t="str">
        <f>IF(Curs!P6&lt;&gt;"a","",Curs!P6)</f>
        <v/>
      </c>
      <c r="O7" s="123" t="str">
        <f>IF(Curs!Q6&lt;&gt;"a","",Curs!Q6)</f>
        <v/>
      </c>
      <c r="P7" s="123" t="str">
        <f>IF(Curs!R6&lt;&gt;"a","",Curs!R6)</f>
        <v/>
      </c>
      <c r="Q7" s="123" t="str">
        <f>IF(Curs!S6&lt;&gt;"a","",Curs!S6)</f>
        <v/>
      </c>
      <c r="R7" s="123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7"/>
      <c r="AG7" s="117"/>
      <c r="AH7" s="114"/>
      <c r="AJ7" s="118" t="str">
        <f>C5</f>
        <v>29.01</v>
      </c>
      <c r="AK7" s="119" t="s">
        <v>118</v>
      </c>
      <c r="AL7" s="120">
        <v>2</v>
      </c>
      <c r="AM7" s="120"/>
    </row>
    <row r="8" spans="1:39" ht="19.95" customHeight="1" x14ac:dyDescent="0.3">
      <c r="A8" s="114" t="str">
        <f>Curs!B7</f>
        <v/>
      </c>
      <c r="B8" s="115" t="str">
        <f>IF(NOT(ISBLANK(Curs!C7)),Curs!C7,"")</f>
        <v/>
      </c>
      <c r="C8" s="123" t="str">
        <f>IF(Curs!E7&lt;&gt;"a","",Curs!E7)</f>
        <v/>
      </c>
      <c r="D8" s="123" t="str">
        <f>IF(Curs!F7&lt;&gt;"a","",Curs!F7)</f>
        <v/>
      </c>
      <c r="E8" s="123" t="str">
        <f>IF(Curs!G7&lt;&gt;"a","",Curs!G7)</f>
        <v/>
      </c>
      <c r="F8" s="123" t="str">
        <f>IF(Curs!H7&lt;&gt;"a","",Curs!H7)</f>
        <v/>
      </c>
      <c r="G8" s="123" t="str">
        <f>IF(Curs!I7&lt;&gt;"a","",Curs!I7)</f>
        <v/>
      </c>
      <c r="H8" s="123" t="str">
        <f>IF(Curs!J7&lt;&gt;"a","",Curs!J7)</f>
        <v/>
      </c>
      <c r="I8" s="123" t="str">
        <f>IF(Curs!K7&lt;&gt;"a","",Curs!K7)</f>
        <v/>
      </c>
      <c r="J8" s="123" t="str">
        <f>IF(Curs!L7&lt;&gt;"a","",Curs!L7)</f>
        <v/>
      </c>
      <c r="K8" s="123" t="str">
        <f>IF(Curs!M7&lt;&gt;"a","",Curs!M7)</f>
        <v/>
      </c>
      <c r="L8" s="123" t="str">
        <f>IF(Curs!N7&lt;&gt;"a","",Curs!N7)</f>
        <v/>
      </c>
      <c r="M8" s="123" t="str">
        <f>IF(Curs!O7&lt;&gt;"a","",Curs!O7)</f>
        <v/>
      </c>
      <c r="N8" s="123" t="str">
        <f>IF(Curs!P7&lt;&gt;"a","",Curs!P7)</f>
        <v/>
      </c>
      <c r="O8" s="123" t="str">
        <f>IF(Curs!Q7&lt;&gt;"a","",Curs!Q7)</f>
        <v/>
      </c>
      <c r="P8" s="123" t="str">
        <f>IF(Curs!R7&lt;&gt;"a","",Curs!R7)</f>
        <v/>
      </c>
      <c r="Q8" s="123" t="str">
        <f>IF(Curs!S7&lt;&gt;"a","",Curs!S7)</f>
        <v/>
      </c>
      <c r="R8" s="123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/>
      <c r="AG8" s="117"/>
      <c r="AH8" s="114"/>
      <c r="AJ8" s="118" t="str">
        <f>D5</f>
        <v>5.02</v>
      </c>
      <c r="AK8" s="119" t="s">
        <v>119</v>
      </c>
      <c r="AL8" s="120">
        <v>2</v>
      </c>
      <c r="AM8" s="120"/>
    </row>
    <row r="9" spans="1:39" ht="19.95" customHeight="1" x14ac:dyDescent="0.3">
      <c r="A9" s="114" t="str">
        <f>Curs!B8</f>
        <v/>
      </c>
      <c r="B9" s="115" t="str">
        <f>IF(NOT(ISBLANK(Curs!C8)),Curs!C8,"")</f>
        <v/>
      </c>
      <c r="C9" s="123" t="str">
        <f>IF(Curs!E8&lt;&gt;"a","",Curs!E8)</f>
        <v/>
      </c>
      <c r="D9" s="123" t="str">
        <f>IF(Curs!F8&lt;&gt;"a","",Curs!F8)</f>
        <v/>
      </c>
      <c r="E9" s="123" t="str">
        <f>IF(Curs!G8&lt;&gt;"a","",Curs!G8)</f>
        <v/>
      </c>
      <c r="F9" s="123" t="str">
        <f>IF(Curs!H8&lt;&gt;"a","",Curs!H8)</f>
        <v/>
      </c>
      <c r="G9" s="123" t="str">
        <f>IF(Curs!I8&lt;&gt;"a","",Curs!I8)</f>
        <v/>
      </c>
      <c r="H9" s="123" t="str">
        <f>IF(Curs!J8&lt;&gt;"a","",Curs!J8)</f>
        <v/>
      </c>
      <c r="I9" s="123" t="str">
        <f>IF(Curs!K8&lt;&gt;"a","",Curs!K8)</f>
        <v/>
      </c>
      <c r="J9" s="123" t="str">
        <f>IF(Curs!L8&lt;&gt;"a","",Curs!L8)</f>
        <v/>
      </c>
      <c r="K9" s="123" t="str">
        <f>IF(Curs!M8&lt;&gt;"a","",Curs!M8)</f>
        <v/>
      </c>
      <c r="L9" s="123" t="str">
        <f>IF(Curs!N8&lt;&gt;"a","",Curs!N8)</f>
        <v/>
      </c>
      <c r="M9" s="123" t="str">
        <f>IF(Curs!O8&lt;&gt;"a","",Curs!O8)</f>
        <v/>
      </c>
      <c r="N9" s="123" t="str">
        <f>IF(Curs!P8&lt;&gt;"a","",Curs!P8)</f>
        <v/>
      </c>
      <c r="O9" s="123" t="str">
        <f>IF(Curs!Q8&lt;&gt;"a","",Curs!Q8)</f>
        <v/>
      </c>
      <c r="P9" s="123" t="str">
        <f>IF(Curs!R8&lt;&gt;"a","",Curs!R8)</f>
        <v/>
      </c>
      <c r="Q9" s="123" t="str">
        <f>IF(Curs!S8&lt;&gt;"a","",Curs!S8)</f>
        <v/>
      </c>
      <c r="R9" s="123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7"/>
      <c r="AH9" s="114"/>
      <c r="AJ9" s="118" t="str">
        <f>E5</f>
        <v>12.02</v>
      </c>
      <c r="AK9" s="119" t="s">
        <v>120</v>
      </c>
      <c r="AL9" s="120">
        <v>2</v>
      </c>
      <c r="AM9" s="120"/>
    </row>
    <row r="10" spans="1:39" ht="19.95" customHeight="1" x14ac:dyDescent="0.3">
      <c r="A10" s="114" t="str">
        <f>Curs!B9</f>
        <v/>
      </c>
      <c r="B10" s="115" t="str">
        <f>IF(NOT(ISBLANK(Curs!C9)),Curs!C9,"")</f>
        <v/>
      </c>
      <c r="C10" s="123" t="str">
        <f>IF(Curs!E9&lt;&gt;"a","",Curs!E9)</f>
        <v/>
      </c>
      <c r="D10" s="123" t="str">
        <f>IF(Curs!F9&lt;&gt;"a","",Curs!F9)</f>
        <v/>
      </c>
      <c r="E10" s="123" t="str">
        <f>IF(Curs!G9&lt;&gt;"a","",Curs!G9)</f>
        <v/>
      </c>
      <c r="F10" s="123" t="str">
        <f>IF(Curs!H9&lt;&gt;"a","",Curs!H9)</f>
        <v/>
      </c>
      <c r="G10" s="123" t="str">
        <f>IF(Curs!I9&lt;&gt;"a","",Curs!I9)</f>
        <v/>
      </c>
      <c r="H10" s="123" t="str">
        <f>IF(Curs!J9&lt;&gt;"a","",Curs!J9)</f>
        <v/>
      </c>
      <c r="I10" s="123" t="str">
        <f>IF(Curs!K9&lt;&gt;"a","",Curs!K9)</f>
        <v/>
      </c>
      <c r="J10" s="123" t="str">
        <f>IF(Curs!L9&lt;&gt;"a","",Curs!L9)</f>
        <v/>
      </c>
      <c r="K10" s="123" t="str">
        <f>IF(Curs!M9&lt;&gt;"a","",Curs!M9)</f>
        <v/>
      </c>
      <c r="L10" s="123" t="str">
        <f>IF(Curs!N9&lt;&gt;"a","",Curs!N9)</f>
        <v/>
      </c>
      <c r="M10" s="123" t="str">
        <f>IF(Curs!O9&lt;&gt;"a","",Curs!O9)</f>
        <v/>
      </c>
      <c r="N10" s="123" t="str">
        <f>IF(Curs!P9&lt;&gt;"a","",Curs!P9)</f>
        <v/>
      </c>
      <c r="O10" s="123" t="str">
        <f>IF(Curs!Q9&lt;&gt;"a","",Curs!Q9)</f>
        <v/>
      </c>
      <c r="P10" s="123" t="str">
        <f>IF(Curs!R9&lt;&gt;"a","",Curs!R9)</f>
        <v/>
      </c>
      <c r="Q10" s="123" t="str">
        <f>IF(Curs!S9&lt;&gt;"a","",Curs!S9)</f>
        <v/>
      </c>
      <c r="R10" s="123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7"/>
      <c r="AG10" s="117"/>
      <c r="AH10" s="114"/>
      <c r="AJ10" s="118" t="str">
        <f>F5</f>
        <v>19.02</v>
      </c>
      <c r="AK10" s="119" t="s">
        <v>121</v>
      </c>
      <c r="AL10" s="120">
        <v>2</v>
      </c>
      <c r="AM10" s="120"/>
    </row>
    <row r="11" spans="1:39" ht="19.95" customHeight="1" x14ac:dyDescent="0.3">
      <c r="A11" s="114" t="str">
        <f>Curs!B10</f>
        <v/>
      </c>
      <c r="B11" s="115" t="str">
        <f>IF(NOT(ISBLANK(Curs!C10)),Curs!C10,"")</f>
        <v/>
      </c>
      <c r="C11" s="123" t="str">
        <f>IF(Curs!E10&lt;&gt;"a","",Curs!E10)</f>
        <v/>
      </c>
      <c r="D11" s="123" t="str">
        <f>IF(Curs!F10&lt;&gt;"a","",Curs!F10)</f>
        <v/>
      </c>
      <c r="E11" s="123" t="str">
        <f>IF(Curs!G10&lt;&gt;"a","",Curs!G10)</f>
        <v/>
      </c>
      <c r="F11" s="123" t="str">
        <f>IF(Curs!H10&lt;&gt;"a","",Curs!H10)</f>
        <v/>
      </c>
      <c r="G11" s="123" t="str">
        <f>IF(Curs!I10&lt;&gt;"a","",Curs!I10)</f>
        <v/>
      </c>
      <c r="H11" s="123" t="str">
        <f>IF(Curs!J10&lt;&gt;"a","",Curs!J10)</f>
        <v/>
      </c>
      <c r="I11" s="123" t="str">
        <f>IF(Curs!K10&lt;&gt;"a","",Curs!K10)</f>
        <v/>
      </c>
      <c r="J11" s="123" t="str">
        <f>IF(Curs!L10&lt;&gt;"a","",Curs!L10)</f>
        <v/>
      </c>
      <c r="K11" s="123" t="str">
        <f>IF(Curs!M10&lt;&gt;"a","",Curs!M10)</f>
        <v/>
      </c>
      <c r="L11" s="123" t="str">
        <f>IF(Curs!N10&lt;&gt;"a","",Curs!N10)</f>
        <v/>
      </c>
      <c r="M11" s="123" t="str">
        <f>IF(Curs!O10&lt;&gt;"a","",Curs!O10)</f>
        <v/>
      </c>
      <c r="N11" s="123" t="str">
        <f>IF(Curs!P10&lt;&gt;"a","",Curs!P10)</f>
        <v/>
      </c>
      <c r="O11" s="123" t="str">
        <f>IF(Curs!Q10&lt;&gt;"a","",Curs!Q10)</f>
        <v/>
      </c>
      <c r="P11" s="123" t="str">
        <f>IF(Curs!R10&lt;&gt;"a","",Curs!R10)</f>
        <v/>
      </c>
      <c r="Q11" s="123" t="str">
        <f>IF(Curs!S10&lt;&gt;"a","",Curs!S10)</f>
        <v/>
      </c>
      <c r="R11" s="123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7"/>
      <c r="AG11" s="117"/>
      <c r="AH11" s="114"/>
      <c r="AJ11" s="118" t="str">
        <f>G5</f>
        <v>26.02</v>
      </c>
      <c r="AK11" s="119" t="s">
        <v>122</v>
      </c>
      <c r="AL11" s="120">
        <v>2</v>
      </c>
      <c r="AM11" s="120"/>
    </row>
    <row r="12" spans="1:39" ht="19.95" customHeight="1" x14ac:dyDescent="0.3">
      <c r="A12" s="114" t="str">
        <f>Curs!B11</f>
        <v/>
      </c>
      <c r="B12" s="115" t="str">
        <f>IF(NOT(ISBLANK(Curs!C11)),Curs!C11,"")</f>
        <v/>
      </c>
      <c r="C12" s="123" t="str">
        <f>IF(Curs!E11&lt;&gt;"a","",Curs!E11)</f>
        <v/>
      </c>
      <c r="D12" s="123" t="str">
        <f>IF(Curs!F11&lt;&gt;"a","",Curs!F11)</f>
        <v/>
      </c>
      <c r="E12" s="123" t="str">
        <f>IF(Curs!G11&lt;&gt;"a","",Curs!G11)</f>
        <v/>
      </c>
      <c r="F12" s="123" t="str">
        <f>IF(Curs!H11&lt;&gt;"a","",Curs!H11)</f>
        <v/>
      </c>
      <c r="G12" s="123" t="str">
        <f>IF(Curs!I11&lt;&gt;"a","",Curs!I11)</f>
        <v/>
      </c>
      <c r="H12" s="123" t="str">
        <f>IF(Curs!J11&lt;&gt;"a","",Curs!J11)</f>
        <v/>
      </c>
      <c r="I12" s="123" t="str">
        <f>IF(Curs!K11&lt;&gt;"a","",Curs!K11)</f>
        <v/>
      </c>
      <c r="J12" s="123" t="str">
        <f>IF(Curs!L11&lt;&gt;"a","",Curs!L11)</f>
        <v/>
      </c>
      <c r="K12" s="123" t="str">
        <f>IF(Curs!M11&lt;&gt;"a","",Curs!M11)</f>
        <v/>
      </c>
      <c r="L12" s="123" t="str">
        <f>IF(Curs!N11&lt;&gt;"a","",Curs!N11)</f>
        <v/>
      </c>
      <c r="M12" s="123" t="str">
        <f>IF(Curs!O11&lt;&gt;"a","",Curs!O11)</f>
        <v/>
      </c>
      <c r="N12" s="123" t="str">
        <f>IF(Curs!P11&lt;&gt;"a","",Curs!P11)</f>
        <v/>
      </c>
      <c r="O12" s="123" t="str">
        <f>IF(Curs!Q11&lt;&gt;"a","",Curs!Q11)</f>
        <v/>
      </c>
      <c r="P12" s="123" t="str">
        <f>IF(Curs!R11&lt;&gt;"a","",Curs!R11)</f>
        <v/>
      </c>
      <c r="Q12" s="123" t="str">
        <f>IF(Curs!S11&lt;&gt;"a","",Curs!S11)</f>
        <v/>
      </c>
      <c r="R12" s="123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7"/>
      <c r="AG12" s="117"/>
      <c r="AH12" s="114"/>
      <c r="AJ12" s="118" t="str">
        <f>H5</f>
        <v>4.03</v>
      </c>
      <c r="AK12" s="119" t="s">
        <v>123</v>
      </c>
      <c r="AL12" s="120">
        <v>2</v>
      </c>
      <c r="AM12" s="120"/>
    </row>
    <row r="13" spans="1:39" ht="19.95" customHeight="1" x14ac:dyDescent="0.3">
      <c r="A13" s="114" t="str">
        <f>Curs!B12</f>
        <v/>
      </c>
      <c r="B13" s="115" t="str">
        <f>IF(NOT(ISBLANK(Curs!C12)),Curs!C12,"")</f>
        <v/>
      </c>
      <c r="C13" s="123" t="str">
        <f>IF(Curs!E12&lt;&gt;"a","",Curs!E12)</f>
        <v/>
      </c>
      <c r="D13" s="123" t="str">
        <f>IF(Curs!F12&lt;&gt;"a","",Curs!F12)</f>
        <v/>
      </c>
      <c r="E13" s="123" t="str">
        <f>IF(Curs!G12&lt;&gt;"a","",Curs!G12)</f>
        <v/>
      </c>
      <c r="F13" s="123" t="str">
        <f>IF(Curs!H12&lt;&gt;"a","",Curs!H12)</f>
        <v/>
      </c>
      <c r="G13" s="123" t="str">
        <f>IF(Curs!I12&lt;&gt;"a","",Curs!I12)</f>
        <v/>
      </c>
      <c r="H13" s="123" t="str">
        <f>IF(Curs!J12&lt;&gt;"a","",Curs!J12)</f>
        <v/>
      </c>
      <c r="I13" s="123" t="str">
        <f>IF(Curs!K12&lt;&gt;"a","",Curs!K12)</f>
        <v/>
      </c>
      <c r="J13" s="123" t="str">
        <f>IF(Curs!L12&lt;&gt;"a","",Curs!L12)</f>
        <v/>
      </c>
      <c r="K13" s="123" t="str">
        <f>IF(Curs!M12&lt;&gt;"a","",Curs!M12)</f>
        <v/>
      </c>
      <c r="L13" s="123" t="str">
        <f>IF(Curs!N12&lt;&gt;"a","",Curs!N12)</f>
        <v/>
      </c>
      <c r="M13" s="123" t="str">
        <f>IF(Curs!O12&lt;&gt;"a","",Curs!O12)</f>
        <v/>
      </c>
      <c r="N13" s="123" t="str">
        <f>IF(Curs!P12&lt;&gt;"a","",Curs!P12)</f>
        <v/>
      </c>
      <c r="O13" s="123" t="str">
        <f>IF(Curs!Q12&lt;&gt;"a","",Curs!Q12)</f>
        <v/>
      </c>
      <c r="P13" s="123" t="str">
        <f>IF(Curs!R12&lt;&gt;"a","",Curs!R12)</f>
        <v/>
      </c>
      <c r="Q13" s="123" t="str">
        <f>IF(Curs!S12&lt;&gt;"a","",Curs!S12)</f>
        <v/>
      </c>
      <c r="R13" s="123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7"/>
      <c r="AG13" s="117"/>
      <c r="AH13" s="114"/>
      <c r="AJ13" s="118" t="str">
        <f>I5</f>
        <v>11.03</v>
      </c>
      <c r="AK13" s="119" t="s">
        <v>124</v>
      </c>
      <c r="AL13" s="120">
        <v>2</v>
      </c>
      <c r="AM13" s="120"/>
    </row>
    <row r="14" spans="1:39" ht="19.95" customHeight="1" x14ac:dyDescent="0.3">
      <c r="A14" s="114" t="str">
        <f>Curs!B13</f>
        <v/>
      </c>
      <c r="B14" s="115" t="str">
        <f>IF(NOT(ISBLANK(Curs!C13)),Curs!C13,"")</f>
        <v/>
      </c>
      <c r="C14" s="123" t="str">
        <f>IF(Curs!E13&lt;&gt;"a","",Curs!E13)</f>
        <v/>
      </c>
      <c r="D14" s="123" t="str">
        <f>IF(Curs!F13&lt;&gt;"a","",Curs!F13)</f>
        <v/>
      </c>
      <c r="E14" s="123" t="str">
        <f>IF(Curs!G13&lt;&gt;"a","",Curs!G13)</f>
        <v/>
      </c>
      <c r="F14" s="123" t="str">
        <f>IF(Curs!H13&lt;&gt;"a","",Curs!H13)</f>
        <v/>
      </c>
      <c r="G14" s="123" t="str">
        <f>IF(Curs!I13&lt;&gt;"a","",Curs!I13)</f>
        <v/>
      </c>
      <c r="H14" s="123" t="str">
        <f>IF(Curs!J13&lt;&gt;"a","",Curs!J13)</f>
        <v/>
      </c>
      <c r="I14" s="123" t="str">
        <f>IF(Curs!K13&lt;&gt;"a","",Curs!K13)</f>
        <v/>
      </c>
      <c r="J14" s="123" t="str">
        <f>IF(Curs!L13&lt;&gt;"a","",Curs!L13)</f>
        <v/>
      </c>
      <c r="K14" s="123" t="str">
        <f>IF(Curs!M13&lt;&gt;"a","",Curs!M13)</f>
        <v/>
      </c>
      <c r="L14" s="123" t="str">
        <f>IF(Curs!N13&lt;&gt;"a","",Curs!N13)</f>
        <v/>
      </c>
      <c r="M14" s="123" t="str">
        <f>IF(Curs!O13&lt;&gt;"a","",Curs!O13)</f>
        <v/>
      </c>
      <c r="N14" s="123" t="str">
        <f>IF(Curs!P13&lt;&gt;"a","",Curs!P13)</f>
        <v/>
      </c>
      <c r="O14" s="123" t="str">
        <f>IF(Curs!Q13&lt;&gt;"a","",Curs!Q13)</f>
        <v/>
      </c>
      <c r="P14" s="123" t="str">
        <f>IF(Curs!R13&lt;&gt;"a","",Curs!R13)</f>
        <v/>
      </c>
      <c r="Q14" s="123" t="str">
        <f>IF(Curs!S13&lt;&gt;"a","",Curs!S13)</f>
        <v/>
      </c>
      <c r="R14" s="123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7"/>
      <c r="AG14" s="117"/>
      <c r="AH14" s="114"/>
      <c r="AJ14" s="118" t="str">
        <f>J5</f>
        <v>18.03</v>
      </c>
      <c r="AK14" s="119" t="s">
        <v>178</v>
      </c>
      <c r="AL14" s="120">
        <v>2</v>
      </c>
      <c r="AM14" s="120"/>
    </row>
    <row r="15" spans="1:39" ht="19.95" customHeight="1" x14ac:dyDescent="0.3">
      <c r="A15" s="114" t="str">
        <f>Curs!B14</f>
        <v/>
      </c>
      <c r="B15" s="115" t="str">
        <f>IF(NOT(ISBLANK(Curs!C14)),Curs!C14,"")</f>
        <v/>
      </c>
      <c r="C15" s="123" t="str">
        <f>IF(Curs!E14&lt;&gt;"a","",Curs!E14)</f>
        <v/>
      </c>
      <c r="D15" s="123" t="str">
        <f>IF(Curs!F14&lt;&gt;"a","",Curs!F14)</f>
        <v/>
      </c>
      <c r="E15" s="123" t="str">
        <f>IF(Curs!G14&lt;&gt;"a","",Curs!G14)</f>
        <v/>
      </c>
      <c r="F15" s="123" t="str">
        <f>IF(Curs!H14&lt;&gt;"a","",Curs!H14)</f>
        <v/>
      </c>
      <c r="G15" s="123" t="str">
        <f>IF(Curs!I14&lt;&gt;"a","",Curs!I14)</f>
        <v/>
      </c>
      <c r="H15" s="123" t="str">
        <f>IF(Curs!J14&lt;&gt;"a","",Curs!J14)</f>
        <v/>
      </c>
      <c r="I15" s="123" t="str">
        <f>IF(Curs!K14&lt;&gt;"a","",Curs!K14)</f>
        <v/>
      </c>
      <c r="J15" s="123" t="str">
        <f>IF(Curs!L14&lt;&gt;"a","",Curs!L14)</f>
        <v/>
      </c>
      <c r="K15" s="123" t="str">
        <f>IF(Curs!M14&lt;&gt;"a","",Curs!M14)</f>
        <v/>
      </c>
      <c r="L15" s="123" t="str">
        <f>IF(Curs!N14&lt;&gt;"a","",Curs!N14)</f>
        <v/>
      </c>
      <c r="M15" s="123" t="str">
        <f>IF(Curs!O14&lt;&gt;"a","",Curs!O14)</f>
        <v/>
      </c>
      <c r="N15" s="123" t="str">
        <f>IF(Curs!P14&lt;&gt;"a","",Curs!P14)</f>
        <v/>
      </c>
      <c r="O15" s="123" t="str">
        <f>IF(Curs!Q14&lt;&gt;"a","",Curs!Q14)</f>
        <v/>
      </c>
      <c r="P15" s="123" t="str">
        <f>IF(Curs!R14&lt;&gt;"a","",Curs!R14)</f>
        <v/>
      </c>
      <c r="Q15" s="123" t="str">
        <f>IF(Curs!S14&lt;&gt;"a","",Curs!S14)</f>
        <v/>
      </c>
      <c r="R15" s="123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7"/>
      <c r="AG15" s="117"/>
      <c r="AH15" s="114"/>
      <c r="AJ15" s="118" t="str">
        <f>K5</f>
        <v>25.03</v>
      </c>
      <c r="AK15" s="119" t="s">
        <v>125</v>
      </c>
      <c r="AL15" s="120">
        <v>2</v>
      </c>
      <c r="AM15" s="120"/>
    </row>
    <row r="16" spans="1:39" ht="19.95" customHeight="1" x14ac:dyDescent="0.3">
      <c r="A16" s="114" t="str">
        <f>Curs!B15</f>
        <v/>
      </c>
      <c r="B16" s="115" t="str">
        <f>IF(NOT(ISBLANK(Curs!C15)),Curs!C15,"")</f>
        <v/>
      </c>
      <c r="C16" s="123" t="str">
        <f>IF(Curs!E15&lt;&gt;"a","",Curs!E15)</f>
        <v/>
      </c>
      <c r="D16" s="123" t="str">
        <f>IF(Curs!F15&lt;&gt;"a","",Curs!F15)</f>
        <v/>
      </c>
      <c r="E16" s="123" t="str">
        <f>IF(Curs!G15&lt;&gt;"a","",Curs!G15)</f>
        <v/>
      </c>
      <c r="F16" s="123" t="str">
        <f>IF(Curs!H15&lt;&gt;"a","",Curs!H15)</f>
        <v/>
      </c>
      <c r="G16" s="123" t="str">
        <f>IF(Curs!I15&lt;&gt;"a","",Curs!I15)</f>
        <v/>
      </c>
      <c r="H16" s="123" t="str">
        <f>IF(Curs!J15&lt;&gt;"a","",Curs!J15)</f>
        <v/>
      </c>
      <c r="I16" s="123" t="str">
        <f>IF(Curs!K15&lt;&gt;"a","",Curs!K15)</f>
        <v/>
      </c>
      <c r="J16" s="123" t="str">
        <f>IF(Curs!L15&lt;&gt;"a","",Curs!L15)</f>
        <v/>
      </c>
      <c r="K16" s="123" t="str">
        <f>IF(Curs!M15&lt;&gt;"a","",Curs!M15)</f>
        <v/>
      </c>
      <c r="L16" s="123" t="str">
        <f>IF(Curs!N15&lt;&gt;"a","",Curs!N15)</f>
        <v/>
      </c>
      <c r="M16" s="123" t="str">
        <f>IF(Curs!O15&lt;&gt;"a","",Curs!O15)</f>
        <v/>
      </c>
      <c r="N16" s="123" t="str">
        <f>IF(Curs!P15&lt;&gt;"a","",Curs!P15)</f>
        <v/>
      </c>
      <c r="O16" s="123" t="str">
        <f>IF(Curs!Q15&lt;&gt;"a","",Curs!Q15)</f>
        <v/>
      </c>
      <c r="P16" s="123" t="str">
        <f>IF(Curs!R15&lt;&gt;"a","",Curs!R15)</f>
        <v/>
      </c>
      <c r="Q16" s="123" t="str">
        <f>IF(Curs!S15&lt;&gt;"a","",Curs!S15)</f>
        <v/>
      </c>
      <c r="R16" s="123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7"/>
      <c r="AG16" s="117"/>
      <c r="AH16" s="114"/>
      <c r="AJ16" s="118" t="str">
        <f>L5</f>
        <v>1.04</v>
      </c>
      <c r="AK16" s="119" t="s">
        <v>126</v>
      </c>
      <c r="AL16" s="120">
        <v>2</v>
      </c>
      <c r="AM16" s="120"/>
    </row>
    <row r="17" spans="1:39" ht="19.95" customHeight="1" x14ac:dyDescent="0.3">
      <c r="A17" s="114" t="str">
        <f>Curs!B16</f>
        <v/>
      </c>
      <c r="B17" s="115" t="str">
        <f>IF(NOT(ISBLANK(Curs!C16)),Curs!C16,"")</f>
        <v/>
      </c>
      <c r="C17" s="123" t="str">
        <f>IF(Curs!E16&lt;&gt;"a","",Curs!E16)</f>
        <v/>
      </c>
      <c r="D17" s="123" t="str">
        <f>IF(Curs!F16&lt;&gt;"a","",Curs!F16)</f>
        <v/>
      </c>
      <c r="E17" s="123" t="str">
        <f>IF(Curs!G16&lt;&gt;"a","",Curs!G16)</f>
        <v/>
      </c>
      <c r="F17" s="123" t="str">
        <f>IF(Curs!H16&lt;&gt;"a","",Curs!H16)</f>
        <v/>
      </c>
      <c r="G17" s="123" t="str">
        <f>IF(Curs!I16&lt;&gt;"a","",Curs!I16)</f>
        <v/>
      </c>
      <c r="H17" s="123" t="str">
        <f>IF(Curs!J16&lt;&gt;"a","",Curs!J16)</f>
        <v/>
      </c>
      <c r="I17" s="123" t="str">
        <f>IF(Curs!K16&lt;&gt;"a","",Curs!K16)</f>
        <v/>
      </c>
      <c r="J17" s="123" t="str">
        <f>IF(Curs!L16&lt;&gt;"a","",Curs!L16)</f>
        <v/>
      </c>
      <c r="K17" s="123" t="str">
        <f>IF(Curs!M16&lt;&gt;"a","",Curs!M16)</f>
        <v/>
      </c>
      <c r="L17" s="123" t="str">
        <f>IF(Curs!N16&lt;&gt;"a","",Curs!N16)</f>
        <v/>
      </c>
      <c r="M17" s="123" t="str">
        <f>IF(Curs!O16&lt;&gt;"a","",Curs!O16)</f>
        <v/>
      </c>
      <c r="N17" s="123" t="str">
        <f>IF(Curs!P16&lt;&gt;"a","",Curs!P16)</f>
        <v/>
      </c>
      <c r="O17" s="123" t="str">
        <f>IF(Curs!Q16&lt;&gt;"a","",Curs!Q16)</f>
        <v/>
      </c>
      <c r="P17" s="123" t="str">
        <f>IF(Curs!R16&lt;&gt;"a","",Curs!R16)</f>
        <v/>
      </c>
      <c r="Q17" s="123" t="str">
        <f>IF(Curs!S16&lt;&gt;"a","",Curs!S16)</f>
        <v/>
      </c>
      <c r="R17" s="123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7"/>
      <c r="AG17" s="117"/>
      <c r="AH17" s="114"/>
      <c r="AJ17" s="118" t="str">
        <f>M5</f>
        <v>8.04</v>
      </c>
      <c r="AK17" s="119" t="s">
        <v>127</v>
      </c>
      <c r="AL17" s="120">
        <v>2</v>
      </c>
      <c r="AM17" s="120"/>
    </row>
    <row r="18" spans="1:39" ht="19.95" customHeight="1" x14ac:dyDescent="0.3">
      <c r="A18" s="114" t="str">
        <f>Curs!B17</f>
        <v/>
      </c>
      <c r="B18" s="115" t="str">
        <f>IF(NOT(ISBLANK(Curs!C17)),Curs!C17,"")</f>
        <v/>
      </c>
      <c r="C18" s="123" t="str">
        <f>IF(Curs!E17&lt;&gt;"a","",Curs!E17)</f>
        <v/>
      </c>
      <c r="D18" s="123" t="str">
        <f>IF(Curs!F17&lt;&gt;"a","",Curs!F17)</f>
        <v/>
      </c>
      <c r="E18" s="123" t="str">
        <f>IF(Curs!G17&lt;&gt;"a","",Curs!G17)</f>
        <v/>
      </c>
      <c r="F18" s="123" t="str">
        <f>IF(Curs!H17&lt;&gt;"a","",Curs!H17)</f>
        <v/>
      </c>
      <c r="G18" s="123" t="str">
        <f>IF(Curs!I17&lt;&gt;"a","",Curs!I17)</f>
        <v/>
      </c>
      <c r="H18" s="123" t="str">
        <f>IF(Curs!J17&lt;&gt;"a","",Curs!J17)</f>
        <v/>
      </c>
      <c r="I18" s="123" t="str">
        <f>IF(Curs!K17&lt;&gt;"a","",Curs!K17)</f>
        <v/>
      </c>
      <c r="J18" s="123" t="str">
        <f>IF(Curs!L17&lt;&gt;"a","",Curs!L17)</f>
        <v/>
      </c>
      <c r="K18" s="123" t="str">
        <f>IF(Curs!M17&lt;&gt;"a","",Curs!M17)</f>
        <v/>
      </c>
      <c r="L18" s="123" t="str">
        <f>IF(Curs!N17&lt;&gt;"a","",Curs!N17)</f>
        <v/>
      </c>
      <c r="M18" s="123" t="str">
        <f>IF(Curs!O17&lt;&gt;"a","",Curs!O17)</f>
        <v/>
      </c>
      <c r="N18" s="123" t="str">
        <f>IF(Curs!P17&lt;&gt;"a","",Curs!P17)</f>
        <v/>
      </c>
      <c r="O18" s="123" t="str">
        <f>IF(Curs!Q17&lt;&gt;"a","",Curs!Q17)</f>
        <v/>
      </c>
      <c r="P18" s="123" t="str">
        <f>IF(Curs!R17&lt;&gt;"a","",Curs!R17)</f>
        <v/>
      </c>
      <c r="Q18" s="123" t="str">
        <f>IF(Curs!S17&lt;&gt;"a","",Curs!S17)</f>
        <v/>
      </c>
      <c r="R18" s="123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7"/>
      <c r="AG18" s="117"/>
      <c r="AH18" s="114"/>
      <c r="AJ18" s="118" t="str">
        <f>N5</f>
        <v>15.04</v>
      </c>
      <c r="AK18" s="119" t="s">
        <v>128</v>
      </c>
      <c r="AL18" s="120">
        <v>2</v>
      </c>
      <c r="AM18" s="120"/>
    </row>
    <row r="19" spans="1:39" ht="19.95" customHeight="1" x14ac:dyDescent="0.3">
      <c r="A19" s="114" t="str">
        <f>Curs!B18</f>
        <v/>
      </c>
      <c r="B19" s="115" t="str">
        <f>IF(NOT(ISBLANK(Curs!C18)),Curs!C18,"")</f>
        <v/>
      </c>
      <c r="C19" s="123" t="str">
        <f>IF(Curs!E18&lt;&gt;"a","",Curs!E18)</f>
        <v/>
      </c>
      <c r="D19" s="123" t="str">
        <f>IF(Curs!F18&lt;&gt;"a","",Curs!F18)</f>
        <v/>
      </c>
      <c r="E19" s="123" t="str">
        <f>IF(Curs!G18&lt;&gt;"a","",Curs!G18)</f>
        <v/>
      </c>
      <c r="F19" s="123" t="str">
        <f>IF(Curs!H18&lt;&gt;"a","",Curs!H18)</f>
        <v/>
      </c>
      <c r="G19" s="123" t="str">
        <f>IF(Curs!I18&lt;&gt;"a","",Curs!I18)</f>
        <v/>
      </c>
      <c r="H19" s="123" t="str">
        <f>IF(Curs!J18&lt;&gt;"a","",Curs!J18)</f>
        <v/>
      </c>
      <c r="I19" s="123" t="str">
        <f>IF(Curs!K18&lt;&gt;"a","",Curs!K18)</f>
        <v/>
      </c>
      <c r="J19" s="123" t="str">
        <f>IF(Curs!L18&lt;&gt;"a","",Curs!L18)</f>
        <v/>
      </c>
      <c r="K19" s="123" t="str">
        <f>IF(Curs!M18&lt;&gt;"a","",Curs!M18)</f>
        <v/>
      </c>
      <c r="L19" s="123" t="str">
        <f>IF(Curs!N18&lt;&gt;"a","",Curs!N18)</f>
        <v/>
      </c>
      <c r="M19" s="123" t="str">
        <f>IF(Curs!O18&lt;&gt;"a","",Curs!O18)</f>
        <v/>
      </c>
      <c r="N19" s="123" t="str">
        <f>IF(Curs!P18&lt;&gt;"a","",Curs!P18)</f>
        <v/>
      </c>
      <c r="O19" s="123" t="str">
        <f>IF(Curs!Q18&lt;&gt;"a","",Curs!Q18)</f>
        <v/>
      </c>
      <c r="P19" s="123" t="str">
        <f>IF(Curs!R18&lt;&gt;"a","",Curs!R18)</f>
        <v/>
      </c>
      <c r="Q19" s="123" t="str">
        <f>IF(Curs!S18&lt;&gt;"a","",Curs!S18)</f>
        <v/>
      </c>
      <c r="R19" s="123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7"/>
      <c r="AG19" s="117"/>
      <c r="AH19" s="114"/>
      <c r="AJ19" s="118" t="str">
        <f>O5</f>
        <v>22.04</v>
      </c>
      <c r="AK19" s="119" t="s">
        <v>129</v>
      </c>
      <c r="AL19" s="121">
        <v>2</v>
      </c>
      <c r="AM19" s="120"/>
    </row>
    <row r="20" spans="1:39" ht="19.95" customHeight="1" x14ac:dyDescent="0.3">
      <c r="A20" s="114" t="str">
        <f>Curs!B19</f>
        <v/>
      </c>
      <c r="B20" s="115" t="str">
        <f>IF(NOT(ISBLANK(Curs!C19)),Curs!C19,"")</f>
        <v/>
      </c>
      <c r="C20" s="123" t="str">
        <f>IF(Curs!E19&lt;&gt;"a","",Curs!E19)</f>
        <v/>
      </c>
      <c r="D20" s="123" t="str">
        <f>IF(Curs!F19&lt;&gt;"a","",Curs!F19)</f>
        <v/>
      </c>
      <c r="E20" s="123" t="str">
        <f>IF(Curs!G19&lt;&gt;"a","",Curs!G19)</f>
        <v/>
      </c>
      <c r="F20" s="123" t="str">
        <f>IF(Curs!H19&lt;&gt;"a","",Curs!H19)</f>
        <v/>
      </c>
      <c r="G20" s="123" t="str">
        <f>IF(Curs!I19&lt;&gt;"a","",Curs!I19)</f>
        <v/>
      </c>
      <c r="H20" s="123" t="str">
        <f>IF(Curs!J19&lt;&gt;"a","",Curs!J19)</f>
        <v/>
      </c>
      <c r="I20" s="123" t="str">
        <f>IF(Curs!K19&lt;&gt;"a","",Curs!K19)</f>
        <v/>
      </c>
      <c r="J20" s="123" t="str">
        <f>IF(Curs!L19&lt;&gt;"a","",Curs!L19)</f>
        <v/>
      </c>
      <c r="K20" s="123" t="str">
        <f>IF(Curs!M19&lt;&gt;"a","",Curs!M19)</f>
        <v/>
      </c>
      <c r="L20" s="123" t="str">
        <f>IF(Curs!N19&lt;&gt;"a","",Curs!N19)</f>
        <v/>
      </c>
      <c r="M20" s="123" t="str">
        <f>IF(Curs!O19&lt;&gt;"a","",Curs!O19)</f>
        <v/>
      </c>
      <c r="N20" s="123" t="str">
        <f>IF(Curs!P19&lt;&gt;"a","",Curs!P19)</f>
        <v/>
      </c>
      <c r="O20" s="123" t="str">
        <f>IF(Curs!Q19&lt;&gt;"a","",Curs!Q19)</f>
        <v/>
      </c>
      <c r="P20" s="123" t="str">
        <f>IF(Curs!R19&lt;&gt;"a","",Curs!R19)</f>
        <v/>
      </c>
      <c r="Q20" s="123" t="str">
        <f>IF(Curs!S19&lt;&gt;"a","",Curs!S19)</f>
        <v/>
      </c>
      <c r="R20" s="123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7"/>
      <c r="AG20" s="117"/>
      <c r="AH20" s="114"/>
      <c r="AJ20" s="118" t="str">
        <f>P5</f>
        <v>29.04</v>
      </c>
      <c r="AK20" s="119" t="s">
        <v>184</v>
      </c>
      <c r="AL20" s="120">
        <v>2</v>
      </c>
      <c r="AM20" s="120"/>
    </row>
    <row r="21" spans="1:39" ht="19.95" customHeight="1" x14ac:dyDescent="0.3">
      <c r="A21" s="114" t="str">
        <f>Curs!B20</f>
        <v/>
      </c>
      <c r="B21" s="115" t="str">
        <f>IF(NOT(ISBLANK(Curs!C20)),Curs!C20,"")</f>
        <v/>
      </c>
      <c r="C21" s="123" t="str">
        <f>IF(Curs!E20&lt;&gt;"a","",Curs!E20)</f>
        <v/>
      </c>
      <c r="D21" s="123" t="str">
        <f>IF(Curs!F20&lt;&gt;"a","",Curs!F20)</f>
        <v/>
      </c>
      <c r="E21" s="123" t="str">
        <f>IF(Curs!G20&lt;&gt;"a","",Curs!G20)</f>
        <v/>
      </c>
      <c r="F21" s="123" t="str">
        <f>IF(Curs!H20&lt;&gt;"a","",Curs!H20)</f>
        <v/>
      </c>
      <c r="G21" s="123" t="str">
        <f>IF(Curs!I20&lt;&gt;"a","",Curs!I20)</f>
        <v/>
      </c>
      <c r="H21" s="123" t="str">
        <f>IF(Curs!J20&lt;&gt;"a","",Curs!J20)</f>
        <v/>
      </c>
      <c r="I21" s="123" t="str">
        <f>IF(Curs!K20&lt;&gt;"a","",Curs!K20)</f>
        <v/>
      </c>
      <c r="J21" s="123" t="str">
        <f>IF(Curs!L20&lt;&gt;"a","",Curs!L20)</f>
        <v/>
      </c>
      <c r="K21" s="123" t="str">
        <f>IF(Curs!M20&lt;&gt;"a","",Curs!M20)</f>
        <v/>
      </c>
      <c r="L21" s="123" t="str">
        <f>IF(Curs!N20&lt;&gt;"a","",Curs!N20)</f>
        <v/>
      </c>
      <c r="M21" s="123" t="str">
        <f>IF(Curs!O20&lt;&gt;"a","",Curs!O20)</f>
        <v/>
      </c>
      <c r="N21" s="123" t="str">
        <f>IF(Curs!P20&lt;&gt;"a","",Curs!P20)</f>
        <v/>
      </c>
      <c r="O21" s="123" t="str">
        <f>IF(Curs!Q20&lt;&gt;"a","",Curs!Q20)</f>
        <v/>
      </c>
      <c r="P21" s="123" t="str">
        <f>IF(Curs!R20&lt;&gt;"a","",Curs!R20)</f>
        <v/>
      </c>
      <c r="Q21" s="123" t="str">
        <f>IF(Curs!S20&lt;&gt;"a","",Curs!S20)</f>
        <v/>
      </c>
      <c r="R21" s="123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7"/>
      <c r="AG21" s="117"/>
      <c r="AH21" s="114"/>
      <c r="AJ21" s="118" t="str">
        <f>Q5</f>
        <v>13.05</v>
      </c>
      <c r="AK21" s="119" t="s">
        <v>185</v>
      </c>
      <c r="AL21" s="120">
        <v>2</v>
      </c>
      <c r="AM21" s="120"/>
    </row>
    <row r="22" spans="1:39" ht="19.95" customHeight="1" x14ac:dyDescent="0.3">
      <c r="A22" s="114" t="str">
        <f>Curs!B21</f>
        <v/>
      </c>
      <c r="B22" s="115" t="str">
        <f>IF(NOT(ISBLANK(Curs!C21)),Curs!C21,"")</f>
        <v/>
      </c>
      <c r="C22" s="123" t="str">
        <f>IF(Curs!E21&lt;&gt;"a","",Curs!E21)</f>
        <v/>
      </c>
      <c r="D22" s="123" t="str">
        <f>IF(Curs!F21&lt;&gt;"a","",Curs!F21)</f>
        <v/>
      </c>
      <c r="E22" s="123" t="str">
        <f>IF(Curs!G21&lt;&gt;"a","",Curs!G21)</f>
        <v/>
      </c>
      <c r="F22" s="123" t="str">
        <f>IF(Curs!H21&lt;&gt;"a","",Curs!H21)</f>
        <v/>
      </c>
      <c r="G22" s="123" t="str">
        <f>IF(Curs!I21&lt;&gt;"a","",Curs!I21)</f>
        <v/>
      </c>
      <c r="H22" s="123" t="str">
        <f>IF(Curs!J21&lt;&gt;"a","",Curs!J21)</f>
        <v/>
      </c>
      <c r="I22" s="123" t="str">
        <f>IF(Curs!K21&lt;&gt;"a","",Curs!K21)</f>
        <v/>
      </c>
      <c r="J22" s="123" t="str">
        <f>IF(Curs!L21&lt;&gt;"a","",Curs!L21)</f>
        <v/>
      </c>
      <c r="K22" s="123" t="str">
        <f>IF(Curs!M21&lt;&gt;"a","",Curs!M21)</f>
        <v/>
      </c>
      <c r="L22" s="123" t="str">
        <f>IF(Curs!N21&lt;&gt;"a","",Curs!N21)</f>
        <v/>
      </c>
      <c r="M22" s="123" t="str">
        <f>IF(Curs!O21&lt;&gt;"a","",Curs!O21)</f>
        <v/>
      </c>
      <c r="N22" s="123" t="str">
        <f>IF(Curs!P21&lt;&gt;"a","",Curs!P21)</f>
        <v/>
      </c>
      <c r="O22" s="123" t="str">
        <f>IF(Curs!Q21&lt;&gt;"a","",Curs!Q21)</f>
        <v/>
      </c>
      <c r="P22" s="123" t="str">
        <f>IF(Curs!R21&lt;&gt;"a","",Curs!R21)</f>
        <v/>
      </c>
      <c r="Q22" s="123" t="str">
        <f>IF(Curs!S21&lt;&gt;"a","",Curs!S21)</f>
        <v/>
      </c>
      <c r="R22" s="123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7"/>
      <c r="AG22" s="117"/>
      <c r="AH22" s="114"/>
      <c r="AJ22" s="120"/>
      <c r="AK22" s="122" t="s">
        <v>105</v>
      </c>
      <c r="AL22" s="117">
        <v>30</v>
      </c>
      <c r="AM22" s="120"/>
    </row>
    <row r="23" spans="1:39" ht="19.95" customHeight="1" x14ac:dyDescent="0.3">
      <c r="A23" s="114" t="str">
        <f>Curs!B22</f>
        <v/>
      </c>
      <c r="B23" s="115" t="str">
        <f>IF(NOT(ISBLANK(Curs!C22)),Curs!C22,"")</f>
        <v/>
      </c>
      <c r="C23" s="123" t="str">
        <f>IF(Curs!E22&lt;&gt;"a","",Curs!E22)</f>
        <v/>
      </c>
      <c r="D23" s="123" t="str">
        <f>IF(Curs!F22&lt;&gt;"a","",Curs!F22)</f>
        <v/>
      </c>
      <c r="E23" s="123" t="str">
        <f>IF(Curs!G22&lt;&gt;"a","",Curs!G22)</f>
        <v/>
      </c>
      <c r="F23" s="123" t="str">
        <f>IF(Curs!H22&lt;&gt;"a","",Curs!H22)</f>
        <v/>
      </c>
      <c r="G23" s="123" t="str">
        <f>IF(Curs!I22&lt;&gt;"a","",Curs!I22)</f>
        <v/>
      </c>
      <c r="H23" s="123" t="str">
        <f>IF(Curs!J22&lt;&gt;"a","",Curs!J22)</f>
        <v/>
      </c>
      <c r="I23" s="123" t="str">
        <f>IF(Curs!K22&lt;&gt;"a","",Curs!K22)</f>
        <v/>
      </c>
      <c r="J23" s="123" t="str">
        <f>IF(Curs!L22&lt;&gt;"a","",Curs!L22)</f>
        <v/>
      </c>
      <c r="K23" s="123" t="str">
        <f>IF(Curs!M22&lt;&gt;"a","",Curs!M22)</f>
        <v/>
      </c>
      <c r="L23" s="123" t="str">
        <f>IF(Curs!N22&lt;&gt;"a","",Curs!N22)</f>
        <v/>
      </c>
      <c r="M23" s="123" t="str">
        <f>IF(Curs!O22&lt;&gt;"a","",Curs!O22)</f>
        <v/>
      </c>
      <c r="N23" s="123" t="str">
        <f>IF(Curs!P22&lt;&gt;"a","",Curs!P22)</f>
        <v/>
      </c>
      <c r="O23" s="123" t="str">
        <f>IF(Curs!Q22&lt;&gt;"a","",Curs!Q22)</f>
        <v/>
      </c>
      <c r="P23" s="123" t="str">
        <f>IF(Curs!R22&lt;&gt;"a","",Curs!R22)</f>
        <v/>
      </c>
      <c r="Q23" s="123" t="str">
        <f>IF(Curs!S22&lt;&gt;"a","",Curs!S22)</f>
        <v/>
      </c>
      <c r="R23" s="123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7"/>
      <c r="AG23" s="117"/>
      <c r="AH23" s="114"/>
      <c r="AJ23" s="120"/>
      <c r="AK23" s="122" t="s">
        <v>106</v>
      </c>
      <c r="AL23" s="117">
        <f>SUM(AL7:AL21)</f>
        <v>30</v>
      </c>
      <c r="AM23" s="120"/>
    </row>
    <row r="24" spans="1:39" ht="19.95" customHeight="1" x14ac:dyDescent="0.3">
      <c r="A24" s="114" t="str">
        <f>Curs!B23</f>
        <v/>
      </c>
      <c r="B24" s="115" t="str">
        <f>IF(NOT(ISBLANK(Curs!C23)),Curs!C23,"")</f>
        <v/>
      </c>
      <c r="C24" s="123" t="str">
        <f>IF(Curs!E23&lt;&gt;"a","",Curs!E23)</f>
        <v/>
      </c>
      <c r="D24" s="123" t="str">
        <f>IF(Curs!F23&lt;&gt;"a","",Curs!F23)</f>
        <v/>
      </c>
      <c r="E24" s="123" t="str">
        <f>IF(Curs!G23&lt;&gt;"a","",Curs!G23)</f>
        <v/>
      </c>
      <c r="F24" s="123" t="str">
        <f>IF(Curs!H23&lt;&gt;"a","",Curs!H23)</f>
        <v/>
      </c>
      <c r="G24" s="123" t="str">
        <f>IF(Curs!I23&lt;&gt;"a","",Curs!I23)</f>
        <v/>
      </c>
      <c r="H24" s="123" t="str">
        <f>IF(Curs!J23&lt;&gt;"a","",Curs!J23)</f>
        <v/>
      </c>
      <c r="I24" s="123" t="str">
        <f>IF(Curs!K23&lt;&gt;"a","",Curs!K23)</f>
        <v/>
      </c>
      <c r="J24" s="123" t="str">
        <f>IF(Curs!L23&lt;&gt;"a","",Curs!L23)</f>
        <v/>
      </c>
      <c r="K24" s="123" t="str">
        <f>IF(Curs!M23&lt;&gt;"a","",Curs!M23)</f>
        <v/>
      </c>
      <c r="L24" s="123" t="str">
        <f>IF(Curs!N23&lt;&gt;"a","",Curs!N23)</f>
        <v/>
      </c>
      <c r="M24" s="123" t="str">
        <f>IF(Curs!O23&lt;&gt;"a","",Curs!O23)</f>
        <v/>
      </c>
      <c r="N24" s="123" t="str">
        <f>IF(Curs!P23&lt;&gt;"a","",Curs!P23)</f>
        <v/>
      </c>
      <c r="O24" s="123" t="str">
        <f>IF(Curs!Q23&lt;&gt;"a","",Curs!Q23)</f>
        <v/>
      </c>
      <c r="P24" s="123" t="str">
        <f>IF(Curs!R23&lt;&gt;"a","",Curs!R23)</f>
        <v/>
      </c>
      <c r="Q24" s="123" t="str">
        <f>IF(Curs!S23&lt;&gt;"a","",Curs!S23)</f>
        <v/>
      </c>
      <c r="R24" s="123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7"/>
      <c r="AG24" s="117"/>
      <c r="AH24" s="114"/>
      <c r="AJ24" s="120"/>
      <c r="AK24" s="122"/>
      <c r="AL24" s="117"/>
      <c r="AM24" s="120"/>
    </row>
    <row r="25" spans="1:39" ht="19.95" customHeight="1" x14ac:dyDescent="0.3">
      <c r="A25" s="114" t="str">
        <f>Curs!B24</f>
        <v/>
      </c>
      <c r="B25" s="115" t="str">
        <f>IF(NOT(ISBLANK(Curs!C24)),Curs!C24,"")</f>
        <v/>
      </c>
      <c r="C25" s="123" t="str">
        <f>IF(Curs!E24&lt;&gt;"a","",Curs!E24)</f>
        <v/>
      </c>
      <c r="D25" s="123" t="str">
        <f>IF(Curs!F24&lt;&gt;"a","",Curs!F24)</f>
        <v/>
      </c>
      <c r="E25" s="123" t="str">
        <f>IF(Curs!G24&lt;&gt;"a","",Curs!G24)</f>
        <v/>
      </c>
      <c r="F25" s="123" t="str">
        <f>IF(Curs!H24&lt;&gt;"a","",Curs!H24)</f>
        <v/>
      </c>
      <c r="G25" s="123" t="str">
        <f>IF(Curs!I24&lt;&gt;"a","",Curs!I24)</f>
        <v/>
      </c>
      <c r="H25" s="123" t="str">
        <f>IF(Curs!J24&lt;&gt;"a","",Curs!J24)</f>
        <v/>
      </c>
      <c r="I25" s="123" t="str">
        <f>IF(Curs!K24&lt;&gt;"a","",Curs!K24)</f>
        <v/>
      </c>
      <c r="J25" s="123" t="str">
        <f>IF(Curs!L24&lt;&gt;"a","",Curs!L24)</f>
        <v/>
      </c>
      <c r="K25" s="123" t="str">
        <f>IF(Curs!M24&lt;&gt;"a","",Curs!M24)</f>
        <v/>
      </c>
      <c r="L25" s="123" t="str">
        <f>IF(Curs!N24&lt;&gt;"a","",Curs!N24)</f>
        <v/>
      </c>
      <c r="M25" s="123" t="str">
        <f>IF(Curs!O24&lt;&gt;"a","",Curs!O24)</f>
        <v/>
      </c>
      <c r="N25" s="123" t="str">
        <f>IF(Curs!P24&lt;&gt;"a","",Curs!P24)</f>
        <v/>
      </c>
      <c r="O25" s="123" t="str">
        <f>IF(Curs!Q24&lt;&gt;"a","",Curs!Q24)</f>
        <v/>
      </c>
      <c r="P25" s="123" t="str">
        <f>IF(Curs!R24&lt;&gt;"a","",Curs!R24)</f>
        <v/>
      </c>
      <c r="Q25" s="123" t="str">
        <f>IF(Curs!S24&lt;&gt;"a","",Curs!S24)</f>
        <v/>
      </c>
      <c r="R25" s="123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7"/>
      <c r="AG25" s="117"/>
      <c r="AH25" s="114"/>
      <c r="AJ25" s="120"/>
      <c r="AK25" s="122"/>
      <c r="AL25" s="117"/>
      <c r="AM25" s="120"/>
    </row>
    <row r="26" spans="1:39" ht="19.95" customHeight="1" x14ac:dyDescent="0.3">
      <c r="A26" s="114" t="str">
        <f>Curs!B25</f>
        <v/>
      </c>
      <c r="B26" s="115" t="str">
        <f>IF(NOT(ISBLANK(Curs!C25)),Curs!C25,"")</f>
        <v/>
      </c>
      <c r="C26" s="123" t="str">
        <f>IF(Curs!E25&lt;&gt;"a","",Curs!E25)</f>
        <v/>
      </c>
      <c r="D26" s="123" t="str">
        <f>IF(Curs!F25&lt;&gt;"a","",Curs!F25)</f>
        <v/>
      </c>
      <c r="E26" s="123" t="str">
        <f>IF(Curs!G25&lt;&gt;"a","",Curs!G25)</f>
        <v/>
      </c>
      <c r="F26" s="123" t="str">
        <f>IF(Curs!H25&lt;&gt;"a","",Curs!H25)</f>
        <v/>
      </c>
      <c r="G26" s="123" t="str">
        <f>IF(Curs!I25&lt;&gt;"a","",Curs!I25)</f>
        <v/>
      </c>
      <c r="H26" s="123" t="str">
        <f>IF(Curs!J25&lt;&gt;"a","",Curs!J25)</f>
        <v/>
      </c>
      <c r="I26" s="123" t="str">
        <f>IF(Curs!K25&lt;&gt;"a","",Curs!K25)</f>
        <v/>
      </c>
      <c r="J26" s="123" t="str">
        <f>IF(Curs!L25&lt;&gt;"a","",Curs!L25)</f>
        <v/>
      </c>
      <c r="K26" s="123" t="str">
        <f>IF(Curs!M25&lt;&gt;"a","",Curs!M25)</f>
        <v/>
      </c>
      <c r="L26" s="123" t="str">
        <f>IF(Curs!N25&lt;&gt;"a","",Curs!N25)</f>
        <v/>
      </c>
      <c r="M26" s="123" t="str">
        <f>IF(Curs!O25&lt;&gt;"a","",Curs!O25)</f>
        <v/>
      </c>
      <c r="N26" s="123" t="str">
        <f>IF(Curs!P25&lt;&gt;"a","",Curs!P25)</f>
        <v/>
      </c>
      <c r="O26" s="123" t="str">
        <f>IF(Curs!Q25&lt;&gt;"a","",Curs!Q25)</f>
        <v/>
      </c>
      <c r="P26" s="123" t="str">
        <f>IF(Curs!R25&lt;&gt;"a","",Curs!R25)</f>
        <v/>
      </c>
      <c r="Q26" s="123" t="str">
        <f>IF(Curs!S25&lt;&gt;"a","",Curs!S25)</f>
        <v/>
      </c>
      <c r="R26" s="123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7"/>
      <c r="AG26" s="117"/>
      <c r="AH26" s="114"/>
      <c r="AJ26" s="120"/>
      <c r="AK26" s="119"/>
      <c r="AL26" s="114"/>
      <c r="AM26" s="114"/>
    </row>
    <row r="27" spans="1:39" ht="19.95" customHeight="1" x14ac:dyDescent="0.3">
      <c r="A27" s="114" t="str">
        <f>Curs!B26</f>
        <v/>
      </c>
      <c r="B27" s="115" t="str">
        <f>IF(NOT(ISBLANK(Curs!C26)),Curs!C26,"")</f>
        <v/>
      </c>
      <c r="C27" s="123" t="str">
        <f>IF(Curs!E26&lt;&gt;"a","",Curs!E26)</f>
        <v/>
      </c>
      <c r="D27" s="123" t="str">
        <f>IF(Curs!F26&lt;&gt;"a","",Curs!F26)</f>
        <v/>
      </c>
      <c r="E27" s="123" t="str">
        <f>IF(Curs!G26&lt;&gt;"a","",Curs!G26)</f>
        <v/>
      </c>
      <c r="F27" s="123" t="str">
        <f>IF(Curs!H26&lt;&gt;"a","",Curs!H26)</f>
        <v/>
      </c>
      <c r="G27" s="123" t="str">
        <f>IF(Curs!I26&lt;&gt;"a","",Curs!I26)</f>
        <v/>
      </c>
      <c r="H27" s="123" t="str">
        <f>IF(Curs!J26&lt;&gt;"a","",Curs!J26)</f>
        <v/>
      </c>
      <c r="I27" s="123" t="str">
        <f>IF(Curs!K26&lt;&gt;"a","",Curs!K26)</f>
        <v/>
      </c>
      <c r="J27" s="123" t="str">
        <f>IF(Curs!L26&lt;&gt;"a","",Curs!L26)</f>
        <v/>
      </c>
      <c r="K27" s="123" t="str">
        <f>IF(Curs!M26&lt;&gt;"a","",Curs!M26)</f>
        <v/>
      </c>
      <c r="L27" s="123" t="str">
        <f>IF(Curs!N26&lt;&gt;"a","",Curs!N26)</f>
        <v/>
      </c>
      <c r="M27" s="123" t="str">
        <f>IF(Curs!O26&lt;&gt;"a","",Curs!O26)</f>
        <v/>
      </c>
      <c r="N27" s="123" t="str">
        <f>IF(Curs!P26&lt;&gt;"a","",Curs!P26)</f>
        <v/>
      </c>
      <c r="O27" s="123" t="str">
        <f>IF(Curs!Q26&lt;&gt;"a","",Curs!Q26)</f>
        <v/>
      </c>
      <c r="P27" s="123" t="str">
        <f>IF(Curs!R26&lt;&gt;"a","",Curs!R26)</f>
        <v/>
      </c>
      <c r="Q27" s="123" t="str">
        <f>IF(Curs!S26&lt;&gt;"a","",Curs!S26)</f>
        <v/>
      </c>
      <c r="R27" s="123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7"/>
      <c r="AG27" s="117"/>
      <c r="AH27" s="114"/>
      <c r="AJ27" s="120"/>
      <c r="AK27" s="119"/>
      <c r="AL27" s="114"/>
      <c r="AM27" s="114"/>
    </row>
    <row r="28" spans="1:39" ht="19.95" customHeight="1" x14ac:dyDescent="0.3">
      <c r="A28" s="114" t="str">
        <f>Curs!B27</f>
        <v/>
      </c>
      <c r="B28" s="115" t="str">
        <f>IF(NOT(ISBLANK(Curs!C27)),Curs!C27,"")</f>
        <v/>
      </c>
      <c r="C28" s="123" t="str">
        <f>IF(Curs!E27&lt;&gt;"a","",Curs!E27)</f>
        <v/>
      </c>
      <c r="D28" s="123" t="str">
        <f>IF(Curs!F27&lt;&gt;"a","",Curs!F27)</f>
        <v/>
      </c>
      <c r="E28" s="123" t="str">
        <f>IF(Curs!G27&lt;&gt;"a","",Curs!G27)</f>
        <v/>
      </c>
      <c r="F28" s="123" t="str">
        <f>IF(Curs!H27&lt;&gt;"a","",Curs!H27)</f>
        <v/>
      </c>
      <c r="G28" s="123" t="str">
        <f>IF(Curs!I27&lt;&gt;"a","",Curs!I27)</f>
        <v/>
      </c>
      <c r="H28" s="123" t="str">
        <f>IF(Curs!J27&lt;&gt;"a","",Curs!J27)</f>
        <v/>
      </c>
      <c r="I28" s="123" t="str">
        <f>IF(Curs!K27&lt;&gt;"a","",Curs!K27)</f>
        <v/>
      </c>
      <c r="J28" s="123" t="str">
        <f>IF(Curs!L27&lt;&gt;"a","",Curs!L27)</f>
        <v/>
      </c>
      <c r="K28" s="123" t="str">
        <f>IF(Curs!M27&lt;&gt;"a","",Curs!M27)</f>
        <v/>
      </c>
      <c r="L28" s="123" t="str">
        <f>IF(Curs!N27&lt;&gt;"a","",Curs!N27)</f>
        <v/>
      </c>
      <c r="M28" s="123" t="str">
        <f>IF(Curs!O27&lt;&gt;"a","",Curs!O27)</f>
        <v/>
      </c>
      <c r="N28" s="123" t="str">
        <f>IF(Curs!P27&lt;&gt;"a","",Curs!P27)</f>
        <v/>
      </c>
      <c r="O28" s="123" t="str">
        <f>IF(Curs!Q27&lt;&gt;"a","",Curs!Q27)</f>
        <v/>
      </c>
      <c r="P28" s="123" t="str">
        <f>IF(Curs!R27&lt;&gt;"a","",Curs!R27)</f>
        <v/>
      </c>
      <c r="Q28" s="123" t="str">
        <f>IF(Curs!S27&lt;&gt;"a","",Curs!S27)</f>
        <v/>
      </c>
      <c r="R28" s="123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7"/>
      <c r="AG28" s="117"/>
      <c r="AH28" s="114"/>
      <c r="AJ28" s="120"/>
      <c r="AK28" s="119"/>
      <c r="AL28" s="114"/>
      <c r="AM28" s="114"/>
    </row>
    <row r="29" spans="1:39" ht="19.95" customHeight="1" x14ac:dyDescent="0.3">
      <c r="A29" s="114" t="str">
        <f>Curs!B28</f>
        <v/>
      </c>
      <c r="B29" s="115" t="str">
        <f>IF(NOT(ISBLANK(Curs!C28)),Curs!C28,"")</f>
        <v/>
      </c>
      <c r="C29" s="123" t="str">
        <f>IF(Curs!E28&lt;&gt;"a","",Curs!E28)</f>
        <v/>
      </c>
      <c r="D29" s="123" t="str">
        <f>IF(Curs!F28&lt;&gt;"a","",Curs!F28)</f>
        <v/>
      </c>
      <c r="E29" s="123" t="str">
        <f>IF(Curs!G28&lt;&gt;"a","",Curs!G28)</f>
        <v/>
      </c>
      <c r="F29" s="123" t="str">
        <f>IF(Curs!H28&lt;&gt;"a","",Curs!H28)</f>
        <v/>
      </c>
      <c r="G29" s="123" t="str">
        <f>IF(Curs!I28&lt;&gt;"a","",Curs!I28)</f>
        <v/>
      </c>
      <c r="H29" s="123" t="str">
        <f>IF(Curs!J28&lt;&gt;"a","",Curs!J28)</f>
        <v/>
      </c>
      <c r="I29" s="123" t="str">
        <f>IF(Curs!K28&lt;&gt;"a","",Curs!K28)</f>
        <v/>
      </c>
      <c r="J29" s="123" t="str">
        <f>IF(Curs!L28&lt;&gt;"a","",Curs!L28)</f>
        <v/>
      </c>
      <c r="K29" s="123" t="str">
        <f>IF(Curs!M28&lt;&gt;"a","",Curs!M28)</f>
        <v/>
      </c>
      <c r="L29" s="123" t="str">
        <f>IF(Curs!N28&lt;&gt;"a","",Curs!N28)</f>
        <v/>
      </c>
      <c r="M29" s="123" t="str">
        <f>IF(Curs!O28&lt;&gt;"a","",Curs!O28)</f>
        <v/>
      </c>
      <c r="N29" s="123" t="str">
        <f>IF(Curs!P28&lt;&gt;"a","",Curs!P28)</f>
        <v/>
      </c>
      <c r="O29" s="123" t="str">
        <f>IF(Curs!Q28&lt;&gt;"a","",Curs!Q28)</f>
        <v/>
      </c>
      <c r="P29" s="123" t="str">
        <f>IF(Curs!R28&lt;&gt;"a","",Curs!R28)</f>
        <v/>
      </c>
      <c r="Q29" s="123" t="str">
        <f>IF(Curs!S28&lt;&gt;"a","",Curs!S28)</f>
        <v/>
      </c>
      <c r="R29" s="123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7"/>
      <c r="AG29" s="117"/>
      <c r="AH29" s="114"/>
      <c r="AJ29" s="120"/>
      <c r="AK29" s="119"/>
      <c r="AL29" s="114"/>
      <c r="AM29" s="114"/>
    </row>
    <row r="30" spans="1:39" ht="19.95" customHeight="1" x14ac:dyDescent="0.3">
      <c r="A30" s="114" t="str">
        <f>Curs!B29</f>
        <v/>
      </c>
      <c r="B30" s="115" t="str">
        <f>IF(NOT(ISBLANK(Curs!C29)),Curs!C29,"")</f>
        <v/>
      </c>
      <c r="C30" s="123" t="str">
        <f>IF(Curs!E29&lt;&gt;"a","",Curs!E29)</f>
        <v/>
      </c>
      <c r="D30" s="123" t="str">
        <f>IF(Curs!F29&lt;&gt;"a","",Curs!F29)</f>
        <v/>
      </c>
      <c r="E30" s="123" t="str">
        <f>IF(Curs!G29&lt;&gt;"a","",Curs!G29)</f>
        <v/>
      </c>
      <c r="F30" s="123" t="str">
        <f>IF(Curs!H29&lt;&gt;"a","",Curs!H29)</f>
        <v/>
      </c>
      <c r="G30" s="123" t="str">
        <f>IF(Curs!I29&lt;&gt;"a","",Curs!I29)</f>
        <v/>
      </c>
      <c r="H30" s="123" t="str">
        <f>IF(Curs!J29&lt;&gt;"a","",Curs!J29)</f>
        <v/>
      </c>
      <c r="I30" s="123" t="str">
        <f>IF(Curs!K29&lt;&gt;"a","",Curs!K29)</f>
        <v/>
      </c>
      <c r="J30" s="123" t="str">
        <f>IF(Curs!L29&lt;&gt;"a","",Curs!L29)</f>
        <v/>
      </c>
      <c r="K30" s="123" t="str">
        <f>IF(Curs!M29&lt;&gt;"a","",Curs!M29)</f>
        <v/>
      </c>
      <c r="L30" s="123" t="str">
        <f>IF(Curs!N29&lt;&gt;"a","",Curs!N29)</f>
        <v/>
      </c>
      <c r="M30" s="123" t="str">
        <f>IF(Curs!O29&lt;&gt;"a","",Curs!O29)</f>
        <v/>
      </c>
      <c r="N30" s="123" t="str">
        <f>IF(Curs!P29&lt;&gt;"a","",Curs!P29)</f>
        <v/>
      </c>
      <c r="O30" s="123" t="str">
        <f>IF(Curs!Q29&lt;&gt;"a","",Curs!Q29)</f>
        <v/>
      </c>
      <c r="P30" s="123" t="str">
        <f>IF(Curs!R29&lt;&gt;"a","",Curs!R29)</f>
        <v/>
      </c>
      <c r="Q30" s="123" t="str">
        <f>IF(Curs!S29&lt;&gt;"a","",Curs!S29)</f>
        <v/>
      </c>
      <c r="R30" s="123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7"/>
      <c r="AG30" s="117"/>
      <c r="AH30" s="114"/>
      <c r="AJ30" s="120"/>
      <c r="AK30" s="119"/>
      <c r="AL30" s="114"/>
      <c r="AM30" s="114"/>
    </row>
    <row r="31" spans="1:39" ht="19.95" customHeight="1" x14ac:dyDescent="0.3">
      <c r="A31" s="114" t="str">
        <f>Curs!B30</f>
        <v/>
      </c>
      <c r="B31" s="115" t="str">
        <f>IF(NOT(ISBLANK(Curs!C30)),Curs!C30,"")</f>
        <v/>
      </c>
      <c r="C31" s="123" t="str">
        <f>IF(Curs!E30&lt;&gt;"a","",Curs!E30)</f>
        <v/>
      </c>
      <c r="D31" s="123" t="str">
        <f>IF(Curs!F30&lt;&gt;"a","",Curs!F30)</f>
        <v/>
      </c>
      <c r="E31" s="123" t="str">
        <f>IF(Curs!G30&lt;&gt;"a","",Curs!G30)</f>
        <v/>
      </c>
      <c r="F31" s="123" t="str">
        <f>IF(Curs!H30&lt;&gt;"a","",Curs!H30)</f>
        <v/>
      </c>
      <c r="G31" s="123" t="str">
        <f>IF(Curs!I30&lt;&gt;"a","",Curs!I30)</f>
        <v/>
      </c>
      <c r="H31" s="123" t="str">
        <f>IF(Curs!J30&lt;&gt;"a","",Curs!J30)</f>
        <v/>
      </c>
      <c r="I31" s="123" t="str">
        <f>IF(Curs!K30&lt;&gt;"a","",Curs!K30)</f>
        <v/>
      </c>
      <c r="J31" s="123" t="str">
        <f>IF(Curs!L30&lt;&gt;"a","",Curs!L30)</f>
        <v/>
      </c>
      <c r="K31" s="123" t="str">
        <f>IF(Curs!M30&lt;&gt;"a","",Curs!M30)</f>
        <v/>
      </c>
      <c r="L31" s="123" t="str">
        <f>IF(Curs!N30&lt;&gt;"a","",Curs!N30)</f>
        <v/>
      </c>
      <c r="M31" s="123" t="str">
        <f>IF(Curs!O30&lt;&gt;"a","",Curs!O30)</f>
        <v/>
      </c>
      <c r="N31" s="123" t="str">
        <f>IF(Curs!P30&lt;&gt;"a","",Curs!P30)</f>
        <v/>
      </c>
      <c r="O31" s="123" t="str">
        <f>IF(Curs!Q30&lt;&gt;"a","",Curs!Q30)</f>
        <v/>
      </c>
      <c r="P31" s="123" t="str">
        <f>IF(Curs!R30&lt;&gt;"a","",Curs!R30)</f>
        <v/>
      </c>
      <c r="Q31" s="123" t="str">
        <f>IF(Curs!S30&lt;&gt;"a","",Curs!S30)</f>
        <v/>
      </c>
      <c r="R31" s="123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7"/>
      <c r="AG31" s="117"/>
      <c r="AH31" s="114"/>
      <c r="AJ31" s="120"/>
      <c r="AK31" s="119"/>
      <c r="AL31" s="114"/>
      <c r="AM31" s="114"/>
    </row>
    <row r="32" spans="1:39" ht="19.95" customHeight="1" x14ac:dyDescent="0.3">
      <c r="A32" s="114" t="str">
        <f>Curs!B31</f>
        <v/>
      </c>
      <c r="B32" s="115" t="str">
        <f>IF(NOT(ISBLANK(Curs!C31)),Curs!C31,"")</f>
        <v/>
      </c>
      <c r="C32" s="123" t="str">
        <f>IF(Curs!E31&lt;&gt;"a","",Curs!E31)</f>
        <v/>
      </c>
      <c r="D32" s="123" t="str">
        <f>IF(Curs!F31&lt;&gt;"a","",Curs!F31)</f>
        <v/>
      </c>
      <c r="E32" s="123" t="str">
        <f>IF(Curs!G31&lt;&gt;"a","",Curs!G31)</f>
        <v/>
      </c>
      <c r="F32" s="123" t="str">
        <f>IF(Curs!H31&lt;&gt;"a","",Curs!H31)</f>
        <v/>
      </c>
      <c r="G32" s="123" t="str">
        <f>IF(Curs!I31&lt;&gt;"a","",Curs!I31)</f>
        <v/>
      </c>
      <c r="H32" s="123" t="str">
        <f>IF(Curs!J31&lt;&gt;"a","",Curs!J31)</f>
        <v/>
      </c>
      <c r="I32" s="123" t="str">
        <f>IF(Curs!K31&lt;&gt;"a","",Curs!K31)</f>
        <v/>
      </c>
      <c r="J32" s="123" t="str">
        <f>IF(Curs!L31&lt;&gt;"a","",Curs!L31)</f>
        <v/>
      </c>
      <c r="K32" s="123" t="str">
        <f>IF(Curs!M31&lt;&gt;"a","",Curs!M31)</f>
        <v/>
      </c>
      <c r="L32" s="123" t="str">
        <f>IF(Curs!N31&lt;&gt;"a","",Curs!N31)</f>
        <v/>
      </c>
      <c r="M32" s="123" t="str">
        <f>IF(Curs!O31&lt;&gt;"a","",Curs!O31)</f>
        <v/>
      </c>
      <c r="N32" s="123" t="str">
        <f>IF(Curs!P31&lt;&gt;"a","",Curs!P31)</f>
        <v/>
      </c>
      <c r="O32" s="123" t="str">
        <f>IF(Curs!Q31&lt;&gt;"a","",Curs!Q31)</f>
        <v/>
      </c>
      <c r="P32" s="123" t="str">
        <f>IF(Curs!R31&lt;&gt;"a","",Curs!R31)</f>
        <v/>
      </c>
      <c r="Q32" s="123" t="str">
        <f>IF(Curs!S31&lt;&gt;"a","",Curs!S31)</f>
        <v/>
      </c>
      <c r="R32" s="123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7"/>
      <c r="AG32" s="117"/>
      <c r="AH32" s="114"/>
      <c r="AJ32" s="120"/>
      <c r="AK32" s="119"/>
      <c r="AL32" s="114"/>
      <c r="AM32" s="114"/>
    </row>
    <row r="33" spans="1:39" ht="19.95" customHeight="1" x14ac:dyDescent="0.3">
      <c r="A33" s="114" t="str">
        <f>Curs!B32</f>
        <v/>
      </c>
      <c r="B33" s="115" t="str">
        <f>IF(NOT(ISBLANK(Curs!C32)),Curs!C32,"")</f>
        <v/>
      </c>
      <c r="C33" s="123" t="str">
        <f>IF(Curs!E32&lt;&gt;"a","",Curs!E32)</f>
        <v/>
      </c>
      <c r="D33" s="123" t="str">
        <f>IF(Curs!F32&lt;&gt;"a","",Curs!F32)</f>
        <v/>
      </c>
      <c r="E33" s="123" t="str">
        <f>IF(Curs!G32&lt;&gt;"a","",Curs!G32)</f>
        <v/>
      </c>
      <c r="F33" s="123" t="str">
        <f>IF(Curs!H32&lt;&gt;"a","",Curs!H32)</f>
        <v/>
      </c>
      <c r="G33" s="123" t="str">
        <f>IF(Curs!I32&lt;&gt;"a","",Curs!I32)</f>
        <v/>
      </c>
      <c r="H33" s="123" t="str">
        <f>IF(Curs!J32&lt;&gt;"a","",Curs!J32)</f>
        <v/>
      </c>
      <c r="I33" s="123" t="str">
        <f>IF(Curs!K32&lt;&gt;"a","",Curs!K32)</f>
        <v/>
      </c>
      <c r="J33" s="123" t="str">
        <f>IF(Curs!L32&lt;&gt;"a","",Curs!L32)</f>
        <v/>
      </c>
      <c r="K33" s="123" t="str">
        <f>IF(Curs!M32&lt;&gt;"a","",Curs!M32)</f>
        <v/>
      </c>
      <c r="L33" s="123" t="str">
        <f>IF(Curs!N32&lt;&gt;"a","",Curs!N32)</f>
        <v/>
      </c>
      <c r="M33" s="123" t="str">
        <f>IF(Curs!O32&lt;&gt;"a","",Curs!O32)</f>
        <v/>
      </c>
      <c r="N33" s="123" t="str">
        <f>IF(Curs!P32&lt;&gt;"a","",Curs!P32)</f>
        <v/>
      </c>
      <c r="O33" s="123" t="str">
        <f>IF(Curs!Q32&lt;&gt;"a","",Curs!Q32)</f>
        <v/>
      </c>
      <c r="P33" s="123" t="str">
        <f>IF(Curs!R32&lt;&gt;"a","",Curs!R32)</f>
        <v/>
      </c>
      <c r="Q33" s="123" t="str">
        <f>IF(Curs!S32&lt;&gt;"a","",Curs!S32)</f>
        <v/>
      </c>
      <c r="R33" s="123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7"/>
      <c r="AG33" s="117"/>
      <c r="AH33" s="114"/>
      <c r="AJ33" s="120"/>
      <c r="AK33" s="119"/>
      <c r="AL33" s="114"/>
      <c r="AM33" s="114"/>
    </row>
    <row r="34" spans="1:39" ht="19.95" customHeight="1" x14ac:dyDescent="0.3">
      <c r="A34" s="114" t="str">
        <f>Curs!B33</f>
        <v/>
      </c>
      <c r="B34" s="115" t="str">
        <f>IF(NOT(ISBLANK(Curs!C33)),Curs!C33,"")</f>
        <v/>
      </c>
      <c r="C34" s="123" t="str">
        <f>IF(Curs!E33&lt;&gt;"a","",Curs!E33)</f>
        <v/>
      </c>
      <c r="D34" s="123" t="str">
        <f>IF(Curs!F33&lt;&gt;"a","",Curs!F33)</f>
        <v/>
      </c>
      <c r="E34" s="123" t="str">
        <f>IF(Curs!G33&lt;&gt;"a","",Curs!G33)</f>
        <v/>
      </c>
      <c r="F34" s="123" t="str">
        <f>IF(Curs!H33&lt;&gt;"a","",Curs!H33)</f>
        <v/>
      </c>
      <c r="G34" s="123" t="str">
        <f>IF(Curs!I33&lt;&gt;"a","",Curs!I33)</f>
        <v/>
      </c>
      <c r="H34" s="123" t="str">
        <f>IF(Curs!J33&lt;&gt;"a","",Curs!J33)</f>
        <v/>
      </c>
      <c r="I34" s="123" t="str">
        <f>IF(Curs!K33&lt;&gt;"a","",Curs!K33)</f>
        <v/>
      </c>
      <c r="J34" s="123" t="str">
        <f>IF(Curs!L33&lt;&gt;"a","",Curs!L33)</f>
        <v/>
      </c>
      <c r="K34" s="123" t="str">
        <f>IF(Curs!M33&lt;&gt;"a","",Curs!M33)</f>
        <v/>
      </c>
      <c r="L34" s="123" t="str">
        <f>IF(Curs!N33&lt;&gt;"a","",Curs!N33)</f>
        <v/>
      </c>
      <c r="M34" s="123" t="str">
        <f>IF(Curs!O33&lt;&gt;"a","",Curs!O33)</f>
        <v/>
      </c>
      <c r="N34" s="123" t="str">
        <f>IF(Curs!P33&lt;&gt;"a","",Curs!P33)</f>
        <v/>
      </c>
      <c r="O34" s="123" t="str">
        <f>IF(Curs!Q33&lt;&gt;"a","",Curs!Q33)</f>
        <v/>
      </c>
      <c r="P34" s="123" t="str">
        <f>IF(Curs!R33&lt;&gt;"a","",Curs!R33)</f>
        <v/>
      </c>
      <c r="Q34" s="123" t="str">
        <f>IF(Curs!S33&lt;&gt;"a","",Curs!S33)</f>
        <v/>
      </c>
      <c r="R34" s="123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7"/>
      <c r="AG34" s="117"/>
      <c r="AH34" s="114"/>
      <c r="AJ34" s="120"/>
      <c r="AK34" s="119"/>
      <c r="AL34" s="114"/>
      <c r="AM34" s="114"/>
    </row>
    <row r="35" spans="1:39" ht="19.95" customHeight="1" x14ac:dyDescent="0.3">
      <c r="A35" s="114" t="str">
        <f>Curs!B34</f>
        <v/>
      </c>
      <c r="B35" s="115" t="str">
        <f>IF(NOT(ISBLANK(Curs!C34)),Curs!C34,"")</f>
        <v/>
      </c>
      <c r="C35" s="123" t="str">
        <f>IF(Curs!E34&lt;&gt;"a","",Curs!E34)</f>
        <v/>
      </c>
      <c r="D35" s="123" t="str">
        <f>IF(Curs!F34&lt;&gt;"a","",Curs!F34)</f>
        <v/>
      </c>
      <c r="E35" s="123" t="str">
        <f>IF(Curs!G34&lt;&gt;"a","",Curs!G34)</f>
        <v/>
      </c>
      <c r="F35" s="123" t="str">
        <f>IF(Curs!H34&lt;&gt;"a","",Curs!H34)</f>
        <v/>
      </c>
      <c r="G35" s="123" t="str">
        <f>IF(Curs!I34&lt;&gt;"a","",Curs!I34)</f>
        <v/>
      </c>
      <c r="H35" s="123" t="str">
        <f>IF(Curs!J34&lt;&gt;"a","",Curs!J34)</f>
        <v/>
      </c>
      <c r="I35" s="123" t="str">
        <f>IF(Curs!K34&lt;&gt;"a","",Curs!K34)</f>
        <v/>
      </c>
      <c r="J35" s="123" t="str">
        <f>IF(Curs!L34&lt;&gt;"a","",Curs!L34)</f>
        <v/>
      </c>
      <c r="K35" s="123" t="str">
        <f>IF(Curs!M34&lt;&gt;"a","",Curs!M34)</f>
        <v/>
      </c>
      <c r="L35" s="123" t="str">
        <f>IF(Curs!N34&lt;&gt;"a","",Curs!N34)</f>
        <v/>
      </c>
      <c r="M35" s="123" t="str">
        <f>IF(Curs!O34&lt;&gt;"a","",Curs!O34)</f>
        <v/>
      </c>
      <c r="N35" s="123" t="str">
        <f>IF(Curs!P34&lt;&gt;"a","",Curs!P34)</f>
        <v/>
      </c>
      <c r="O35" s="123" t="str">
        <f>IF(Curs!Q34&lt;&gt;"a","",Curs!Q34)</f>
        <v/>
      </c>
      <c r="P35" s="123" t="str">
        <f>IF(Curs!R34&lt;&gt;"a","",Curs!R34)</f>
        <v/>
      </c>
      <c r="Q35" s="123" t="str">
        <f>IF(Curs!S34&lt;&gt;"a","",Curs!S34)</f>
        <v/>
      </c>
      <c r="R35" s="123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7"/>
      <c r="AG35" s="117"/>
      <c r="AH35" s="114"/>
      <c r="AJ35" s="120"/>
      <c r="AK35" s="119"/>
      <c r="AL35" s="114"/>
      <c r="AM35" s="114"/>
    </row>
    <row r="36" spans="1:39" ht="19.95" customHeight="1" x14ac:dyDescent="0.3">
      <c r="A36" s="114" t="str">
        <f>Curs!B35</f>
        <v/>
      </c>
      <c r="B36" s="115" t="str">
        <f>IF(NOT(ISBLANK(Curs!C35)),Curs!C35,"")</f>
        <v/>
      </c>
      <c r="C36" s="123" t="str">
        <f>IF(Curs!E35&lt;&gt;"a","",Curs!E35)</f>
        <v/>
      </c>
      <c r="D36" s="123" t="str">
        <f>IF(Curs!F35&lt;&gt;"a","",Curs!F35)</f>
        <v/>
      </c>
      <c r="E36" s="123" t="str">
        <f>IF(Curs!G35&lt;&gt;"a","",Curs!G35)</f>
        <v/>
      </c>
      <c r="F36" s="123" t="str">
        <f>IF(Curs!H35&lt;&gt;"a","",Curs!H35)</f>
        <v/>
      </c>
      <c r="G36" s="123" t="str">
        <f>IF(Curs!I35&lt;&gt;"a","",Curs!I35)</f>
        <v/>
      </c>
      <c r="H36" s="123" t="str">
        <f>IF(Curs!J35&lt;&gt;"a","",Curs!J35)</f>
        <v/>
      </c>
      <c r="I36" s="123" t="str">
        <f>IF(Curs!K35&lt;&gt;"a","",Curs!K35)</f>
        <v/>
      </c>
      <c r="J36" s="123" t="str">
        <f>IF(Curs!L35&lt;&gt;"a","",Curs!L35)</f>
        <v/>
      </c>
      <c r="K36" s="123" t="str">
        <f>IF(Curs!M35&lt;&gt;"a","",Curs!M35)</f>
        <v/>
      </c>
      <c r="L36" s="123" t="str">
        <f>IF(Curs!N35&lt;&gt;"a","",Curs!N35)</f>
        <v/>
      </c>
      <c r="M36" s="123" t="str">
        <f>IF(Curs!O35&lt;&gt;"a","",Curs!O35)</f>
        <v/>
      </c>
      <c r="N36" s="123" t="str">
        <f>IF(Curs!P35&lt;&gt;"a","",Curs!P35)</f>
        <v/>
      </c>
      <c r="O36" s="123" t="str">
        <f>IF(Curs!Q35&lt;&gt;"a","",Curs!Q35)</f>
        <v/>
      </c>
      <c r="P36" s="123" t="str">
        <f>IF(Curs!R35&lt;&gt;"a","",Curs!R35)</f>
        <v/>
      </c>
      <c r="Q36" s="123" t="str">
        <f>IF(Curs!S35&lt;&gt;"a","",Curs!S35)</f>
        <v/>
      </c>
      <c r="R36" s="123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7"/>
      <c r="AG36" s="117"/>
      <c r="AH36" s="114"/>
      <c r="AJ36" s="120"/>
      <c r="AK36" s="119"/>
      <c r="AL36" s="114"/>
      <c r="AM36" s="114"/>
    </row>
    <row r="37" spans="1:39" ht="19.95" customHeight="1" x14ac:dyDescent="0.3">
      <c r="A37" s="114" t="str">
        <f>Curs!B36</f>
        <v/>
      </c>
      <c r="B37" s="115" t="str">
        <f>IF(NOT(ISBLANK(Curs!C36)),Curs!C36,"")</f>
        <v/>
      </c>
      <c r="C37" s="123" t="str">
        <f>IF(Curs!E36&lt;&gt;"a","",Curs!E36)</f>
        <v/>
      </c>
      <c r="D37" s="123" t="str">
        <f>IF(Curs!F36&lt;&gt;"a","",Curs!F36)</f>
        <v/>
      </c>
      <c r="E37" s="123" t="str">
        <f>IF(Curs!G36&lt;&gt;"a","",Curs!G36)</f>
        <v/>
      </c>
      <c r="F37" s="123" t="str">
        <f>IF(Curs!H36&lt;&gt;"a","",Curs!H36)</f>
        <v/>
      </c>
      <c r="G37" s="123" t="str">
        <f>IF(Curs!I36&lt;&gt;"a","",Curs!I36)</f>
        <v/>
      </c>
      <c r="H37" s="123" t="str">
        <f>IF(Curs!J36&lt;&gt;"a","",Curs!J36)</f>
        <v/>
      </c>
      <c r="I37" s="123" t="str">
        <f>IF(Curs!K36&lt;&gt;"a","",Curs!K36)</f>
        <v/>
      </c>
      <c r="J37" s="123" t="str">
        <f>IF(Curs!L36&lt;&gt;"a","",Curs!L36)</f>
        <v/>
      </c>
      <c r="K37" s="123" t="str">
        <f>IF(Curs!M36&lt;&gt;"a","",Curs!M36)</f>
        <v/>
      </c>
      <c r="L37" s="123" t="str">
        <f>IF(Curs!N36&lt;&gt;"a","",Curs!N36)</f>
        <v/>
      </c>
      <c r="M37" s="123" t="str">
        <f>IF(Curs!O36&lt;&gt;"a","",Curs!O36)</f>
        <v/>
      </c>
      <c r="N37" s="123" t="str">
        <f>IF(Curs!P36&lt;&gt;"a","",Curs!P36)</f>
        <v/>
      </c>
      <c r="O37" s="123" t="str">
        <f>IF(Curs!Q36&lt;&gt;"a","",Curs!Q36)</f>
        <v/>
      </c>
      <c r="P37" s="123" t="str">
        <f>IF(Curs!R36&lt;&gt;"a","",Curs!R36)</f>
        <v/>
      </c>
      <c r="Q37" s="123" t="str">
        <f>IF(Curs!S36&lt;&gt;"a","",Curs!S36)</f>
        <v/>
      </c>
      <c r="R37" s="123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7"/>
      <c r="AG37" s="117"/>
      <c r="AH37" s="114"/>
      <c r="AJ37" s="120"/>
      <c r="AK37" s="119"/>
      <c r="AL37" s="114"/>
      <c r="AM37" s="114"/>
    </row>
    <row r="38" spans="1:39" ht="19.95" customHeight="1" x14ac:dyDescent="0.3">
      <c r="A38" s="114" t="str">
        <f>Curs!B37</f>
        <v/>
      </c>
      <c r="B38" s="115" t="str">
        <f>IF(NOT(ISBLANK(Curs!C37)),Curs!C37,"")</f>
        <v/>
      </c>
      <c r="C38" s="123" t="str">
        <f>IF(Curs!E37&lt;&gt;"a","",Curs!E37)</f>
        <v/>
      </c>
      <c r="D38" s="123" t="str">
        <f>IF(Curs!F37&lt;&gt;"a","",Curs!F37)</f>
        <v/>
      </c>
      <c r="E38" s="123" t="str">
        <f>IF(Curs!G37&lt;&gt;"a","",Curs!G37)</f>
        <v/>
      </c>
      <c r="F38" s="123" t="str">
        <f>IF(Curs!H37&lt;&gt;"a","",Curs!H37)</f>
        <v/>
      </c>
      <c r="G38" s="123" t="str">
        <f>IF(Curs!I37&lt;&gt;"a","",Curs!I37)</f>
        <v/>
      </c>
      <c r="H38" s="123" t="str">
        <f>IF(Curs!J37&lt;&gt;"a","",Curs!J37)</f>
        <v/>
      </c>
      <c r="I38" s="123" t="str">
        <f>IF(Curs!K37&lt;&gt;"a","",Curs!K37)</f>
        <v/>
      </c>
      <c r="J38" s="123" t="str">
        <f>IF(Curs!L37&lt;&gt;"a","",Curs!L37)</f>
        <v/>
      </c>
      <c r="K38" s="123" t="str">
        <f>IF(Curs!M37&lt;&gt;"a","",Curs!M37)</f>
        <v/>
      </c>
      <c r="L38" s="123" t="str">
        <f>IF(Curs!N37&lt;&gt;"a","",Curs!N37)</f>
        <v/>
      </c>
      <c r="M38" s="123" t="str">
        <f>IF(Curs!O37&lt;&gt;"a","",Curs!O37)</f>
        <v/>
      </c>
      <c r="N38" s="123" t="str">
        <f>IF(Curs!P37&lt;&gt;"a","",Curs!P37)</f>
        <v/>
      </c>
      <c r="O38" s="123" t="str">
        <f>IF(Curs!Q37&lt;&gt;"a","",Curs!Q37)</f>
        <v/>
      </c>
      <c r="P38" s="123" t="str">
        <f>IF(Curs!R37&lt;&gt;"a","",Curs!R37)</f>
        <v/>
      </c>
      <c r="Q38" s="123" t="str">
        <f>IF(Curs!S37&lt;&gt;"a","",Curs!S37)</f>
        <v/>
      </c>
      <c r="R38" s="123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7"/>
      <c r="AG38" s="117"/>
      <c r="AH38" s="114"/>
      <c r="AJ38" s="120"/>
      <c r="AK38" s="119"/>
      <c r="AL38" s="114"/>
      <c r="AM38" s="114"/>
    </row>
    <row r="39" spans="1:39" ht="19.95" customHeight="1" x14ac:dyDescent="0.3">
      <c r="A39" s="114" t="str">
        <f>Curs!B38</f>
        <v/>
      </c>
      <c r="B39" s="115" t="str">
        <f>IF(NOT(ISBLANK(Curs!C38)),Curs!C38,"")</f>
        <v/>
      </c>
      <c r="C39" s="123" t="str">
        <f>IF(Curs!E38&lt;&gt;"a","",Curs!E38)</f>
        <v/>
      </c>
      <c r="D39" s="123" t="str">
        <f>IF(Curs!F38&lt;&gt;"a","",Curs!F38)</f>
        <v/>
      </c>
      <c r="E39" s="123" t="str">
        <f>IF(Curs!G38&lt;&gt;"a","",Curs!G38)</f>
        <v/>
      </c>
      <c r="F39" s="123" t="str">
        <f>IF(Curs!H38&lt;&gt;"a","",Curs!H38)</f>
        <v/>
      </c>
      <c r="G39" s="123" t="str">
        <f>IF(Curs!I38&lt;&gt;"a","",Curs!I38)</f>
        <v/>
      </c>
      <c r="H39" s="123" t="str">
        <f>IF(Curs!J38&lt;&gt;"a","",Curs!J38)</f>
        <v/>
      </c>
      <c r="I39" s="123" t="str">
        <f>IF(Curs!K38&lt;&gt;"a","",Curs!K38)</f>
        <v/>
      </c>
      <c r="J39" s="123" t="str">
        <f>IF(Curs!L38&lt;&gt;"a","",Curs!L38)</f>
        <v/>
      </c>
      <c r="K39" s="123" t="str">
        <f>IF(Curs!M38&lt;&gt;"a","",Curs!M38)</f>
        <v/>
      </c>
      <c r="L39" s="123" t="str">
        <f>IF(Curs!N38&lt;&gt;"a","",Curs!N38)</f>
        <v/>
      </c>
      <c r="M39" s="123" t="str">
        <f>IF(Curs!O38&lt;&gt;"a","",Curs!O38)</f>
        <v/>
      </c>
      <c r="N39" s="123" t="str">
        <f>IF(Curs!P38&lt;&gt;"a","",Curs!P38)</f>
        <v/>
      </c>
      <c r="O39" s="123" t="str">
        <f>IF(Curs!Q38&lt;&gt;"a","",Curs!Q38)</f>
        <v/>
      </c>
      <c r="P39" s="123" t="str">
        <f>IF(Curs!R38&lt;&gt;"a","",Curs!R38)</f>
        <v/>
      </c>
      <c r="Q39" s="123" t="str">
        <f>IF(Curs!S38&lt;&gt;"a","",Curs!S38)</f>
        <v/>
      </c>
      <c r="R39" s="123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7"/>
      <c r="AG39" s="117"/>
      <c r="AH39" s="114"/>
      <c r="AJ39" s="120"/>
      <c r="AK39" s="119"/>
      <c r="AL39" s="114"/>
      <c r="AM39" s="114"/>
    </row>
    <row r="40" spans="1:39" ht="19.95" customHeight="1" x14ac:dyDescent="0.3">
      <c r="A40" s="114" t="str">
        <f>Curs!B39</f>
        <v/>
      </c>
      <c r="B40" s="115" t="str">
        <f>IF(NOT(ISBLANK(Curs!C39)),Curs!C39,"")</f>
        <v/>
      </c>
      <c r="C40" s="123" t="str">
        <f>IF(Curs!E39&lt;&gt;"a","",Curs!E39)</f>
        <v/>
      </c>
      <c r="D40" s="123" t="str">
        <f>IF(Curs!F39&lt;&gt;"a","",Curs!F39)</f>
        <v/>
      </c>
      <c r="E40" s="123" t="str">
        <f>IF(Curs!G39&lt;&gt;"a","",Curs!G39)</f>
        <v/>
      </c>
      <c r="F40" s="123" t="str">
        <f>IF(Curs!H39&lt;&gt;"a","",Curs!H39)</f>
        <v/>
      </c>
      <c r="G40" s="123" t="str">
        <f>IF(Curs!I39&lt;&gt;"a","",Curs!I39)</f>
        <v/>
      </c>
      <c r="H40" s="123" t="str">
        <f>IF(Curs!J39&lt;&gt;"a","",Curs!J39)</f>
        <v/>
      </c>
      <c r="I40" s="123" t="str">
        <f>IF(Curs!K39&lt;&gt;"a","",Curs!K39)</f>
        <v/>
      </c>
      <c r="J40" s="123" t="str">
        <f>IF(Curs!L39&lt;&gt;"a","",Curs!L39)</f>
        <v/>
      </c>
      <c r="K40" s="123" t="str">
        <f>IF(Curs!M39&lt;&gt;"a","",Curs!M39)</f>
        <v/>
      </c>
      <c r="L40" s="123" t="str">
        <f>IF(Curs!N39&lt;&gt;"a","",Curs!N39)</f>
        <v/>
      </c>
      <c r="M40" s="123" t="str">
        <f>IF(Curs!O39&lt;&gt;"a","",Curs!O39)</f>
        <v/>
      </c>
      <c r="N40" s="123" t="str">
        <f>IF(Curs!P39&lt;&gt;"a","",Curs!P39)</f>
        <v/>
      </c>
      <c r="O40" s="123" t="str">
        <f>IF(Curs!Q39&lt;&gt;"a","",Curs!Q39)</f>
        <v/>
      </c>
      <c r="P40" s="123" t="str">
        <f>IF(Curs!R39&lt;&gt;"a","",Curs!R39)</f>
        <v/>
      </c>
      <c r="Q40" s="123" t="str">
        <f>IF(Curs!S39&lt;&gt;"a","",Curs!S39)</f>
        <v/>
      </c>
      <c r="R40" s="123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7"/>
      <c r="AG40" s="117"/>
      <c r="AH40" s="114"/>
      <c r="AJ40" s="120"/>
      <c r="AK40" s="119"/>
      <c r="AL40" s="114"/>
      <c r="AM40" s="114"/>
    </row>
    <row r="41" spans="1:39" ht="19.95" customHeight="1" x14ac:dyDescent="0.3">
      <c r="A41" s="114" t="str">
        <f>Curs!B40</f>
        <v/>
      </c>
      <c r="B41" s="115" t="str">
        <f>IF(NOT(ISBLANK(Curs!C40)),Curs!C40,"")</f>
        <v/>
      </c>
      <c r="C41" s="123" t="str">
        <f>IF(Curs!E40&lt;&gt;"a","",Curs!E40)</f>
        <v/>
      </c>
      <c r="D41" s="123" t="str">
        <f>IF(Curs!F40&lt;&gt;"a","",Curs!F40)</f>
        <v/>
      </c>
      <c r="E41" s="123" t="str">
        <f>IF(Curs!G40&lt;&gt;"a","",Curs!G40)</f>
        <v/>
      </c>
      <c r="F41" s="123" t="str">
        <f>IF(Curs!H40&lt;&gt;"a","",Curs!H40)</f>
        <v/>
      </c>
      <c r="G41" s="123" t="str">
        <f>IF(Curs!I40&lt;&gt;"a","",Curs!I40)</f>
        <v/>
      </c>
      <c r="H41" s="123" t="str">
        <f>IF(Curs!J40&lt;&gt;"a","",Curs!J40)</f>
        <v/>
      </c>
      <c r="I41" s="123" t="str">
        <f>IF(Curs!K40&lt;&gt;"a","",Curs!K40)</f>
        <v/>
      </c>
      <c r="J41" s="123" t="str">
        <f>IF(Curs!L40&lt;&gt;"a","",Curs!L40)</f>
        <v/>
      </c>
      <c r="K41" s="123" t="str">
        <f>IF(Curs!M40&lt;&gt;"a","",Curs!M40)</f>
        <v/>
      </c>
      <c r="L41" s="123" t="str">
        <f>IF(Curs!N40&lt;&gt;"a","",Curs!N40)</f>
        <v/>
      </c>
      <c r="M41" s="123" t="str">
        <f>IF(Curs!O40&lt;&gt;"a","",Curs!O40)</f>
        <v/>
      </c>
      <c r="N41" s="123" t="str">
        <f>IF(Curs!P40&lt;&gt;"a","",Curs!P40)</f>
        <v/>
      </c>
      <c r="O41" s="123" t="str">
        <f>IF(Curs!Q40&lt;&gt;"a","",Curs!Q40)</f>
        <v/>
      </c>
      <c r="P41" s="123" t="str">
        <f>IF(Curs!R40&lt;&gt;"a","",Curs!R40)</f>
        <v/>
      </c>
      <c r="Q41" s="123" t="str">
        <f>IF(Curs!S40&lt;&gt;"a","",Curs!S40)</f>
        <v/>
      </c>
      <c r="R41" s="123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7"/>
      <c r="AG41" s="117"/>
      <c r="AH41" s="114"/>
      <c r="AJ41" s="120"/>
      <c r="AK41" s="119"/>
      <c r="AL41" s="114"/>
      <c r="AM41" s="114"/>
    </row>
    <row r="42" spans="1:39" ht="19.95" customHeight="1" x14ac:dyDescent="0.3">
      <c r="A42" s="114" t="str">
        <f>Curs!B41</f>
        <v/>
      </c>
      <c r="B42" s="115" t="str">
        <f>IF(NOT(ISBLANK(Curs!C41)),Curs!C41,"")</f>
        <v/>
      </c>
      <c r="C42" s="123" t="str">
        <f>IF(Curs!E41&lt;&gt;"a","",Curs!E41)</f>
        <v/>
      </c>
      <c r="D42" s="123" t="str">
        <f>IF(Curs!F41&lt;&gt;"a","",Curs!F41)</f>
        <v/>
      </c>
      <c r="E42" s="123" t="str">
        <f>IF(Curs!G41&lt;&gt;"a","",Curs!G41)</f>
        <v/>
      </c>
      <c r="F42" s="123" t="str">
        <f>IF(Curs!H41&lt;&gt;"a","",Curs!H41)</f>
        <v/>
      </c>
      <c r="G42" s="123" t="str">
        <f>IF(Curs!I41&lt;&gt;"a","",Curs!I41)</f>
        <v/>
      </c>
      <c r="H42" s="123" t="str">
        <f>IF(Curs!J41&lt;&gt;"a","",Curs!J41)</f>
        <v/>
      </c>
      <c r="I42" s="123" t="str">
        <f>IF(Curs!K41&lt;&gt;"a","",Curs!K41)</f>
        <v/>
      </c>
      <c r="J42" s="123" t="str">
        <f>IF(Curs!L41&lt;&gt;"a","",Curs!L41)</f>
        <v/>
      </c>
      <c r="K42" s="123" t="str">
        <f>IF(Curs!M41&lt;&gt;"a","",Curs!M41)</f>
        <v/>
      </c>
      <c r="L42" s="123" t="str">
        <f>IF(Curs!N41&lt;&gt;"a","",Curs!N41)</f>
        <v/>
      </c>
      <c r="M42" s="123" t="str">
        <f>IF(Curs!O41&lt;&gt;"a","",Curs!O41)</f>
        <v/>
      </c>
      <c r="N42" s="123" t="str">
        <f>IF(Curs!P41&lt;&gt;"a","",Curs!P41)</f>
        <v/>
      </c>
      <c r="O42" s="123" t="str">
        <f>IF(Curs!Q41&lt;&gt;"a","",Curs!Q41)</f>
        <v/>
      </c>
      <c r="P42" s="123" t="str">
        <f>IF(Curs!R41&lt;&gt;"a","",Curs!R41)</f>
        <v/>
      </c>
      <c r="Q42" s="123" t="str">
        <f>IF(Curs!S41&lt;&gt;"a","",Curs!S41)</f>
        <v/>
      </c>
      <c r="R42" s="123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7"/>
      <c r="AG42" s="117"/>
      <c r="AH42" s="114"/>
      <c r="AJ42" s="120"/>
      <c r="AK42" s="119"/>
      <c r="AL42" s="114"/>
      <c r="AM42" s="114"/>
    </row>
    <row r="43" spans="1:39" ht="19.95" customHeight="1" x14ac:dyDescent="0.3">
      <c r="A43" s="114" t="str">
        <f>Curs!B42</f>
        <v/>
      </c>
      <c r="B43" s="115" t="str">
        <f>IF(NOT(ISBLANK(Curs!C42)),Curs!C42,"")</f>
        <v/>
      </c>
      <c r="C43" s="123" t="str">
        <f>IF(Curs!E42&lt;&gt;"a","",Curs!E42)</f>
        <v/>
      </c>
      <c r="D43" s="123" t="str">
        <f>IF(Curs!F42&lt;&gt;"a","",Curs!F42)</f>
        <v/>
      </c>
      <c r="E43" s="123" t="str">
        <f>IF(Curs!G42&lt;&gt;"a","",Curs!G42)</f>
        <v/>
      </c>
      <c r="F43" s="123" t="str">
        <f>IF(Curs!H42&lt;&gt;"a","",Curs!H42)</f>
        <v/>
      </c>
      <c r="G43" s="123" t="str">
        <f>IF(Curs!I42&lt;&gt;"a","",Curs!I42)</f>
        <v/>
      </c>
      <c r="H43" s="123" t="str">
        <f>IF(Curs!J42&lt;&gt;"a","",Curs!J42)</f>
        <v/>
      </c>
      <c r="I43" s="123" t="str">
        <f>IF(Curs!K42&lt;&gt;"a","",Curs!K42)</f>
        <v/>
      </c>
      <c r="J43" s="123" t="str">
        <f>IF(Curs!L42&lt;&gt;"a","",Curs!L42)</f>
        <v/>
      </c>
      <c r="K43" s="123" t="str">
        <f>IF(Curs!M42&lt;&gt;"a","",Curs!M42)</f>
        <v/>
      </c>
      <c r="L43" s="123" t="str">
        <f>IF(Curs!N42&lt;&gt;"a","",Curs!N42)</f>
        <v/>
      </c>
      <c r="M43" s="123" t="str">
        <f>IF(Curs!O42&lt;&gt;"a","",Curs!O42)</f>
        <v/>
      </c>
      <c r="N43" s="123" t="str">
        <f>IF(Curs!P42&lt;&gt;"a","",Curs!P42)</f>
        <v/>
      </c>
      <c r="O43" s="123" t="str">
        <f>IF(Curs!Q42&lt;&gt;"a","",Curs!Q42)</f>
        <v/>
      </c>
      <c r="P43" s="123" t="str">
        <f>IF(Curs!R42&lt;&gt;"a","",Curs!R42)</f>
        <v/>
      </c>
      <c r="Q43" s="123" t="str">
        <f>IF(Curs!S42&lt;&gt;"a","",Curs!S42)</f>
        <v/>
      </c>
      <c r="R43" s="123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7"/>
      <c r="AG43" s="117"/>
      <c r="AH43" s="114"/>
      <c r="AJ43" s="120"/>
      <c r="AK43" s="119"/>
      <c r="AL43" s="114"/>
      <c r="AM43" s="114"/>
    </row>
    <row r="44" spans="1:39" ht="19.95" customHeight="1" x14ac:dyDescent="0.3">
      <c r="A44" s="114" t="str">
        <f>Curs!B43</f>
        <v/>
      </c>
      <c r="B44" s="115" t="str">
        <f>IF(NOT(ISBLANK(Curs!C43)),Curs!C43,"")</f>
        <v/>
      </c>
      <c r="C44" s="123" t="str">
        <f>IF(Curs!E43&lt;&gt;"a","",Curs!E43)</f>
        <v/>
      </c>
      <c r="D44" s="123" t="str">
        <f>IF(Curs!F43&lt;&gt;"a","",Curs!F43)</f>
        <v/>
      </c>
      <c r="E44" s="123" t="str">
        <f>IF(Curs!G43&lt;&gt;"a","",Curs!G43)</f>
        <v/>
      </c>
      <c r="F44" s="123" t="str">
        <f>IF(Curs!H43&lt;&gt;"a","",Curs!H43)</f>
        <v/>
      </c>
      <c r="G44" s="123" t="str">
        <f>IF(Curs!I43&lt;&gt;"a","",Curs!I43)</f>
        <v/>
      </c>
      <c r="H44" s="123" t="str">
        <f>IF(Curs!J43&lt;&gt;"a","",Curs!J43)</f>
        <v/>
      </c>
      <c r="I44" s="123" t="str">
        <f>IF(Curs!K43&lt;&gt;"a","",Curs!K43)</f>
        <v/>
      </c>
      <c r="J44" s="123" t="str">
        <f>IF(Curs!L43&lt;&gt;"a","",Curs!L43)</f>
        <v/>
      </c>
      <c r="K44" s="123" t="str">
        <f>IF(Curs!M43&lt;&gt;"a","",Curs!M43)</f>
        <v/>
      </c>
      <c r="L44" s="123" t="str">
        <f>IF(Curs!N43&lt;&gt;"a","",Curs!N43)</f>
        <v/>
      </c>
      <c r="M44" s="123" t="str">
        <f>IF(Curs!O43&lt;&gt;"a","",Curs!O43)</f>
        <v/>
      </c>
      <c r="N44" s="123" t="str">
        <f>IF(Curs!P43&lt;&gt;"a","",Curs!P43)</f>
        <v/>
      </c>
      <c r="O44" s="123" t="str">
        <f>IF(Curs!Q43&lt;&gt;"a","",Curs!Q43)</f>
        <v/>
      </c>
      <c r="P44" s="123" t="str">
        <f>IF(Curs!R43&lt;&gt;"a","",Curs!R43)</f>
        <v/>
      </c>
      <c r="Q44" s="123" t="str">
        <f>IF(Curs!S43&lt;&gt;"a","",Curs!S43)</f>
        <v/>
      </c>
      <c r="R44" s="123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7"/>
      <c r="AG44" s="117"/>
      <c r="AH44" s="114"/>
    </row>
    <row r="45" spans="1:39" ht="19.95" customHeight="1" x14ac:dyDescent="0.3">
      <c r="A45" s="114" t="str">
        <f>Curs!B44</f>
        <v/>
      </c>
      <c r="B45" s="115" t="str">
        <f>IF(NOT(ISBLANK(Curs!C44)),Curs!C44,"")</f>
        <v/>
      </c>
      <c r="C45" s="123" t="str">
        <f>IF(Curs!E44&lt;&gt;"a","",Curs!E44)</f>
        <v/>
      </c>
      <c r="D45" s="123" t="str">
        <f>IF(Curs!F44&lt;&gt;"a","",Curs!F44)</f>
        <v/>
      </c>
      <c r="E45" s="123" t="str">
        <f>IF(Curs!G44&lt;&gt;"a","",Curs!G44)</f>
        <v/>
      </c>
      <c r="F45" s="123" t="str">
        <f>IF(Curs!H44&lt;&gt;"a","",Curs!H44)</f>
        <v/>
      </c>
      <c r="G45" s="123" t="str">
        <f>IF(Curs!I44&lt;&gt;"a","",Curs!I44)</f>
        <v/>
      </c>
      <c r="H45" s="123" t="str">
        <f>IF(Curs!J44&lt;&gt;"a","",Curs!J44)</f>
        <v/>
      </c>
      <c r="I45" s="123" t="str">
        <f>IF(Curs!K44&lt;&gt;"a","",Curs!K44)</f>
        <v/>
      </c>
      <c r="J45" s="123" t="str">
        <f>IF(Curs!L44&lt;&gt;"a","",Curs!L44)</f>
        <v/>
      </c>
      <c r="K45" s="123" t="str">
        <f>IF(Curs!M44&lt;&gt;"a","",Curs!M44)</f>
        <v/>
      </c>
      <c r="L45" s="123" t="str">
        <f>IF(Curs!N44&lt;&gt;"a","",Curs!N44)</f>
        <v/>
      </c>
      <c r="M45" s="123" t="str">
        <f>IF(Curs!O44&lt;&gt;"a","",Curs!O44)</f>
        <v/>
      </c>
      <c r="N45" s="123" t="str">
        <f>IF(Curs!P44&lt;&gt;"a","",Curs!P44)</f>
        <v/>
      </c>
      <c r="O45" s="123" t="str">
        <f>IF(Curs!Q44&lt;&gt;"a","",Curs!Q44)</f>
        <v/>
      </c>
      <c r="P45" s="123" t="str">
        <f>IF(Curs!R44&lt;&gt;"a","",Curs!R44)</f>
        <v/>
      </c>
      <c r="Q45" s="123" t="str">
        <f>IF(Curs!S44&lt;&gt;"a","",Curs!S44)</f>
        <v/>
      </c>
      <c r="R45" s="123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7"/>
      <c r="AG45" s="117"/>
      <c r="AH45" s="114"/>
    </row>
    <row r="46" spans="1:39" ht="19.95" customHeight="1" x14ac:dyDescent="0.3">
      <c r="A46" s="114" t="str">
        <f>Curs!B45</f>
        <v/>
      </c>
      <c r="B46" s="115" t="str">
        <f>IF(NOT(ISBLANK(Curs!C45)),Curs!C45,"")</f>
        <v/>
      </c>
      <c r="C46" s="123" t="str">
        <f>IF(Curs!E45&lt;&gt;"a","",Curs!E45)</f>
        <v/>
      </c>
      <c r="D46" s="123" t="str">
        <f>IF(Curs!F45&lt;&gt;"a","",Curs!F45)</f>
        <v/>
      </c>
      <c r="E46" s="123" t="str">
        <f>IF(Curs!G45&lt;&gt;"a","",Curs!G45)</f>
        <v/>
      </c>
      <c r="F46" s="123" t="str">
        <f>IF(Curs!H45&lt;&gt;"a","",Curs!H45)</f>
        <v/>
      </c>
      <c r="G46" s="123" t="str">
        <f>IF(Curs!I45&lt;&gt;"a","",Curs!I45)</f>
        <v/>
      </c>
      <c r="H46" s="123" t="str">
        <f>IF(Curs!J45&lt;&gt;"a","",Curs!J45)</f>
        <v/>
      </c>
      <c r="I46" s="123" t="str">
        <f>IF(Curs!K45&lt;&gt;"a","",Curs!K45)</f>
        <v/>
      </c>
      <c r="J46" s="123" t="str">
        <f>IF(Curs!L45&lt;&gt;"a","",Curs!L45)</f>
        <v/>
      </c>
      <c r="K46" s="123" t="str">
        <f>IF(Curs!M45&lt;&gt;"a","",Curs!M45)</f>
        <v/>
      </c>
      <c r="L46" s="123" t="str">
        <f>IF(Curs!N45&lt;&gt;"a","",Curs!N45)</f>
        <v/>
      </c>
      <c r="M46" s="123" t="str">
        <f>IF(Curs!O45&lt;&gt;"a","",Curs!O45)</f>
        <v/>
      </c>
      <c r="N46" s="123" t="str">
        <f>IF(Curs!P45&lt;&gt;"a","",Curs!P45)</f>
        <v/>
      </c>
      <c r="O46" s="123" t="str">
        <f>IF(Curs!Q45&lt;&gt;"a","",Curs!Q45)</f>
        <v/>
      </c>
      <c r="P46" s="123" t="str">
        <f>IF(Curs!R45&lt;&gt;"a","",Curs!R45)</f>
        <v/>
      </c>
      <c r="Q46" s="123" t="str">
        <f>IF(Curs!S45&lt;&gt;"a","",Curs!S45)</f>
        <v/>
      </c>
      <c r="R46" s="123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7"/>
      <c r="AG46" s="117"/>
      <c r="AH46" s="114"/>
    </row>
    <row r="47" spans="1:39" ht="19.95" customHeight="1" x14ac:dyDescent="0.3">
      <c r="A47" s="114" t="str">
        <f>Curs!B46</f>
        <v/>
      </c>
      <c r="B47" s="115" t="str">
        <f>IF(NOT(ISBLANK(Curs!C46)),Curs!C46,"")</f>
        <v/>
      </c>
      <c r="C47" s="123" t="str">
        <f>IF(Curs!E46&lt;&gt;"a","",Curs!E46)</f>
        <v/>
      </c>
      <c r="D47" s="123" t="str">
        <f>IF(Curs!F46&lt;&gt;"a","",Curs!F46)</f>
        <v/>
      </c>
      <c r="E47" s="123" t="str">
        <f>IF(Curs!G46&lt;&gt;"a","",Curs!G46)</f>
        <v/>
      </c>
      <c r="F47" s="123" t="str">
        <f>IF(Curs!H46&lt;&gt;"a","",Curs!H46)</f>
        <v/>
      </c>
      <c r="G47" s="123" t="str">
        <f>IF(Curs!I46&lt;&gt;"a","",Curs!I46)</f>
        <v/>
      </c>
      <c r="H47" s="123" t="str">
        <f>IF(Curs!J46&lt;&gt;"a","",Curs!J46)</f>
        <v/>
      </c>
      <c r="I47" s="123" t="str">
        <f>IF(Curs!K46&lt;&gt;"a","",Curs!K46)</f>
        <v/>
      </c>
      <c r="J47" s="123" t="str">
        <f>IF(Curs!L46&lt;&gt;"a","",Curs!L46)</f>
        <v/>
      </c>
      <c r="K47" s="123" t="str">
        <f>IF(Curs!M46&lt;&gt;"a","",Curs!M46)</f>
        <v/>
      </c>
      <c r="L47" s="123" t="str">
        <f>IF(Curs!N46&lt;&gt;"a","",Curs!N46)</f>
        <v/>
      </c>
      <c r="M47" s="123" t="str">
        <f>IF(Curs!O46&lt;&gt;"a","",Curs!O46)</f>
        <v/>
      </c>
      <c r="N47" s="123" t="str">
        <f>IF(Curs!P46&lt;&gt;"a","",Curs!P46)</f>
        <v/>
      </c>
      <c r="O47" s="123" t="str">
        <f>IF(Curs!Q46&lt;&gt;"a","",Curs!Q46)</f>
        <v/>
      </c>
      <c r="P47" s="123" t="str">
        <f>IF(Curs!R46&lt;&gt;"a","",Curs!R46)</f>
        <v/>
      </c>
      <c r="Q47" s="123" t="str">
        <f>IF(Curs!S46&lt;&gt;"a","",Curs!S46)</f>
        <v/>
      </c>
      <c r="R47" s="123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7"/>
      <c r="AG47" s="117"/>
      <c r="AH47" s="114"/>
    </row>
    <row r="48" spans="1:39" ht="19.95" customHeight="1" x14ac:dyDescent="0.3">
      <c r="A48" s="114" t="str">
        <f>Curs!B47</f>
        <v/>
      </c>
      <c r="B48" s="115" t="str">
        <f>IF(NOT(ISBLANK(Curs!C47)),Curs!C47,"")</f>
        <v/>
      </c>
      <c r="C48" s="123" t="str">
        <f>IF(Curs!E47&lt;&gt;"a","",Curs!E47)</f>
        <v/>
      </c>
      <c r="D48" s="123" t="str">
        <f>IF(Curs!F47&lt;&gt;"a","",Curs!F47)</f>
        <v/>
      </c>
      <c r="E48" s="123" t="str">
        <f>IF(Curs!G47&lt;&gt;"a","",Curs!G47)</f>
        <v/>
      </c>
      <c r="F48" s="123" t="str">
        <f>IF(Curs!H47&lt;&gt;"a","",Curs!H47)</f>
        <v/>
      </c>
      <c r="G48" s="123" t="str">
        <f>IF(Curs!I47&lt;&gt;"a","",Curs!I47)</f>
        <v/>
      </c>
      <c r="H48" s="123" t="str">
        <f>IF(Curs!J47&lt;&gt;"a","",Curs!J47)</f>
        <v/>
      </c>
      <c r="I48" s="123" t="str">
        <f>IF(Curs!K47&lt;&gt;"a","",Curs!K47)</f>
        <v/>
      </c>
      <c r="J48" s="123" t="str">
        <f>IF(Curs!L47&lt;&gt;"a","",Curs!L47)</f>
        <v/>
      </c>
      <c r="K48" s="123" t="str">
        <f>IF(Curs!M47&lt;&gt;"a","",Curs!M47)</f>
        <v/>
      </c>
      <c r="L48" s="123" t="str">
        <f>IF(Curs!N47&lt;&gt;"a","",Curs!N47)</f>
        <v/>
      </c>
      <c r="M48" s="123" t="str">
        <f>IF(Curs!O47&lt;&gt;"a","",Curs!O47)</f>
        <v/>
      </c>
      <c r="N48" s="123" t="str">
        <f>IF(Curs!P47&lt;&gt;"a","",Curs!P47)</f>
        <v/>
      </c>
      <c r="O48" s="123" t="str">
        <f>IF(Curs!Q47&lt;&gt;"a","",Curs!Q47)</f>
        <v/>
      </c>
      <c r="P48" s="123" t="str">
        <f>IF(Curs!R47&lt;&gt;"a","",Curs!R47)</f>
        <v/>
      </c>
      <c r="Q48" s="123" t="str">
        <f>IF(Curs!S47&lt;&gt;"a","",Curs!S47)</f>
        <v/>
      </c>
      <c r="R48" s="123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7"/>
      <c r="AG48" s="117"/>
      <c r="AH48" s="114"/>
    </row>
    <row r="49" spans="1:34" ht="19.95" customHeight="1" x14ac:dyDescent="0.3">
      <c r="A49" s="114" t="str">
        <f>Curs!B48</f>
        <v/>
      </c>
      <c r="B49" s="115" t="str">
        <f>IF(NOT(ISBLANK(Curs!C48)),Curs!C48,"")</f>
        <v/>
      </c>
      <c r="C49" s="123" t="str">
        <f>IF(Curs!E48&lt;&gt;"a","",Curs!E48)</f>
        <v/>
      </c>
      <c r="D49" s="123" t="str">
        <f>IF(Curs!F48&lt;&gt;"a","",Curs!F48)</f>
        <v/>
      </c>
      <c r="E49" s="123" t="str">
        <f>IF(Curs!G48&lt;&gt;"a","",Curs!G48)</f>
        <v/>
      </c>
      <c r="F49" s="123" t="str">
        <f>IF(Curs!H48&lt;&gt;"a","",Curs!H48)</f>
        <v/>
      </c>
      <c r="G49" s="123" t="str">
        <f>IF(Curs!I48&lt;&gt;"a","",Curs!I48)</f>
        <v/>
      </c>
      <c r="H49" s="123" t="str">
        <f>IF(Curs!J48&lt;&gt;"a","",Curs!J48)</f>
        <v/>
      </c>
      <c r="I49" s="123" t="str">
        <f>IF(Curs!K48&lt;&gt;"a","",Curs!K48)</f>
        <v/>
      </c>
      <c r="J49" s="123" t="str">
        <f>IF(Curs!L48&lt;&gt;"a","",Curs!L48)</f>
        <v/>
      </c>
      <c r="K49" s="123" t="str">
        <f>IF(Curs!M48&lt;&gt;"a","",Curs!M48)</f>
        <v/>
      </c>
      <c r="L49" s="123" t="str">
        <f>IF(Curs!N48&lt;&gt;"a","",Curs!N48)</f>
        <v/>
      </c>
      <c r="M49" s="123" t="str">
        <f>IF(Curs!O48&lt;&gt;"a","",Curs!O48)</f>
        <v/>
      </c>
      <c r="N49" s="123" t="str">
        <f>IF(Curs!P48&lt;&gt;"a","",Curs!P48)</f>
        <v/>
      </c>
      <c r="O49" s="123" t="str">
        <f>IF(Curs!Q48&lt;&gt;"a","",Curs!Q48)</f>
        <v/>
      </c>
      <c r="P49" s="123" t="str">
        <f>IF(Curs!R48&lt;&gt;"a","",Curs!R48)</f>
        <v/>
      </c>
      <c r="Q49" s="123" t="str">
        <f>IF(Curs!S48&lt;&gt;"a","",Curs!S48)</f>
        <v/>
      </c>
      <c r="R49" s="123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7"/>
      <c r="AG49" s="117"/>
      <c r="AH49" s="114"/>
    </row>
    <row r="50" spans="1:34" ht="19.95" customHeight="1" x14ac:dyDescent="0.3">
      <c r="A50" s="114" t="str">
        <f>Curs!B49</f>
        <v/>
      </c>
      <c r="B50" s="115" t="str">
        <f>IF(NOT(ISBLANK(Curs!C49)),Curs!C49,"")</f>
        <v/>
      </c>
      <c r="C50" s="123" t="str">
        <f>IF(Curs!E49&lt;&gt;"a","",Curs!E49)</f>
        <v/>
      </c>
      <c r="D50" s="123" t="str">
        <f>IF(Curs!F49&lt;&gt;"a","",Curs!F49)</f>
        <v/>
      </c>
      <c r="E50" s="123" t="str">
        <f>IF(Curs!G49&lt;&gt;"a","",Curs!G49)</f>
        <v/>
      </c>
      <c r="F50" s="123" t="str">
        <f>IF(Curs!H49&lt;&gt;"a","",Curs!H49)</f>
        <v/>
      </c>
      <c r="G50" s="123" t="str">
        <f>IF(Curs!I49&lt;&gt;"a","",Curs!I49)</f>
        <v/>
      </c>
      <c r="H50" s="123" t="str">
        <f>IF(Curs!J49&lt;&gt;"a","",Curs!J49)</f>
        <v/>
      </c>
      <c r="I50" s="123" t="str">
        <f>IF(Curs!K49&lt;&gt;"a","",Curs!K49)</f>
        <v/>
      </c>
      <c r="J50" s="123" t="str">
        <f>IF(Curs!L49&lt;&gt;"a","",Curs!L49)</f>
        <v/>
      </c>
      <c r="K50" s="123" t="str">
        <f>IF(Curs!M49&lt;&gt;"a","",Curs!M49)</f>
        <v/>
      </c>
      <c r="L50" s="123" t="str">
        <f>IF(Curs!N49&lt;&gt;"a","",Curs!N49)</f>
        <v/>
      </c>
      <c r="M50" s="123" t="str">
        <f>IF(Curs!O49&lt;&gt;"a","",Curs!O49)</f>
        <v/>
      </c>
      <c r="N50" s="123" t="str">
        <f>IF(Curs!P49&lt;&gt;"a","",Curs!P49)</f>
        <v/>
      </c>
      <c r="O50" s="123" t="str">
        <f>IF(Curs!Q49&lt;&gt;"a","",Curs!Q49)</f>
        <v/>
      </c>
      <c r="P50" s="123" t="str">
        <f>IF(Curs!R49&lt;&gt;"a","",Curs!R49)</f>
        <v/>
      </c>
      <c r="Q50" s="123" t="str">
        <f>IF(Curs!S49&lt;&gt;"a","",Curs!S49)</f>
        <v/>
      </c>
      <c r="R50" s="123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7"/>
      <c r="AG50" s="117"/>
      <c r="AH50" s="114"/>
    </row>
    <row r="51" spans="1:34" ht="19.95" customHeight="1" x14ac:dyDescent="0.3">
      <c r="A51" s="114" t="str">
        <f>Curs!B50</f>
        <v/>
      </c>
      <c r="B51" s="115" t="str">
        <f>IF(NOT(ISBLANK(Curs!C50)),Curs!C50,"")</f>
        <v/>
      </c>
      <c r="C51" s="123" t="str">
        <f>IF(Curs!E50&lt;&gt;"a","",Curs!E50)</f>
        <v/>
      </c>
      <c r="D51" s="123" t="str">
        <f>IF(Curs!F50&lt;&gt;"a","",Curs!F50)</f>
        <v/>
      </c>
      <c r="E51" s="123" t="str">
        <f>IF(Curs!G50&lt;&gt;"a","",Curs!G50)</f>
        <v/>
      </c>
      <c r="F51" s="123" t="str">
        <f>IF(Curs!H50&lt;&gt;"a","",Curs!H50)</f>
        <v/>
      </c>
      <c r="G51" s="123" t="str">
        <f>IF(Curs!I50&lt;&gt;"a","",Curs!I50)</f>
        <v/>
      </c>
      <c r="H51" s="123" t="str">
        <f>IF(Curs!J50&lt;&gt;"a","",Curs!J50)</f>
        <v/>
      </c>
      <c r="I51" s="123" t="str">
        <f>IF(Curs!K50&lt;&gt;"a","",Curs!K50)</f>
        <v/>
      </c>
      <c r="J51" s="123" t="str">
        <f>IF(Curs!L50&lt;&gt;"a","",Curs!L50)</f>
        <v/>
      </c>
      <c r="K51" s="123" t="str">
        <f>IF(Curs!M50&lt;&gt;"a","",Curs!M50)</f>
        <v/>
      </c>
      <c r="L51" s="123" t="str">
        <f>IF(Curs!N50&lt;&gt;"a","",Curs!N50)</f>
        <v/>
      </c>
      <c r="M51" s="123" t="str">
        <f>IF(Curs!O50&lt;&gt;"a","",Curs!O50)</f>
        <v/>
      </c>
      <c r="N51" s="123" t="str">
        <f>IF(Curs!P50&lt;&gt;"a","",Curs!P50)</f>
        <v/>
      </c>
      <c r="O51" s="123" t="str">
        <f>IF(Curs!Q50&lt;&gt;"a","",Curs!Q50)</f>
        <v/>
      </c>
      <c r="P51" s="123" t="str">
        <f>IF(Curs!R50&lt;&gt;"a","",Curs!R50)</f>
        <v/>
      </c>
      <c r="Q51" s="123" t="str">
        <f>IF(Curs!S50&lt;&gt;"a","",Curs!S50)</f>
        <v/>
      </c>
      <c r="R51" s="123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7"/>
      <c r="AG51" s="117"/>
      <c r="AH51" s="114"/>
    </row>
    <row r="52" spans="1:34" ht="19.95" customHeight="1" x14ac:dyDescent="0.3">
      <c r="A52" s="114" t="str">
        <f>Curs!B51</f>
        <v/>
      </c>
      <c r="B52" s="115" t="str">
        <f>IF(NOT(ISBLANK(Curs!C51)),Curs!C51,"")</f>
        <v/>
      </c>
      <c r="C52" s="123" t="str">
        <f>IF(Curs!E51&lt;&gt;"a","",Curs!E51)</f>
        <v/>
      </c>
      <c r="D52" s="123" t="str">
        <f>IF(Curs!F51&lt;&gt;"a","",Curs!F51)</f>
        <v/>
      </c>
      <c r="E52" s="123" t="str">
        <f>IF(Curs!G51&lt;&gt;"a","",Curs!G51)</f>
        <v/>
      </c>
      <c r="F52" s="123" t="str">
        <f>IF(Curs!H51&lt;&gt;"a","",Curs!H51)</f>
        <v/>
      </c>
      <c r="G52" s="123" t="str">
        <f>IF(Curs!I51&lt;&gt;"a","",Curs!I51)</f>
        <v/>
      </c>
      <c r="H52" s="123" t="str">
        <f>IF(Curs!J51&lt;&gt;"a","",Curs!J51)</f>
        <v/>
      </c>
      <c r="I52" s="123" t="str">
        <f>IF(Curs!K51&lt;&gt;"a","",Curs!K51)</f>
        <v/>
      </c>
      <c r="J52" s="123" t="str">
        <f>IF(Curs!L51&lt;&gt;"a","",Curs!L51)</f>
        <v/>
      </c>
      <c r="K52" s="123" t="str">
        <f>IF(Curs!M51&lt;&gt;"a","",Curs!M51)</f>
        <v/>
      </c>
      <c r="L52" s="123" t="str">
        <f>IF(Curs!N51&lt;&gt;"a","",Curs!N51)</f>
        <v/>
      </c>
      <c r="M52" s="123" t="str">
        <f>IF(Curs!O51&lt;&gt;"a","",Curs!O51)</f>
        <v/>
      </c>
      <c r="N52" s="123" t="str">
        <f>IF(Curs!P51&lt;&gt;"a","",Curs!P51)</f>
        <v/>
      </c>
      <c r="O52" s="123" t="str">
        <f>IF(Curs!Q51&lt;&gt;"a","",Curs!Q51)</f>
        <v/>
      </c>
      <c r="P52" s="123" t="str">
        <f>IF(Curs!R51&lt;&gt;"a","",Curs!R51)</f>
        <v/>
      </c>
      <c r="Q52" s="123" t="str">
        <f>IF(Curs!S51&lt;&gt;"a","",Curs!S51)</f>
        <v/>
      </c>
      <c r="R52" s="123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7"/>
      <c r="AG52" s="117"/>
      <c r="AH52" s="114"/>
    </row>
    <row r="53" spans="1:34" ht="19.95" customHeight="1" x14ac:dyDescent="0.3">
      <c r="A53" s="114" t="str">
        <f>Curs!B52</f>
        <v/>
      </c>
      <c r="B53" s="115" t="str">
        <f>IF(NOT(ISBLANK(Curs!C52)),Curs!C52,"")</f>
        <v/>
      </c>
      <c r="C53" s="123" t="str">
        <f>IF(Curs!E52&lt;&gt;"a","",Curs!E52)</f>
        <v/>
      </c>
      <c r="D53" s="123" t="str">
        <f>IF(Curs!F52&lt;&gt;"a","",Curs!F52)</f>
        <v/>
      </c>
      <c r="E53" s="123" t="str">
        <f>IF(Curs!G52&lt;&gt;"a","",Curs!G52)</f>
        <v/>
      </c>
      <c r="F53" s="123" t="str">
        <f>IF(Curs!H52&lt;&gt;"a","",Curs!H52)</f>
        <v/>
      </c>
      <c r="G53" s="123" t="str">
        <f>IF(Curs!I52&lt;&gt;"a","",Curs!I52)</f>
        <v/>
      </c>
      <c r="H53" s="123" t="str">
        <f>IF(Curs!J52&lt;&gt;"a","",Curs!J52)</f>
        <v/>
      </c>
      <c r="I53" s="123" t="str">
        <f>IF(Curs!K52&lt;&gt;"a","",Curs!K52)</f>
        <v/>
      </c>
      <c r="J53" s="123" t="str">
        <f>IF(Curs!L52&lt;&gt;"a","",Curs!L52)</f>
        <v/>
      </c>
      <c r="K53" s="123" t="str">
        <f>IF(Curs!M52&lt;&gt;"a","",Curs!M52)</f>
        <v/>
      </c>
      <c r="L53" s="123" t="str">
        <f>IF(Curs!N52&lt;&gt;"a","",Curs!N52)</f>
        <v/>
      </c>
      <c r="M53" s="123" t="str">
        <f>IF(Curs!O52&lt;&gt;"a","",Curs!O52)</f>
        <v/>
      </c>
      <c r="N53" s="123" t="str">
        <f>IF(Curs!P52&lt;&gt;"a","",Curs!P52)</f>
        <v/>
      </c>
      <c r="O53" s="123" t="str">
        <f>IF(Curs!Q52&lt;&gt;"a","",Curs!Q52)</f>
        <v/>
      </c>
      <c r="P53" s="123" t="str">
        <f>IF(Curs!R52&lt;&gt;"a","",Curs!R52)</f>
        <v/>
      </c>
      <c r="Q53" s="123" t="str">
        <f>IF(Curs!S52&lt;&gt;"a","",Curs!S52)</f>
        <v/>
      </c>
      <c r="R53" s="123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7"/>
      <c r="AG53" s="117"/>
      <c r="AH53" s="114"/>
    </row>
    <row r="54" spans="1:34" ht="19.95" customHeight="1" x14ac:dyDescent="0.3">
      <c r="A54" s="114" t="str">
        <f>Curs!B53</f>
        <v/>
      </c>
      <c r="B54" s="115" t="str">
        <f>IF(NOT(ISBLANK(Curs!C53)),Curs!C53,"")</f>
        <v/>
      </c>
      <c r="C54" s="123" t="str">
        <f>IF(Curs!E53&lt;&gt;"a","",Curs!E53)</f>
        <v/>
      </c>
      <c r="D54" s="123" t="str">
        <f>IF(Curs!F53&lt;&gt;"a","",Curs!F53)</f>
        <v/>
      </c>
      <c r="E54" s="123" t="str">
        <f>IF(Curs!G53&lt;&gt;"a","",Curs!G53)</f>
        <v/>
      </c>
      <c r="F54" s="123" t="str">
        <f>IF(Curs!H53&lt;&gt;"a","",Curs!H53)</f>
        <v/>
      </c>
      <c r="G54" s="123" t="str">
        <f>IF(Curs!I53&lt;&gt;"a","",Curs!I53)</f>
        <v/>
      </c>
      <c r="H54" s="123" t="str">
        <f>IF(Curs!J53&lt;&gt;"a","",Curs!J53)</f>
        <v/>
      </c>
      <c r="I54" s="123" t="str">
        <f>IF(Curs!K53&lt;&gt;"a","",Curs!K53)</f>
        <v/>
      </c>
      <c r="J54" s="123" t="str">
        <f>IF(Curs!L53&lt;&gt;"a","",Curs!L53)</f>
        <v/>
      </c>
      <c r="K54" s="123" t="str">
        <f>IF(Curs!M53&lt;&gt;"a","",Curs!M53)</f>
        <v/>
      </c>
      <c r="L54" s="123" t="str">
        <f>IF(Curs!N53&lt;&gt;"a","",Curs!N53)</f>
        <v/>
      </c>
      <c r="M54" s="123" t="str">
        <f>IF(Curs!O53&lt;&gt;"a","",Curs!O53)</f>
        <v/>
      </c>
      <c r="N54" s="123" t="str">
        <f>IF(Curs!P53&lt;&gt;"a","",Curs!P53)</f>
        <v/>
      </c>
      <c r="O54" s="123" t="str">
        <f>IF(Curs!Q53&lt;&gt;"a","",Curs!Q53)</f>
        <v/>
      </c>
      <c r="P54" s="123" t="str">
        <f>IF(Curs!R53&lt;&gt;"a","",Curs!R53)</f>
        <v/>
      </c>
      <c r="Q54" s="123" t="str">
        <f>IF(Curs!S53&lt;&gt;"a","",Curs!S53)</f>
        <v/>
      </c>
      <c r="R54" s="123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7"/>
      <c r="AG54" s="117"/>
      <c r="AH54" s="114"/>
    </row>
    <row r="55" spans="1:34" ht="19.95" customHeight="1" x14ac:dyDescent="0.3">
      <c r="A55" s="114" t="str">
        <f>Curs!B54</f>
        <v/>
      </c>
      <c r="B55" s="115" t="str">
        <f>IF(NOT(ISBLANK(Curs!C54)),Curs!C54,"")</f>
        <v/>
      </c>
      <c r="C55" s="123" t="str">
        <f>IF(Curs!E54&lt;&gt;"a","",Curs!E54)</f>
        <v/>
      </c>
      <c r="D55" s="123" t="str">
        <f>IF(Curs!F54&lt;&gt;"a","",Curs!F54)</f>
        <v/>
      </c>
      <c r="E55" s="123" t="str">
        <f>IF(Curs!G54&lt;&gt;"a","",Curs!G54)</f>
        <v/>
      </c>
      <c r="F55" s="123" t="str">
        <f>IF(Curs!H54&lt;&gt;"a","",Curs!H54)</f>
        <v/>
      </c>
      <c r="G55" s="123" t="str">
        <f>IF(Curs!I54&lt;&gt;"a","",Curs!I54)</f>
        <v/>
      </c>
      <c r="H55" s="123" t="str">
        <f>IF(Curs!J54&lt;&gt;"a","",Curs!J54)</f>
        <v/>
      </c>
      <c r="I55" s="123" t="str">
        <f>IF(Curs!K54&lt;&gt;"a","",Curs!K54)</f>
        <v/>
      </c>
      <c r="J55" s="123" t="str">
        <f>IF(Curs!L54&lt;&gt;"a","",Curs!L54)</f>
        <v/>
      </c>
      <c r="K55" s="123" t="str">
        <f>IF(Curs!M54&lt;&gt;"a","",Curs!M54)</f>
        <v/>
      </c>
      <c r="L55" s="123" t="str">
        <f>IF(Curs!N54&lt;&gt;"a","",Curs!N54)</f>
        <v/>
      </c>
      <c r="M55" s="123" t="str">
        <f>IF(Curs!O54&lt;&gt;"a","",Curs!O54)</f>
        <v/>
      </c>
      <c r="N55" s="123" t="str">
        <f>IF(Curs!P54&lt;&gt;"a","",Curs!P54)</f>
        <v/>
      </c>
      <c r="O55" s="123" t="str">
        <f>IF(Curs!Q54&lt;&gt;"a","",Curs!Q54)</f>
        <v/>
      </c>
      <c r="P55" s="123" t="str">
        <f>IF(Curs!R54&lt;&gt;"a","",Curs!R54)</f>
        <v/>
      </c>
      <c r="Q55" s="123" t="str">
        <f>IF(Curs!S54&lt;&gt;"a","",Curs!S54)</f>
        <v/>
      </c>
      <c r="R55" s="123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7"/>
      <c r="AG55" s="117"/>
      <c r="AH55" s="114"/>
    </row>
    <row r="56" spans="1:34" ht="19.95" customHeight="1" x14ac:dyDescent="0.3">
      <c r="A56" s="114" t="str">
        <f>Curs!B55</f>
        <v/>
      </c>
      <c r="B56" s="115" t="str">
        <f>IF(NOT(ISBLANK(Curs!C55)),Curs!C55,"")</f>
        <v/>
      </c>
      <c r="C56" s="123" t="str">
        <f>IF(Curs!E55&lt;&gt;"a","",Curs!E55)</f>
        <v/>
      </c>
      <c r="D56" s="123" t="str">
        <f>IF(Curs!F55&lt;&gt;"a","",Curs!F55)</f>
        <v/>
      </c>
      <c r="E56" s="123" t="str">
        <f>IF(Curs!G55&lt;&gt;"a","",Curs!G55)</f>
        <v/>
      </c>
      <c r="F56" s="123" t="str">
        <f>IF(Curs!H55&lt;&gt;"a","",Curs!H55)</f>
        <v/>
      </c>
      <c r="G56" s="123" t="str">
        <f>IF(Curs!I55&lt;&gt;"a","",Curs!I55)</f>
        <v/>
      </c>
      <c r="H56" s="123" t="str">
        <f>IF(Curs!J55&lt;&gt;"a","",Curs!J55)</f>
        <v/>
      </c>
      <c r="I56" s="123" t="str">
        <f>IF(Curs!K55&lt;&gt;"a","",Curs!K55)</f>
        <v/>
      </c>
      <c r="J56" s="123" t="str">
        <f>IF(Curs!L55&lt;&gt;"a","",Curs!L55)</f>
        <v/>
      </c>
      <c r="K56" s="123" t="str">
        <f>IF(Curs!M55&lt;&gt;"a","",Curs!M55)</f>
        <v/>
      </c>
      <c r="L56" s="123" t="str">
        <f>IF(Curs!N55&lt;&gt;"a","",Curs!N55)</f>
        <v/>
      </c>
      <c r="M56" s="123" t="str">
        <f>IF(Curs!O55&lt;&gt;"a","",Curs!O55)</f>
        <v/>
      </c>
      <c r="N56" s="123" t="str">
        <f>IF(Curs!P55&lt;&gt;"a","",Curs!P55)</f>
        <v/>
      </c>
      <c r="O56" s="123" t="str">
        <f>IF(Curs!Q55&lt;&gt;"a","",Curs!Q55)</f>
        <v/>
      </c>
      <c r="P56" s="123" t="str">
        <f>IF(Curs!R55&lt;&gt;"a","",Curs!R55)</f>
        <v/>
      </c>
      <c r="Q56" s="123" t="str">
        <f>IF(Curs!S55&lt;&gt;"a","",Curs!S55)</f>
        <v/>
      </c>
      <c r="R56" s="123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7"/>
      <c r="AG56" s="117"/>
      <c r="AH56" s="114"/>
    </row>
    <row r="57" spans="1:34" ht="19.95" customHeight="1" x14ac:dyDescent="0.3">
      <c r="A57" s="114" t="str">
        <f>Curs!B56</f>
        <v/>
      </c>
      <c r="B57" s="115" t="str">
        <f>IF(NOT(ISBLANK(Curs!C56)),Curs!C56,"")</f>
        <v/>
      </c>
      <c r="C57" s="123" t="str">
        <f>IF(Curs!E56&lt;&gt;"a","",Curs!E56)</f>
        <v/>
      </c>
      <c r="D57" s="123" t="str">
        <f>IF(Curs!F56&lt;&gt;"a","",Curs!F56)</f>
        <v/>
      </c>
      <c r="E57" s="123" t="str">
        <f>IF(Curs!G56&lt;&gt;"a","",Curs!G56)</f>
        <v/>
      </c>
      <c r="F57" s="123" t="str">
        <f>IF(Curs!H56&lt;&gt;"a","",Curs!H56)</f>
        <v/>
      </c>
      <c r="G57" s="123" t="str">
        <f>IF(Curs!I56&lt;&gt;"a","",Curs!I56)</f>
        <v/>
      </c>
      <c r="H57" s="123" t="str">
        <f>IF(Curs!J56&lt;&gt;"a","",Curs!J56)</f>
        <v/>
      </c>
      <c r="I57" s="123" t="str">
        <f>IF(Curs!K56&lt;&gt;"a","",Curs!K56)</f>
        <v/>
      </c>
      <c r="J57" s="123" t="str">
        <f>IF(Curs!L56&lt;&gt;"a","",Curs!L56)</f>
        <v/>
      </c>
      <c r="K57" s="123" t="str">
        <f>IF(Curs!M56&lt;&gt;"a","",Curs!M56)</f>
        <v/>
      </c>
      <c r="L57" s="123" t="str">
        <f>IF(Curs!N56&lt;&gt;"a","",Curs!N56)</f>
        <v/>
      </c>
      <c r="M57" s="123" t="str">
        <f>IF(Curs!O56&lt;&gt;"a","",Curs!O56)</f>
        <v/>
      </c>
      <c r="N57" s="123" t="str">
        <f>IF(Curs!P56&lt;&gt;"a","",Curs!P56)</f>
        <v/>
      </c>
      <c r="O57" s="123" t="str">
        <f>IF(Curs!Q56&lt;&gt;"a","",Curs!Q56)</f>
        <v/>
      </c>
      <c r="P57" s="123" t="str">
        <f>IF(Curs!R56&lt;&gt;"a","",Curs!R56)</f>
        <v/>
      </c>
      <c r="Q57" s="123" t="str">
        <f>IF(Curs!S56&lt;&gt;"a","",Curs!S56)</f>
        <v/>
      </c>
      <c r="R57" s="123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7"/>
      <c r="AG57" s="117"/>
      <c r="AH57" s="114"/>
    </row>
    <row r="58" spans="1:34" ht="19.95" customHeight="1" x14ac:dyDescent="0.3">
      <c r="A58" s="114" t="str">
        <f>Curs!B57</f>
        <v/>
      </c>
      <c r="B58" s="115" t="str">
        <f>IF(NOT(ISBLANK(Curs!C57)),Curs!C57,"")</f>
        <v/>
      </c>
      <c r="C58" s="123" t="str">
        <f>IF(Curs!E57&lt;&gt;"a","",Curs!E57)</f>
        <v/>
      </c>
      <c r="D58" s="123" t="str">
        <f>IF(Curs!F57&lt;&gt;"a","",Curs!F57)</f>
        <v/>
      </c>
      <c r="E58" s="123" t="str">
        <f>IF(Curs!G57&lt;&gt;"a","",Curs!G57)</f>
        <v/>
      </c>
      <c r="F58" s="123" t="str">
        <f>IF(Curs!H57&lt;&gt;"a","",Curs!H57)</f>
        <v/>
      </c>
      <c r="G58" s="123" t="str">
        <f>IF(Curs!I57&lt;&gt;"a","",Curs!I57)</f>
        <v/>
      </c>
      <c r="H58" s="123" t="str">
        <f>IF(Curs!J57&lt;&gt;"a","",Curs!J57)</f>
        <v/>
      </c>
      <c r="I58" s="123" t="str">
        <f>IF(Curs!K57&lt;&gt;"a","",Curs!K57)</f>
        <v/>
      </c>
      <c r="J58" s="123" t="str">
        <f>IF(Curs!L57&lt;&gt;"a","",Curs!L57)</f>
        <v/>
      </c>
      <c r="K58" s="123" t="str">
        <f>IF(Curs!M57&lt;&gt;"a","",Curs!M57)</f>
        <v/>
      </c>
      <c r="L58" s="123" t="str">
        <f>IF(Curs!N57&lt;&gt;"a","",Curs!N57)</f>
        <v/>
      </c>
      <c r="M58" s="123" t="str">
        <f>IF(Curs!O57&lt;&gt;"a","",Curs!O57)</f>
        <v/>
      </c>
      <c r="N58" s="123" t="str">
        <f>IF(Curs!P57&lt;&gt;"a","",Curs!P57)</f>
        <v/>
      </c>
      <c r="O58" s="123" t="str">
        <f>IF(Curs!Q57&lt;&gt;"a","",Curs!Q57)</f>
        <v/>
      </c>
      <c r="P58" s="123" t="str">
        <f>IF(Curs!R57&lt;&gt;"a","",Curs!R57)</f>
        <v/>
      </c>
      <c r="Q58" s="123" t="str">
        <f>IF(Curs!S57&lt;&gt;"a","",Curs!S57)</f>
        <v/>
      </c>
      <c r="R58" s="123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7"/>
      <c r="AG58" s="117"/>
      <c r="AH58" s="114"/>
    </row>
    <row r="59" spans="1:34" ht="19.95" customHeight="1" x14ac:dyDescent="0.3">
      <c r="A59" s="114" t="str">
        <f>Curs!B58</f>
        <v/>
      </c>
      <c r="B59" s="115" t="str">
        <f>IF(NOT(ISBLANK(Curs!C58)),Curs!C58,"")</f>
        <v/>
      </c>
      <c r="C59" s="123" t="str">
        <f>IF(Curs!E58&lt;&gt;"a","",Curs!E58)</f>
        <v/>
      </c>
      <c r="D59" s="123" t="str">
        <f>IF(Curs!F58&lt;&gt;"a","",Curs!F58)</f>
        <v/>
      </c>
      <c r="E59" s="123" t="str">
        <f>IF(Curs!G58&lt;&gt;"a","",Curs!G58)</f>
        <v/>
      </c>
      <c r="F59" s="123" t="str">
        <f>IF(Curs!H58&lt;&gt;"a","",Curs!H58)</f>
        <v/>
      </c>
      <c r="G59" s="123" t="str">
        <f>IF(Curs!I58&lt;&gt;"a","",Curs!I58)</f>
        <v/>
      </c>
      <c r="H59" s="123" t="str">
        <f>IF(Curs!J58&lt;&gt;"a","",Curs!J58)</f>
        <v/>
      </c>
      <c r="I59" s="123" t="str">
        <f>IF(Curs!K58&lt;&gt;"a","",Curs!K58)</f>
        <v/>
      </c>
      <c r="J59" s="123" t="str">
        <f>IF(Curs!L58&lt;&gt;"a","",Curs!L58)</f>
        <v/>
      </c>
      <c r="K59" s="123" t="str">
        <f>IF(Curs!M58&lt;&gt;"a","",Curs!M58)</f>
        <v/>
      </c>
      <c r="L59" s="123" t="str">
        <f>IF(Curs!N58&lt;&gt;"a","",Curs!N58)</f>
        <v/>
      </c>
      <c r="M59" s="123" t="str">
        <f>IF(Curs!O58&lt;&gt;"a","",Curs!O58)</f>
        <v/>
      </c>
      <c r="N59" s="123" t="str">
        <f>IF(Curs!P58&lt;&gt;"a","",Curs!P58)</f>
        <v/>
      </c>
      <c r="O59" s="123" t="str">
        <f>IF(Curs!Q58&lt;&gt;"a","",Curs!Q58)</f>
        <v/>
      </c>
      <c r="P59" s="123" t="str">
        <f>IF(Curs!R58&lt;&gt;"a","",Curs!R58)</f>
        <v/>
      </c>
      <c r="Q59" s="123" t="str">
        <f>IF(Curs!S58&lt;&gt;"a","",Curs!S58)</f>
        <v/>
      </c>
      <c r="R59" s="123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7"/>
      <c r="AG59" s="117"/>
      <c r="AH59" s="114"/>
    </row>
    <row r="60" spans="1:34" ht="19.95" customHeight="1" x14ac:dyDescent="0.3">
      <c r="A60" s="114" t="str">
        <f>Curs!B59</f>
        <v/>
      </c>
      <c r="B60" s="115" t="str">
        <f>IF(NOT(ISBLANK(Curs!C59)),Curs!C59,"")</f>
        <v/>
      </c>
      <c r="C60" s="123" t="str">
        <f>IF(Curs!E59&lt;&gt;"a","",Curs!E59)</f>
        <v/>
      </c>
      <c r="D60" s="123" t="str">
        <f>IF(Curs!F59&lt;&gt;"a","",Curs!F59)</f>
        <v/>
      </c>
      <c r="E60" s="123" t="str">
        <f>IF(Curs!G59&lt;&gt;"a","",Curs!G59)</f>
        <v/>
      </c>
      <c r="F60" s="123" t="str">
        <f>IF(Curs!H59&lt;&gt;"a","",Curs!H59)</f>
        <v/>
      </c>
      <c r="G60" s="123" t="str">
        <f>IF(Curs!I59&lt;&gt;"a","",Curs!I59)</f>
        <v/>
      </c>
      <c r="H60" s="123" t="str">
        <f>IF(Curs!J59&lt;&gt;"a","",Curs!J59)</f>
        <v/>
      </c>
      <c r="I60" s="123" t="str">
        <f>IF(Curs!K59&lt;&gt;"a","",Curs!K59)</f>
        <v/>
      </c>
      <c r="J60" s="123" t="str">
        <f>IF(Curs!L59&lt;&gt;"a","",Curs!L59)</f>
        <v/>
      </c>
      <c r="K60" s="123" t="str">
        <f>IF(Curs!M59&lt;&gt;"a","",Curs!M59)</f>
        <v/>
      </c>
      <c r="L60" s="123" t="str">
        <f>IF(Curs!N59&lt;&gt;"a","",Curs!N59)</f>
        <v/>
      </c>
      <c r="M60" s="123" t="str">
        <f>IF(Curs!O59&lt;&gt;"a","",Curs!O59)</f>
        <v/>
      </c>
      <c r="N60" s="123" t="str">
        <f>IF(Curs!P59&lt;&gt;"a","",Curs!P59)</f>
        <v/>
      </c>
      <c r="O60" s="123" t="str">
        <f>IF(Curs!Q59&lt;&gt;"a","",Curs!Q59)</f>
        <v/>
      </c>
      <c r="P60" s="123" t="str">
        <f>IF(Curs!R59&lt;&gt;"a","",Curs!R59)</f>
        <v/>
      </c>
      <c r="Q60" s="123" t="str">
        <f>IF(Curs!S59&lt;&gt;"a","",Curs!S59)</f>
        <v/>
      </c>
      <c r="R60" s="123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7"/>
      <c r="AG60" s="117"/>
      <c r="AH60" s="114"/>
    </row>
    <row r="61" spans="1:34" ht="19.95" customHeight="1" x14ac:dyDescent="0.3">
      <c r="A61" s="114" t="str">
        <f>Curs!B60</f>
        <v/>
      </c>
      <c r="B61" s="115" t="str">
        <f>IF(NOT(ISBLANK(Curs!C60)),Curs!C60,"")</f>
        <v/>
      </c>
      <c r="C61" s="123" t="str">
        <f>IF(Curs!E60&lt;&gt;"a","",Curs!E60)</f>
        <v/>
      </c>
      <c r="D61" s="123" t="str">
        <f>IF(Curs!F60&lt;&gt;"a","",Curs!F60)</f>
        <v/>
      </c>
      <c r="E61" s="123" t="str">
        <f>IF(Curs!G60&lt;&gt;"a","",Curs!G60)</f>
        <v/>
      </c>
      <c r="F61" s="123" t="str">
        <f>IF(Curs!H60&lt;&gt;"a","",Curs!H60)</f>
        <v/>
      </c>
      <c r="G61" s="123" t="str">
        <f>IF(Curs!I60&lt;&gt;"a","",Curs!I60)</f>
        <v/>
      </c>
      <c r="H61" s="123" t="str">
        <f>IF(Curs!J60&lt;&gt;"a","",Curs!J60)</f>
        <v/>
      </c>
      <c r="I61" s="123" t="str">
        <f>IF(Curs!K60&lt;&gt;"a","",Curs!K60)</f>
        <v/>
      </c>
      <c r="J61" s="123" t="str">
        <f>IF(Curs!L60&lt;&gt;"a","",Curs!L60)</f>
        <v/>
      </c>
      <c r="K61" s="123" t="str">
        <f>IF(Curs!M60&lt;&gt;"a","",Curs!M60)</f>
        <v/>
      </c>
      <c r="L61" s="123" t="str">
        <f>IF(Curs!N60&lt;&gt;"a","",Curs!N60)</f>
        <v/>
      </c>
      <c r="M61" s="123" t="str">
        <f>IF(Curs!O60&lt;&gt;"a","",Curs!O60)</f>
        <v/>
      </c>
      <c r="N61" s="123" t="str">
        <f>IF(Curs!P60&lt;&gt;"a","",Curs!P60)</f>
        <v/>
      </c>
      <c r="O61" s="123" t="str">
        <f>IF(Curs!Q60&lt;&gt;"a","",Curs!Q60)</f>
        <v/>
      </c>
      <c r="P61" s="123" t="str">
        <f>IF(Curs!R60&lt;&gt;"a","",Curs!R60)</f>
        <v/>
      </c>
      <c r="Q61" s="123" t="str">
        <f>IF(Curs!S60&lt;&gt;"a","",Curs!S60)</f>
        <v/>
      </c>
      <c r="R61" s="123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7"/>
      <c r="AG61" s="117"/>
      <c r="AH61" s="114"/>
    </row>
    <row r="62" spans="1:34" ht="19.95" customHeight="1" x14ac:dyDescent="0.3">
      <c r="A62" s="114" t="str">
        <f>Curs!B61</f>
        <v/>
      </c>
      <c r="B62" s="115" t="str">
        <f>IF(NOT(ISBLANK(Curs!C61)),Curs!C61,"")</f>
        <v/>
      </c>
      <c r="C62" s="123" t="str">
        <f>IF(Curs!E61&lt;&gt;"a","",Curs!E61)</f>
        <v/>
      </c>
      <c r="D62" s="123" t="str">
        <f>IF(Curs!F61&lt;&gt;"a","",Curs!F61)</f>
        <v/>
      </c>
      <c r="E62" s="123" t="str">
        <f>IF(Curs!G61&lt;&gt;"a","",Curs!G61)</f>
        <v/>
      </c>
      <c r="F62" s="123" t="str">
        <f>IF(Curs!H61&lt;&gt;"a","",Curs!H61)</f>
        <v/>
      </c>
      <c r="G62" s="123" t="str">
        <f>IF(Curs!I61&lt;&gt;"a","",Curs!I61)</f>
        <v/>
      </c>
      <c r="H62" s="123" t="str">
        <f>IF(Curs!J61&lt;&gt;"a","",Curs!J61)</f>
        <v/>
      </c>
      <c r="I62" s="123" t="str">
        <f>IF(Curs!K61&lt;&gt;"a","",Curs!K61)</f>
        <v/>
      </c>
      <c r="J62" s="123" t="str">
        <f>IF(Curs!L61&lt;&gt;"a","",Curs!L61)</f>
        <v/>
      </c>
      <c r="K62" s="123" t="str">
        <f>IF(Curs!M61&lt;&gt;"a","",Curs!M61)</f>
        <v/>
      </c>
      <c r="L62" s="123" t="str">
        <f>IF(Curs!N61&lt;&gt;"a","",Curs!N61)</f>
        <v/>
      </c>
      <c r="M62" s="123" t="str">
        <f>IF(Curs!O61&lt;&gt;"a","",Curs!O61)</f>
        <v/>
      </c>
      <c r="N62" s="123" t="str">
        <f>IF(Curs!P61&lt;&gt;"a","",Curs!P61)</f>
        <v/>
      </c>
      <c r="O62" s="123" t="str">
        <f>IF(Curs!Q61&lt;&gt;"a","",Curs!Q61)</f>
        <v/>
      </c>
      <c r="P62" s="123" t="str">
        <f>IF(Curs!R61&lt;&gt;"a","",Curs!R61)</f>
        <v/>
      </c>
      <c r="Q62" s="123" t="str">
        <f>IF(Curs!S61&lt;&gt;"a","",Curs!S61)</f>
        <v/>
      </c>
      <c r="R62" s="123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7"/>
      <c r="AG62" s="117"/>
      <c r="AH62" s="114"/>
    </row>
    <row r="63" spans="1:34" ht="19.95" customHeight="1" x14ac:dyDescent="0.3">
      <c r="A63" s="114" t="str">
        <f>Curs!B62</f>
        <v/>
      </c>
      <c r="B63" s="115" t="str">
        <f>IF(NOT(ISBLANK(Curs!C62)),Curs!C62,"")</f>
        <v/>
      </c>
      <c r="C63" s="123" t="str">
        <f>IF(Curs!E62&lt;&gt;"a","",Curs!E62)</f>
        <v/>
      </c>
      <c r="D63" s="123" t="str">
        <f>IF(Curs!F62&lt;&gt;"a","",Curs!F62)</f>
        <v/>
      </c>
      <c r="E63" s="123" t="str">
        <f>IF(Curs!G62&lt;&gt;"a","",Curs!G62)</f>
        <v/>
      </c>
      <c r="F63" s="123" t="str">
        <f>IF(Curs!H62&lt;&gt;"a","",Curs!H62)</f>
        <v/>
      </c>
      <c r="G63" s="123" t="str">
        <f>IF(Curs!I62&lt;&gt;"a","",Curs!I62)</f>
        <v/>
      </c>
      <c r="H63" s="123" t="str">
        <f>IF(Curs!J62&lt;&gt;"a","",Curs!J62)</f>
        <v/>
      </c>
      <c r="I63" s="123" t="str">
        <f>IF(Curs!K62&lt;&gt;"a","",Curs!K62)</f>
        <v/>
      </c>
      <c r="J63" s="123" t="str">
        <f>IF(Curs!L62&lt;&gt;"a","",Curs!L62)</f>
        <v/>
      </c>
      <c r="K63" s="123" t="str">
        <f>IF(Curs!M62&lt;&gt;"a","",Curs!M62)</f>
        <v/>
      </c>
      <c r="L63" s="123" t="str">
        <f>IF(Curs!N62&lt;&gt;"a","",Curs!N62)</f>
        <v/>
      </c>
      <c r="M63" s="123" t="str">
        <f>IF(Curs!O62&lt;&gt;"a","",Curs!O62)</f>
        <v/>
      </c>
      <c r="N63" s="123" t="str">
        <f>IF(Curs!P62&lt;&gt;"a","",Curs!P62)</f>
        <v/>
      </c>
      <c r="O63" s="123" t="str">
        <f>IF(Curs!Q62&lt;&gt;"a","",Curs!Q62)</f>
        <v/>
      </c>
      <c r="P63" s="123" t="str">
        <f>IF(Curs!R62&lt;&gt;"a","",Curs!R62)</f>
        <v/>
      </c>
      <c r="Q63" s="123" t="str">
        <f>IF(Curs!S62&lt;&gt;"a","",Curs!S62)</f>
        <v/>
      </c>
      <c r="R63" s="123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7"/>
      <c r="AG63" s="117"/>
      <c r="AH63" s="114"/>
    </row>
    <row r="64" spans="1:34" ht="19.95" customHeight="1" x14ac:dyDescent="0.3">
      <c r="A64" s="114" t="str">
        <f>Curs!B63</f>
        <v/>
      </c>
      <c r="B64" s="115" t="str">
        <f>IF(NOT(ISBLANK(Curs!C63)),Curs!C63,"")</f>
        <v/>
      </c>
      <c r="C64" s="123" t="str">
        <f>IF(Curs!E63&lt;&gt;"a","",Curs!E63)</f>
        <v/>
      </c>
      <c r="D64" s="123" t="str">
        <f>IF(Curs!F63&lt;&gt;"a","",Curs!F63)</f>
        <v/>
      </c>
      <c r="E64" s="123" t="str">
        <f>IF(Curs!G63&lt;&gt;"a","",Curs!G63)</f>
        <v/>
      </c>
      <c r="F64" s="123" t="str">
        <f>IF(Curs!H63&lt;&gt;"a","",Curs!H63)</f>
        <v/>
      </c>
      <c r="G64" s="123" t="str">
        <f>IF(Curs!I63&lt;&gt;"a","",Curs!I63)</f>
        <v/>
      </c>
      <c r="H64" s="123" t="str">
        <f>IF(Curs!J63&lt;&gt;"a","",Curs!J63)</f>
        <v/>
      </c>
      <c r="I64" s="123" t="str">
        <f>IF(Curs!K63&lt;&gt;"a","",Curs!K63)</f>
        <v/>
      </c>
      <c r="J64" s="123" t="str">
        <f>IF(Curs!L63&lt;&gt;"a","",Curs!L63)</f>
        <v/>
      </c>
      <c r="K64" s="123" t="str">
        <f>IF(Curs!M63&lt;&gt;"a","",Curs!M63)</f>
        <v/>
      </c>
      <c r="L64" s="123" t="str">
        <f>IF(Curs!N63&lt;&gt;"a","",Curs!N63)</f>
        <v/>
      </c>
      <c r="M64" s="123" t="str">
        <f>IF(Curs!O63&lt;&gt;"a","",Curs!O63)</f>
        <v/>
      </c>
      <c r="N64" s="123" t="str">
        <f>IF(Curs!P63&lt;&gt;"a","",Curs!P63)</f>
        <v/>
      </c>
      <c r="O64" s="123" t="str">
        <f>IF(Curs!Q63&lt;&gt;"a","",Curs!Q63)</f>
        <v/>
      </c>
      <c r="P64" s="123" t="str">
        <f>IF(Curs!R63&lt;&gt;"a","",Curs!R63)</f>
        <v/>
      </c>
      <c r="Q64" s="123" t="str">
        <f>IF(Curs!S63&lt;&gt;"a","",Curs!S63)</f>
        <v/>
      </c>
      <c r="R64" s="123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7"/>
      <c r="AG64" s="117"/>
      <c r="AH64" s="114"/>
    </row>
    <row r="65" spans="1:34" ht="19.95" customHeight="1" x14ac:dyDescent="0.3">
      <c r="A65" s="114" t="str">
        <f>Curs!B64</f>
        <v/>
      </c>
      <c r="B65" s="115" t="str">
        <f>IF(NOT(ISBLANK(Curs!C64)),Curs!C64,"")</f>
        <v/>
      </c>
      <c r="C65" s="123" t="str">
        <f>IF(Curs!E64&lt;&gt;"a","",Curs!E64)</f>
        <v/>
      </c>
      <c r="D65" s="123" t="str">
        <f>IF(Curs!F64&lt;&gt;"a","",Curs!F64)</f>
        <v/>
      </c>
      <c r="E65" s="123" t="str">
        <f>IF(Curs!G64&lt;&gt;"a","",Curs!G64)</f>
        <v/>
      </c>
      <c r="F65" s="123" t="str">
        <f>IF(Curs!H64&lt;&gt;"a","",Curs!H64)</f>
        <v/>
      </c>
      <c r="G65" s="123" t="str">
        <f>IF(Curs!I64&lt;&gt;"a","",Curs!I64)</f>
        <v/>
      </c>
      <c r="H65" s="123" t="str">
        <f>IF(Curs!J64&lt;&gt;"a","",Curs!J64)</f>
        <v/>
      </c>
      <c r="I65" s="123" t="str">
        <f>IF(Curs!K64&lt;&gt;"a","",Curs!K64)</f>
        <v/>
      </c>
      <c r="J65" s="123" t="str">
        <f>IF(Curs!L64&lt;&gt;"a","",Curs!L64)</f>
        <v/>
      </c>
      <c r="K65" s="123" t="str">
        <f>IF(Curs!M64&lt;&gt;"a","",Curs!M64)</f>
        <v/>
      </c>
      <c r="L65" s="123" t="str">
        <f>IF(Curs!N64&lt;&gt;"a","",Curs!N64)</f>
        <v/>
      </c>
      <c r="M65" s="123" t="str">
        <f>IF(Curs!O64&lt;&gt;"a","",Curs!O64)</f>
        <v/>
      </c>
      <c r="N65" s="123" t="str">
        <f>IF(Curs!P64&lt;&gt;"a","",Curs!P64)</f>
        <v/>
      </c>
      <c r="O65" s="123" t="str">
        <f>IF(Curs!Q64&lt;&gt;"a","",Curs!Q64)</f>
        <v/>
      </c>
      <c r="P65" s="123" t="str">
        <f>IF(Curs!R64&lt;&gt;"a","",Curs!R64)</f>
        <v/>
      </c>
      <c r="Q65" s="123" t="str">
        <f>IF(Curs!S64&lt;&gt;"a","",Curs!S64)</f>
        <v/>
      </c>
      <c r="R65" s="123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7"/>
      <c r="AG65" s="117"/>
      <c r="AH65" s="114"/>
    </row>
    <row r="66" spans="1:34" ht="19.95" customHeight="1" x14ac:dyDescent="0.3">
      <c r="A66" s="114" t="str">
        <f>Curs!B65</f>
        <v/>
      </c>
      <c r="B66" s="115" t="str">
        <f>IF(NOT(ISBLANK(Curs!C65)),Curs!C65,"")</f>
        <v/>
      </c>
      <c r="C66" s="123" t="str">
        <f>IF(Curs!E65&lt;&gt;"a","",Curs!E65)</f>
        <v/>
      </c>
      <c r="D66" s="123" t="str">
        <f>IF(Curs!F65&lt;&gt;"a","",Curs!F65)</f>
        <v/>
      </c>
      <c r="E66" s="123" t="str">
        <f>IF(Curs!G65&lt;&gt;"a","",Curs!G65)</f>
        <v/>
      </c>
      <c r="F66" s="123" t="str">
        <f>IF(Curs!H65&lt;&gt;"a","",Curs!H65)</f>
        <v/>
      </c>
      <c r="G66" s="123" t="str">
        <f>IF(Curs!I65&lt;&gt;"a","",Curs!I65)</f>
        <v/>
      </c>
      <c r="H66" s="123" t="str">
        <f>IF(Curs!J65&lt;&gt;"a","",Curs!J65)</f>
        <v/>
      </c>
      <c r="I66" s="123" t="str">
        <f>IF(Curs!K65&lt;&gt;"a","",Curs!K65)</f>
        <v/>
      </c>
      <c r="J66" s="123" t="str">
        <f>IF(Curs!L65&lt;&gt;"a","",Curs!L65)</f>
        <v/>
      </c>
      <c r="K66" s="123" t="str">
        <f>IF(Curs!M65&lt;&gt;"a","",Curs!M65)</f>
        <v/>
      </c>
      <c r="L66" s="123" t="str">
        <f>IF(Curs!N65&lt;&gt;"a","",Curs!N65)</f>
        <v/>
      </c>
      <c r="M66" s="123" t="str">
        <f>IF(Curs!O65&lt;&gt;"a","",Curs!O65)</f>
        <v/>
      </c>
      <c r="N66" s="123" t="str">
        <f>IF(Curs!P65&lt;&gt;"a","",Curs!P65)</f>
        <v/>
      </c>
      <c r="O66" s="123" t="str">
        <f>IF(Curs!Q65&lt;&gt;"a","",Curs!Q65)</f>
        <v/>
      </c>
      <c r="P66" s="123" t="str">
        <f>IF(Curs!R65&lt;&gt;"a","",Curs!R65)</f>
        <v/>
      </c>
      <c r="Q66" s="123" t="str">
        <f>IF(Curs!S65&lt;&gt;"a","",Curs!S65)</f>
        <v/>
      </c>
      <c r="R66" s="123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7"/>
      <c r="AG66" s="117"/>
      <c r="AH66" s="114"/>
    </row>
    <row r="67" spans="1:34" ht="19.95" customHeight="1" x14ac:dyDescent="0.3">
      <c r="A67" s="114" t="str">
        <f>Curs!B66</f>
        <v/>
      </c>
      <c r="B67" s="115" t="str">
        <f>IF(NOT(ISBLANK(Curs!C66)),Curs!C66,"")</f>
        <v/>
      </c>
      <c r="C67" s="123" t="str">
        <f>IF(Curs!E66&lt;&gt;"a","",Curs!E66)</f>
        <v/>
      </c>
      <c r="D67" s="123" t="str">
        <f>IF(Curs!F66&lt;&gt;"a","",Curs!F66)</f>
        <v/>
      </c>
      <c r="E67" s="123" t="str">
        <f>IF(Curs!G66&lt;&gt;"a","",Curs!G66)</f>
        <v/>
      </c>
      <c r="F67" s="123" t="str">
        <f>IF(Curs!H66&lt;&gt;"a","",Curs!H66)</f>
        <v/>
      </c>
      <c r="G67" s="123" t="str">
        <f>IF(Curs!I66&lt;&gt;"a","",Curs!I66)</f>
        <v/>
      </c>
      <c r="H67" s="123" t="str">
        <f>IF(Curs!J66&lt;&gt;"a","",Curs!J66)</f>
        <v/>
      </c>
      <c r="I67" s="123" t="str">
        <f>IF(Curs!K66&lt;&gt;"a","",Curs!K66)</f>
        <v/>
      </c>
      <c r="J67" s="123" t="str">
        <f>IF(Curs!L66&lt;&gt;"a","",Curs!L66)</f>
        <v/>
      </c>
      <c r="K67" s="123" t="str">
        <f>IF(Curs!M66&lt;&gt;"a","",Curs!M66)</f>
        <v/>
      </c>
      <c r="L67" s="123" t="str">
        <f>IF(Curs!N66&lt;&gt;"a","",Curs!N66)</f>
        <v/>
      </c>
      <c r="M67" s="123" t="str">
        <f>IF(Curs!O66&lt;&gt;"a","",Curs!O66)</f>
        <v/>
      </c>
      <c r="N67" s="123" t="str">
        <f>IF(Curs!P66&lt;&gt;"a","",Curs!P66)</f>
        <v/>
      </c>
      <c r="O67" s="123" t="str">
        <f>IF(Curs!Q66&lt;&gt;"a","",Curs!Q66)</f>
        <v/>
      </c>
      <c r="P67" s="123" t="str">
        <f>IF(Curs!R66&lt;&gt;"a","",Curs!R66)</f>
        <v/>
      </c>
      <c r="Q67" s="123" t="str">
        <f>IF(Curs!S66&lt;&gt;"a","",Curs!S66)</f>
        <v/>
      </c>
      <c r="R67" s="123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7"/>
      <c r="AG67" s="117"/>
      <c r="AH67" s="114"/>
    </row>
    <row r="68" spans="1:34" ht="19.95" customHeight="1" x14ac:dyDescent="0.3">
      <c r="A68" s="114" t="str">
        <f>Curs!B67</f>
        <v/>
      </c>
      <c r="B68" s="115" t="str">
        <f>IF(NOT(ISBLANK(Curs!C67)),Curs!C67,"")</f>
        <v/>
      </c>
      <c r="C68" s="123" t="str">
        <f>IF(Curs!E67&lt;&gt;"a","",Curs!E67)</f>
        <v/>
      </c>
      <c r="D68" s="123" t="str">
        <f>IF(Curs!F67&lt;&gt;"a","",Curs!F67)</f>
        <v/>
      </c>
      <c r="E68" s="123" t="str">
        <f>IF(Curs!G67&lt;&gt;"a","",Curs!G67)</f>
        <v/>
      </c>
      <c r="F68" s="123" t="str">
        <f>IF(Curs!H67&lt;&gt;"a","",Curs!H67)</f>
        <v/>
      </c>
      <c r="G68" s="123" t="str">
        <f>IF(Curs!I67&lt;&gt;"a","",Curs!I67)</f>
        <v/>
      </c>
      <c r="H68" s="123" t="str">
        <f>IF(Curs!J67&lt;&gt;"a","",Curs!J67)</f>
        <v/>
      </c>
      <c r="I68" s="123" t="str">
        <f>IF(Curs!K67&lt;&gt;"a","",Curs!K67)</f>
        <v/>
      </c>
      <c r="J68" s="123" t="str">
        <f>IF(Curs!L67&lt;&gt;"a","",Curs!L67)</f>
        <v/>
      </c>
      <c r="K68" s="123" t="str">
        <f>IF(Curs!M67&lt;&gt;"a","",Curs!M67)</f>
        <v/>
      </c>
      <c r="L68" s="123" t="str">
        <f>IF(Curs!N67&lt;&gt;"a","",Curs!N67)</f>
        <v/>
      </c>
      <c r="M68" s="123" t="str">
        <f>IF(Curs!O67&lt;&gt;"a","",Curs!O67)</f>
        <v/>
      </c>
      <c r="N68" s="123" t="str">
        <f>IF(Curs!P67&lt;&gt;"a","",Curs!P67)</f>
        <v/>
      </c>
      <c r="O68" s="123" t="str">
        <f>IF(Curs!Q67&lt;&gt;"a","",Curs!Q67)</f>
        <v/>
      </c>
      <c r="P68" s="123" t="str">
        <f>IF(Curs!R67&lt;&gt;"a","",Curs!R67)</f>
        <v/>
      </c>
      <c r="Q68" s="123" t="str">
        <f>IF(Curs!S67&lt;&gt;"a","",Curs!S67)</f>
        <v/>
      </c>
      <c r="R68" s="123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7"/>
      <c r="AG68" s="117"/>
      <c r="AH68" s="114"/>
    </row>
    <row r="69" spans="1:34" ht="19.95" customHeight="1" x14ac:dyDescent="0.3">
      <c r="A69" s="114" t="str">
        <f>Curs!B68</f>
        <v/>
      </c>
      <c r="B69" s="115" t="str">
        <f>IF(NOT(ISBLANK(Curs!C68)),Curs!C68,"")</f>
        <v/>
      </c>
      <c r="C69" s="123" t="str">
        <f>IF(Curs!E68&lt;&gt;"a","",Curs!E68)</f>
        <v/>
      </c>
      <c r="D69" s="123" t="str">
        <f>IF(Curs!F68&lt;&gt;"a","",Curs!F68)</f>
        <v/>
      </c>
      <c r="E69" s="123" t="str">
        <f>IF(Curs!G68&lt;&gt;"a","",Curs!G68)</f>
        <v/>
      </c>
      <c r="F69" s="123" t="str">
        <f>IF(Curs!H68&lt;&gt;"a","",Curs!H68)</f>
        <v/>
      </c>
      <c r="G69" s="123" t="str">
        <f>IF(Curs!I68&lt;&gt;"a","",Curs!I68)</f>
        <v/>
      </c>
      <c r="H69" s="123" t="str">
        <f>IF(Curs!J68&lt;&gt;"a","",Curs!J68)</f>
        <v/>
      </c>
      <c r="I69" s="123" t="str">
        <f>IF(Curs!K68&lt;&gt;"a","",Curs!K68)</f>
        <v/>
      </c>
      <c r="J69" s="123" t="str">
        <f>IF(Curs!L68&lt;&gt;"a","",Curs!L68)</f>
        <v/>
      </c>
      <c r="K69" s="123" t="str">
        <f>IF(Curs!M68&lt;&gt;"a","",Curs!M68)</f>
        <v/>
      </c>
      <c r="L69" s="123" t="str">
        <f>IF(Curs!N68&lt;&gt;"a","",Curs!N68)</f>
        <v/>
      </c>
      <c r="M69" s="123" t="str">
        <f>IF(Curs!O68&lt;&gt;"a","",Curs!O68)</f>
        <v/>
      </c>
      <c r="N69" s="123" t="str">
        <f>IF(Curs!P68&lt;&gt;"a","",Curs!P68)</f>
        <v/>
      </c>
      <c r="O69" s="123" t="str">
        <f>IF(Curs!Q68&lt;&gt;"a","",Curs!Q68)</f>
        <v/>
      </c>
      <c r="P69" s="123" t="str">
        <f>IF(Curs!R68&lt;&gt;"a","",Curs!R68)</f>
        <v/>
      </c>
      <c r="Q69" s="123" t="str">
        <f>IF(Curs!S68&lt;&gt;"a","",Curs!S68)</f>
        <v/>
      </c>
      <c r="R69" s="123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7"/>
      <c r="AG69" s="117"/>
      <c r="AH69" s="114"/>
    </row>
    <row r="70" spans="1:34" ht="19.95" customHeight="1" x14ac:dyDescent="0.3">
      <c r="A70" s="114" t="str">
        <f>Curs!B69</f>
        <v/>
      </c>
      <c r="B70" s="115" t="str">
        <f>IF(NOT(ISBLANK(Curs!C69)),Curs!C69,"")</f>
        <v/>
      </c>
      <c r="C70" s="123" t="str">
        <f>IF(Curs!E69&lt;&gt;"a","",Curs!E69)</f>
        <v/>
      </c>
      <c r="D70" s="123" t="str">
        <f>IF(Curs!F69&lt;&gt;"a","",Curs!F69)</f>
        <v/>
      </c>
      <c r="E70" s="123" t="str">
        <f>IF(Curs!G69&lt;&gt;"a","",Curs!G69)</f>
        <v/>
      </c>
      <c r="F70" s="123" t="str">
        <f>IF(Curs!H69&lt;&gt;"a","",Curs!H69)</f>
        <v/>
      </c>
      <c r="G70" s="123" t="str">
        <f>IF(Curs!I69&lt;&gt;"a","",Curs!I69)</f>
        <v/>
      </c>
      <c r="H70" s="123" t="str">
        <f>IF(Curs!J69&lt;&gt;"a","",Curs!J69)</f>
        <v/>
      </c>
      <c r="I70" s="123" t="str">
        <f>IF(Curs!K69&lt;&gt;"a","",Curs!K69)</f>
        <v/>
      </c>
      <c r="J70" s="123" t="str">
        <f>IF(Curs!L69&lt;&gt;"a","",Curs!L69)</f>
        <v/>
      </c>
      <c r="K70" s="123" t="str">
        <f>IF(Curs!M69&lt;&gt;"a","",Curs!M69)</f>
        <v/>
      </c>
      <c r="L70" s="123" t="str">
        <f>IF(Curs!N69&lt;&gt;"a","",Curs!N69)</f>
        <v/>
      </c>
      <c r="M70" s="123" t="str">
        <f>IF(Curs!O69&lt;&gt;"a","",Curs!O69)</f>
        <v/>
      </c>
      <c r="N70" s="123" t="str">
        <f>IF(Curs!P69&lt;&gt;"a","",Curs!P69)</f>
        <v/>
      </c>
      <c r="O70" s="123" t="str">
        <f>IF(Curs!Q69&lt;&gt;"a","",Curs!Q69)</f>
        <v/>
      </c>
      <c r="P70" s="123" t="str">
        <f>IF(Curs!R69&lt;&gt;"a","",Curs!R69)</f>
        <v/>
      </c>
      <c r="Q70" s="123" t="str">
        <f>IF(Curs!S69&lt;&gt;"a","",Curs!S69)</f>
        <v/>
      </c>
      <c r="R70" s="123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7"/>
      <c r="AG70" s="117"/>
      <c r="AH70" s="114"/>
    </row>
    <row r="71" spans="1:34" ht="19.95" customHeight="1" x14ac:dyDescent="0.3">
      <c r="A71" s="114" t="str">
        <f>Curs!B70</f>
        <v/>
      </c>
      <c r="B71" s="115" t="str">
        <f>IF(NOT(ISBLANK(Curs!C70)),Curs!C70,"")</f>
        <v/>
      </c>
      <c r="C71" s="123" t="str">
        <f>IF(Curs!E70&lt;&gt;"a","",Curs!E70)</f>
        <v/>
      </c>
      <c r="D71" s="123" t="str">
        <f>IF(Curs!F70&lt;&gt;"a","",Curs!F70)</f>
        <v/>
      </c>
      <c r="E71" s="123" t="str">
        <f>IF(Curs!G70&lt;&gt;"a","",Curs!G70)</f>
        <v/>
      </c>
      <c r="F71" s="123" t="str">
        <f>IF(Curs!H70&lt;&gt;"a","",Curs!H70)</f>
        <v/>
      </c>
      <c r="G71" s="123" t="str">
        <f>IF(Curs!I70&lt;&gt;"a","",Curs!I70)</f>
        <v/>
      </c>
      <c r="H71" s="123" t="str">
        <f>IF(Curs!J70&lt;&gt;"a","",Curs!J70)</f>
        <v/>
      </c>
      <c r="I71" s="123" t="str">
        <f>IF(Curs!K70&lt;&gt;"a","",Curs!K70)</f>
        <v/>
      </c>
      <c r="J71" s="123" t="str">
        <f>IF(Curs!L70&lt;&gt;"a","",Curs!L70)</f>
        <v/>
      </c>
      <c r="K71" s="123" t="str">
        <f>IF(Curs!M70&lt;&gt;"a","",Curs!M70)</f>
        <v/>
      </c>
      <c r="L71" s="123" t="str">
        <f>IF(Curs!N70&lt;&gt;"a","",Curs!N70)</f>
        <v/>
      </c>
      <c r="M71" s="123" t="str">
        <f>IF(Curs!O70&lt;&gt;"a","",Curs!O70)</f>
        <v/>
      </c>
      <c r="N71" s="123" t="str">
        <f>IF(Curs!P70&lt;&gt;"a","",Curs!P70)</f>
        <v/>
      </c>
      <c r="O71" s="123" t="str">
        <f>IF(Curs!Q70&lt;&gt;"a","",Curs!Q70)</f>
        <v/>
      </c>
      <c r="P71" s="123" t="str">
        <f>IF(Curs!R70&lt;&gt;"a","",Curs!R70)</f>
        <v/>
      </c>
      <c r="Q71" s="123" t="str">
        <f>IF(Curs!S70&lt;&gt;"a","",Curs!S70)</f>
        <v/>
      </c>
      <c r="R71" s="123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7"/>
      <c r="AG71" s="117"/>
      <c r="AH71" s="114"/>
    </row>
    <row r="72" spans="1:34" ht="19.95" customHeight="1" x14ac:dyDescent="0.3">
      <c r="A72" s="114" t="str">
        <f>Curs!B71</f>
        <v/>
      </c>
      <c r="B72" s="115" t="str">
        <f>IF(NOT(ISBLANK(Curs!C71)),Curs!C71,"")</f>
        <v/>
      </c>
      <c r="C72" s="123" t="str">
        <f>IF(Curs!E71&lt;&gt;"a","",Curs!E71)</f>
        <v/>
      </c>
      <c r="D72" s="123" t="str">
        <f>IF(Curs!F71&lt;&gt;"a","",Curs!F71)</f>
        <v/>
      </c>
      <c r="E72" s="123" t="str">
        <f>IF(Curs!G71&lt;&gt;"a","",Curs!G71)</f>
        <v/>
      </c>
      <c r="F72" s="123" t="str">
        <f>IF(Curs!H71&lt;&gt;"a","",Curs!H71)</f>
        <v/>
      </c>
      <c r="G72" s="123" t="str">
        <f>IF(Curs!I71&lt;&gt;"a","",Curs!I71)</f>
        <v/>
      </c>
      <c r="H72" s="123" t="str">
        <f>IF(Curs!J71&lt;&gt;"a","",Curs!J71)</f>
        <v/>
      </c>
      <c r="I72" s="123" t="str">
        <f>IF(Curs!K71&lt;&gt;"a","",Curs!K71)</f>
        <v/>
      </c>
      <c r="J72" s="123" t="str">
        <f>IF(Curs!L71&lt;&gt;"a","",Curs!L71)</f>
        <v/>
      </c>
      <c r="K72" s="123" t="str">
        <f>IF(Curs!M71&lt;&gt;"a","",Curs!M71)</f>
        <v/>
      </c>
      <c r="L72" s="123" t="str">
        <f>IF(Curs!N71&lt;&gt;"a","",Curs!N71)</f>
        <v/>
      </c>
      <c r="M72" s="123" t="str">
        <f>IF(Curs!O71&lt;&gt;"a","",Curs!O71)</f>
        <v/>
      </c>
      <c r="N72" s="123" t="str">
        <f>IF(Curs!P71&lt;&gt;"a","",Curs!P71)</f>
        <v/>
      </c>
      <c r="O72" s="123" t="str">
        <f>IF(Curs!Q71&lt;&gt;"a","",Curs!Q71)</f>
        <v/>
      </c>
      <c r="P72" s="123" t="str">
        <f>IF(Curs!R71&lt;&gt;"a","",Curs!R71)</f>
        <v/>
      </c>
      <c r="Q72" s="123" t="str">
        <f>IF(Curs!S71&lt;&gt;"a","",Curs!S71)</f>
        <v/>
      </c>
      <c r="R72" s="123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7"/>
      <c r="AG72" s="117"/>
      <c r="AH72" s="114"/>
    </row>
    <row r="73" spans="1:34" ht="19.95" customHeight="1" x14ac:dyDescent="0.3">
      <c r="A73" s="114" t="str">
        <f>Curs!B72</f>
        <v/>
      </c>
      <c r="B73" s="115" t="str">
        <f>IF(NOT(ISBLANK(Curs!C72)),Curs!C72,"")</f>
        <v/>
      </c>
      <c r="C73" s="123" t="str">
        <f>IF(Curs!E72&lt;&gt;"a","",Curs!E72)</f>
        <v/>
      </c>
      <c r="D73" s="123" t="str">
        <f>IF(Curs!F72&lt;&gt;"a","",Curs!F72)</f>
        <v/>
      </c>
      <c r="E73" s="123" t="str">
        <f>IF(Curs!G72&lt;&gt;"a","",Curs!G72)</f>
        <v/>
      </c>
      <c r="F73" s="123" t="str">
        <f>IF(Curs!H72&lt;&gt;"a","",Curs!H72)</f>
        <v/>
      </c>
      <c r="G73" s="123" t="str">
        <f>IF(Curs!I72&lt;&gt;"a","",Curs!I72)</f>
        <v/>
      </c>
      <c r="H73" s="123" t="str">
        <f>IF(Curs!J72&lt;&gt;"a","",Curs!J72)</f>
        <v/>
      </c>
      <c r="I73" s="123" t="str">
        <f>IF(Curs!K72&lt;&gt;"a","",Curs!K72)</f>
        <v/>
      </c>
      <c r="J73" s="123" t="str">
        <f>IF(Curs!L72&lt;&gt;"a","",Curs!L72)</f>
        <v/>
      </c>
      <c r="K73" s="123" t="str">
        <f>IF(Curs!M72&lt;&gt;"a","",Curs!M72)</f>
        <v/>
      </c>
      <c r="L73" s="123" t="str">
        <f>IF(Curs!N72&lt;&gt;"a","",Curs!N72)</f>
        <v/>
      </c>
      <c r="M73" s="123" t="str">
        <f>IF(Curs!O72&lt;&gt;"a","",Curs!O72)</f>
        <v/>
      </c>
      <c r="N73" s="123" t="str">
        <f>IF(Curs!P72&lt;&gt;"a","",Curs!P72)</f>
        <v/>
      </c>
      <c r="O73" s="123" t="str">
        <f>IF(Curs!Q72&lt;&gt;"a","",Curs!Q72)</f>
        <v/>
      </c>
      <c r="P73" s="123" t="str">
        <f>IF(Curs!R72&lt;&gt;"a","",Curs!R72)</f>
        <v/>
      </c>
      <c r="Q73" s="123" t="str">
        <f>IF(Curs!S72&lt;&gt;"a","",Curs!S72)</f>
        <v/>
      </c>
      <c r="R73" s="123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7"/>
      <c r="AG73" s="117"/>
      <c r="AH73" s="114"/>
    </row>
    <row r="74" spans="1:34" ht="19.95" customHeight="1" x14ac:dyDescent="0.3">
      <c r="A74" s="114" t="str">
        <f>Curs!B73</f>
        <v/>
      </c>
      <c r="B74" s="115" t="str">
        <f>IF(NOT(ISBLANK(Curs!C73)),Curs!C73,"")</f>
        <v/>
      </c>
      <c r="C74" s="123" t="str">
        <f>IF(Curs!E73&lt;&gt;"a","",Curs!E73)</f>
        <v/>
      </c>
      <c r="D74" s="123" t="str">
        <f>IF(Curs!F73&lt;&gt;"a","",Curs!F73)</f>
        <v/>
      </c>
      <c r="E74" s="123" t="str">
        <f>IF(Curs!G73&lt;&gt;"a","",Curs!G73)</f>
        <v/>
      </c>
      <c r="F74" s="123" t="str">
        <f>IF(Curs!H73&lt;&gt;"a","",Curs!H73)</f>
        <v/>
      </c>
      <c r="G74" s="123" t="str">
        <f>IF(Curs!I73&lt;&gt;"a","",Curs!I73)</f>
        <v/>
      </c>
      <c r="H74" s="123" t="str">
        <f>IF(Curs!J73&lt;&gt;"a","",Curs!J73)</f>
        <v/>
      </c>
      <c r="I74" s="123" t="str">
        <f>IF(Curs!K73&lt;&gt;"a","",Curs!K73)</f>
        <v/>
      </c>
      <c r="J74" s="123" t="str">
        <f>IF(Curs!L73&lt;&gt;"a","",Curs!L73)</f>
        <v/>
      </c>
      <c r="K74" s="123" t="str">
        <f>IF(Curs!M73&lt;&gt;"a","",Curs!M73)</f>
        <v/>
      </c>
      <c r="L74" s="123" t="str">
        <f>IF(Curs!N73&lt;&gt;"a","",Curs!N73)</f>
        <v/>
      </c>
      <c r="M74" s="123" t="str">
        <f>IF(Curs!O73&lt;&gt;"a","",Curs!O73)</f>
        <v/>
      </c>
      <c r="N74" s="123" t="str">
        <f>IF(Curs!P73&lt;&gt;"a","",Curs!P73)</f>
        <v/>
      </c>
      <c r="O74" s="123" t="str">
        <f>IF(Curs!Q73&lt;&gt;"a","",Curs!Q73)</f>
        <v/>
      </c>
      <c r="P74" s="123" t="str">
        <f>IF(Curs!R73&lt;&gt;"a","",Curs!R73)</f>
        <v/>
      </c>
      <c r="Q74" s="123" t="str">
        <f>IF(Curs!S73&lt;&gt;"a","",Curs!S73)</f>
        <v/>
      </c>
      <c r="R74" s="123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7"/>
      <c r="AG74" s="117"/>
      <c r="AH74" s="114"/>
    </row>
    <row r="75" spans="1:34" ht="19.95" customHeight="1" x14ac:dyDescent="0.3">
      <c r="A75" s="114" t="str">
        <f>Curs!B74</f>
        <v/>
      </c>
      <c r="B75" s="115" t="str">
        <f>IF(NOT(ISBLANK(Curs!C74)),Curs!C74,"")</f>
        <v/>
      </c>
      <c r="C75" s="123" t="str">
        <f>IF(Curs!E74&lt;&gt;"a","",Curs!E74)</f>
        <v/>
      </c>
      <c r="D75" s="123" t="str">
        <f>IF(Curs!F74&lt;&gt;"a","",Curs!F74)</f>
        <v/>
      </c>
      <c r="E75" s="123" t="str">
        <f>IF(Curs!G74&lt;&gt;"a","",Curs!G74)</f>
        <v/>
      </c>
      <c r="F75" s="123" t="str">
        <f>IF(Curs!H74&lt;&gt;"a","",Curs!H74)</f>
        <v/>
      </c>
      <c r="G75" s="123" t="str">
        <f>IF(Curs!I74&lt;&gt;"a","",Curs!I74)</f>
        <v/>
      </c>
      <c r="H75" s="123" t="str">
        <f>IF(Curs!J74&lt;&gt;"a","",Curs!J74)</f>
        <v/>
      </c>
      <c r="I75" s="123" t="str">
        <f>IF(Curs!K74&lt;&gt;"a","",Curs!K74)</f>
        <v/>
      </c>
      <c r="J75" s="123" t="str">
        <f>IF(Curs!L74&lt;&gt;"a","",Curs!L74)</f>
        <v/>
      </c>
      <c r="K75" s="123" t="str">
        <f>IF(Curs!M74&lt;&gt;"a","",Curs!M74)</f>
        <v/>
      </c>
      <c r="L75" s="123" t="str">
        <f>IF(Curs!N74&lt;&gt;"a","",Curs!N74)</f>
        <v/>
      </c>
      <c r="M75" s="123" t="str">
        <f>IF(Curs!O74&lt;&gt;"a","",Curs!O74)</f>
        <v/>
      </c>
      <c r="N75" s="123" t="str">
        <f>IF(Curs!P74&lt;&gt;"a","",Curs!P74)</f>
        <v/>
      </c>
      <c r="O75" s="123" t="str">
        <f>IF(Curs!Q74&lt;&gt;"a","",Curs!Q74)</f>
        <v/>
      </c>
      <c r="P75" s="123" t="str">
        <f>IF(Curs!R74&lt;&gt;"a","",Curs!R74)</f>
        <v/>
      </c>
      <c r="Q75" s="123" t="str">
        <f>IF(Curs!S74&lt;&gt;"a","",Curs!S74)</f>
        <v/>
      </c>
      <c r="R75" s="123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7"/>
      <c r="AG75" s="117"/>
      <c r="AH75" s="114"/>
    </row>
    <row r="76" spans="1:34" ht="19.95" customHeight="1" x14ac:dyDescent="0.3">
      <c r="A76" s="114" t="str">
        <f>Curs!B75</f>
        <v/>
      </c>
      <c r="B76" s="115" t="str">
        <f>IF(NOT(ISBLANK(Curs!C75)),Curs!C75,"")</f>
        <v/>
      </c>
      <c r="C76" s="123" t="str">
        <f>IF(Curs!E75&lt;&gt;"a","",Curs!E75)</f>
        <v/>
      </c>
      <c r="D76" s="123" t="str">
        <f>IF(Curs!F75&lt;&gt;"a","",Curs!F75)</f>
        <v/>
      </c>
      <c r="E76" s="123" t="str">
        <f>IF(Curs!G75&lt;&gt;"a","",Curs!G75)</f>
        <v/>
      </c>
      <c r="F76" s="123" t="str">
        <f>IF(Curs!H75&lt;&gt;"a","",Curs!H75)</f>
        <v/>
      </c>
      <c r="G76" s="123" t="str">
        <f>IF(Curs!I75&lt;&gt;"a","",Curs!I75)</f>
        <v/>
      </c>
      <c r="H76" s="123" t="str">
        <f>IF(Curs!J75&lt;&gt;"a","",Curs!J75)</f>
        <v/>
      </c>
      <c r="I76" s="123" t="str">
        <f>IF(Curs!K75&lt;&gt;"a","",Curs!K75)</f>
        <v/>
      </c>
      <c r="J76" s="123" t="str">
        <f>IF(Curs!L75&lt;&gt;"a","",Curs!L75)</f>
        <v/>
      </c>
      <c r="K76" s="123" t="str">
        <f>IF(Curs!M75&lt;&gt;"a","",Curs!M75)</f>
        <v/>
      </c>
      <c r="L76" s="123" t="str">
        <f>IF(Curs!N75&lt;&gt;"a","",Curs!N75)</f>
        <v/>
      </c>
      <c r="M76" s="123" t="str">
        <f>IF(Curs!O75&lt;&gt;"a","",Curs!O75)</f>
        <v/>
      </c>
      <c r="N76" s="123" t="str">
        <f>IF(Curs!P75&lt;&gt;"a","",Curs!P75)</f>
        <v/>
      </c>
      <c r="O76" s="123" t="str">
        <f>IF(Curs!Q75&lt;&gt;"a","",Curs!Q75)</f>
        <v/>
      </c>
      <c r="P76" s="123" t="str">
        <f>IF(Curs!R75&lt;&gt;"a","",Curs!R75)</f>
        <v/>
      </c>
      <c r="Q76" s="123" t="str">
        <f>IF(Curs!S75&lt;&gt;"a","",Curs!S75)</f>
        <v/>
      </c>
      <c r="R76" s="123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7"/>
      <c r="AG76" s="117"/>
      <c r="AH76" s="114"/>
    </row>
    <row r="77" spans="1:34" ht="19.95" customHeight="1" x14ac:dyDescent="0.3">
      <c r="A77" s="114" t="str">
        <f>Curs!B76</f>
        <v/>
      </c>
      <c r="B77" s="115" t="str">
        <f>IF(NOT(ISBLANK(Curs!C76)),Curs!C76,"")</f>
        <v/>
      </c>
      <c r="C77" s="123" t="str">
        <f>IF(Curs!E76&lt;&gt;"a","",Curs!E76)</f>
        <v/>
      </c>
      <c r="D77" s="123" t="str">
        <f>IF(Curs!F76&lt;&gt;"a","",Curs!F76)</f>
        <v/>
      </c>
      <c r="E77" s="123" t="str">
        <f>IF(Curs!G76&lt;&gt;"a","",Curs!G76)</f>
        <v/>
      </c>
      <c r="F77" s="123" t="str">
        <f>IF(Curs!H76&lt;&gt;"a","",Curs!H76)</f>
        <v/>
      </c>
      <c r="G77" s="123" t="str">
        <f>IF(Curs!I76&lt;&gt;"a","",Curs!I76)</f>
        <v/>
      </c>
      <c r="H77" s="123" t="str">
        <f>IF(Curs!J76&lt;&gt;"a","",Curs!J76)</f>
        <v/>
      </c>
      <c r="I77" s="123" t="str">
        <f>IF(Curs!K76&lt;&gt;"a","",Curs!K76)</f>
        <v/>
      </c>
      <c r="J77" s="123" t="str">
        <f>IF(Curs!L76&lt;&gt;"a","",Curs!L76)</f>
        <v/>
      </c>
      <c r="K77" s="123" t="str">
        <f>IF(Curs!M76&lt;&gt;"a","",Curs!M76)</f>
        <v/>
      </c>
      <c r="L77" s="123" t="str">
        <f>IF(Curs!N76&lt;&gt;"a","",Curs!N76)</f>
        <v/>
      </c>
      <c r="M77" s="123" t="str">
        <f>IF(Curs!O76&lt;&gt;"a","",Curs!O76)</f>
        <v/>
      </c>
      <c r="N77" s="123" t="str">
        <f>IF(Curs!P76&lt;&gt;"a","",Curs!P76)</f>
        <v/>
      </c>
      <c r="O77" s="123" t="str">
        <f>IF(Curs!Q76&lt;&gt;"a","",Curs!Q76)</f>
        <v/>
      </c>
      <c r="P77" s="123" t="str">
        <f>IF(Curs!R76&lt;&gt;"a","",Curs!R76)</f>
        <v/>
      </c>
      <c r="Q77" s="123" t="str">
        <f>IF(Curs!S76&lt;&gt;"a","",Curs!S76)</f>
        <v/>
      </c>
      <c r="R77" s="123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7"/>
      <c r="AG77" s="117"/>
      <c r="AH77" s="114"/>
    </row>
    <row r="78" spans="1:34" ht="19.95" customHeight="1" x14ac:dyDescent="0.3">
      <c r="A78" s="114" t="str">
        <f>Curs!B77</f>
        <v/>
      </c>
      <c r="B78" s="115" t="str">
        <f>IF(NOT(ISBLANK(Curs!C77)),Curs!C77,"")</f>
        <v/>
      </c>
      <c r="C78" s="123" t="str">
        <f>IF(Curs!E77&lt;&gt;"a","",Curs!E77)</f>
        <v/>
      </c>
      <c r="D78" s="123" t="str">
        <f>IF(Curs!F77&lt;&gt;"a","",Curs!F77)</f>
        <v/>
      </c>
      <c r="E78" s="123" t="str">
        <f>IF(Curs!G77&lt;&gt;"a","",Curs!G77)</f>
        <v/>
      </c>
      <c r="F78" s="123" t="str">
        <f>IF(Curs!H77&lt;&gt;"a","",Curs!H77)</f>
        <v/>
      </c>
      <c r="G78" s="123" t="str">
        <f>IF(Curs!I77&lt;&gt;"a","",Curs!I77)</f>
        <v/>
      </c>
      <c r="H78" s="123" t="str">
        <f>IF(Curs!J77&lt;&gt;"a","",Curs!J77)</f>
        <v/>
      </c>
      <c r="I78" s="123" t="str">
        <f>IF(Curs!K77&lt;&gt;"a","",Curs!K77)</f>
        <v/>
      </c>
      <c r="J78" s="123" t="str">
        <f>IF(Curs!L77&lt;&gt;"a","",Curs!L77)</f>
        <v/>
      </c>
      <c r="K78" s="123" t="str">
        <f>IF(Curs!M77&lt;&gt;"a","",Curs!M77)</f>
        <v/>
      </c>
      <c r="L78" s="123" t="str">
        <f>IF(Curs!N77&lt;&gt;"a","",Curs!N77)</f>
        <v/>
      </c>
      <c r="M78" s="123" t="str">
        <f>IF(Curs!O77&lt;&gt;"a","",Curs!O77)</f>
        <v/>
      </c>
      <c r="N78" s="123" t="str">
        <f>IF(Curs!P77&lt;&gt;"a","",Curs!P77)</f>
        <v/>
      </c>
      <c r="O78" s="123" t="str">
        <f>IF(Curs!Q77&lt;&gt;"a","",Curs!Q77)</f>
        <v/>
      </c>
      <c r="P78" s="123" t="str">
        <f>IF(Curs!R77&lt;&gt;"a","",Curs!R77)</f>
        <v/>
      </c>
      <c r="Q78" s="123" t="str">
        <f>IF(Curs!S77&lt;&gt;"a","",Curs!S77)</f>
        <v/>
      </c>
      <c r="R78" s="123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7"/>
      <c r="AG78" s="117"/>
      <c r="AH78" s="114"/>
    </row>
    <row r="79" spans="1:34" ht="19.95" customHeight="1" x14ac:dyDescent="0.3">
      <c r="A79" s="114" t="str">
        <f>Curs!B78</f>
        <v/>
      </c>
      <c r="B79" s="115" t="str">
        <f>IF(NOT(ISBLANK(Curs!C78)),Curs!C78,"")</f>
        <v/>
      </c>
      <c r="C79" s="123" t="str">
        <f>IF(Curs!E78&lt;&gt;"a","",Curs!E78)</f>
        <v/>
      </c>
      <c r="D79" s="123" t="str">
        <f>IF(Curs!F78&lt;&gt;"a","",Curs!F78)</f>
        <v/>
      </c>
      <c r="E79" s="123" t="str">
        <f>IF(Curs!G78&lt;&gt;"a","",Curs!G78)</f>
        <v/>
      </c>
      <c r="F79" s="123" t="str">
        <f>IF(Curs!H78&lt;&gt;"a","",Curs!H78)</f>
        <v/>
      </c>
      <c r="G79" s="123" t="str">
        <f>IF(Curs!I78&lt;&gt;"a","",Curs!I78)</f>
        <v/>
      </c>
      <c r="H79" s="123" t="str">
        <f>IF(Curs!J78&lt;&gt;"a","",Curs!J78)</f>
        <v/>
      </c>
      <c r="I79" s="123" t="str">
        <f>IF(Curs!K78&lt;&gt;"a","",Curs!K78)</f>
        <v/>
      </c>
      <c r="J79" s="123" t="str">
        <f>IF(Curs!L78&lt;&gt;"a","",Curs!L78)</f>
        <v/>
      </c>
      <c r="K79" s="123" t="str">
        <f>IF(Curs!M78&lt;&gt;"a","",Curs!M78)</f>
        <v/>
      </c>
      <c r="L79" s="123" t="str">
        <f>IF(Curs!N78&lt;&gt;"a","",Curs!N78)</f>
        <v/>
      </c>
      <c r="M79" s="123" t="str">
        <f>IF(Curs!O78&lt;&gt;"a","",Curs!O78)</f>
        <v/>
      </c>
      <c r="N79" s="123" t="str">
        <f>IF(Curs!P78&lt;&gt;"a","",Curs!P78)</f>
        <v/>
      </c>
      <c r="O79" s="123" t="str">
        <f>IF(Curs!Q78&lt;&gt;"a","",Curs!Q78)</f>
        <v/>
      </c>
      <c r="P79" s="123" t="str">
        <f>IF(Curs!R78&lt;&gt;"a","",Curs!R78)</f>
        <v/>
      </c>
      <c r="Q79" s="123" t="str">
        <f>IF(Curs!S78&lt;&gt;"a","",Curs!S78)</f>
        <v/>
      </c>
      <c r="R79" s="123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7"/>
      <c r="AG79" s="117"/>
      <c r="AH79" s="114"/>
    </row>
    <row r="80" spans="1:34" ht="19.95" customHeight="1" x14ac:dyDescent="0.3">
      <c r="A80" s="114" t="str">
        <f>Curs!B79</f>
        <v/>
      </c>
      <c r="B80" s="115" t="str">
        <f>IF(NOT(ISBLANK(Curs!C79)),Curs!C79,"")</f>
        <v/>
      </c>
      <c r="C80" s="123" t="str">
        <f>IF(Curs!E79&lt;&gt;"a","",Curs!E79)</f>
        <v/>
      </c>
      <c r="D80" s="123" t="str">
        <f>IF(Curs!F79&lt;&gt;"a","",Curs!F79)</f>
        <v/>
      </c>
      <c r="E80" s="123" t="str">
        <f>IF(Curs!G79&lt;&gt;"a","",Curs!G79)</f>
        <v/>
      </c>
      <c r="F80" s="123" t="str">
        <f>IF(Curs!H79&lt;&gt;"a","",Curs!H79)</f>
        <v/>
      </c>
      <c r="G80" s="123" t="str">
        <f>IF(Curs!I79&lt;&gt;"a","",Curs!I79)</f>
        <v/>
      </c>
      <c r="H80" s="123" t="str">
        <f>IF(Curs!J79&lt;&gt;"a","",Curs!J79)</f>
        <v/>
      </c>
      <c r="I80" s="123" t="str">
        <f>IF(Curs!K79&lt;&gt;"a","",Curs!K79)</f>
        <v/>
      </c>
      <c r="J80" s="123" t="str">
        <f>IF(Curs!L79&lt;&gt;"a","",Curs!L79)</f>
        <v/>
      </c>
      <c r="K80" s="123" t="str">
        <f>IF(Curs!M79&lt;&gt;"a","",Curs!M79)</f>
        <v/>
      </c>
      <c r="L80" s="123" t="str">
        <f>IF(Curs!N79&lt;&gt;"a","",Curs!N79)</f>
        <v/>
      </c>
      <c r="M80" s="123" t="str">
        <f>IF(Curs!O79&lt;&gt;"a","",Curs!O79)</f>
        <v/>
      </c>
      <c r="N80" s="123" t="str">
        <f>IF(Curs!P79&lt;&gt;"a","",Curs!P79)</f>
        <v/>
      </c>
      <c r="O80" s="123" t="str">
        <f>IF(Curs!Q79&lt;&gt;"a","",Curs!Q79)</f>
        <v/>
      </c>
      <c r="P80" s="123" t="str">
        <f>IF(Curs!R79&lt;&gt;"a","",Curs!R79)</f>
        <v/>
      </c>
      <c r="Q80" s="123" t="str">
        <f>IF(Curs!S79&lt;&gt;"a","",Curs!S79)</f>
        <v/>
      </c>
      <c r="R80" s="123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7"/>
      <c r="AG80" s="117"/>
      <c r="AH80" s="114"/>
    </row>
    <row r="81" spans="1:34" ht="19.95" customHeight="1" x14ac:dyDescent="0.3">
      <c r="A81" s="114" t="str">
        <f>Curs!B80</f>
        <v/>
      </c>
      <c r="B81" s="115" t="str">
        <f>IF(NOT(ISBLANK(Curs!C80)),Curs!C80,"")</f>
        <v/>
      </c>
      <c r="C81" s="123" t="str">
        <f>IF(Curs!E80&lt;&gt;"a","",Curs!E80)</f>
        <v/>
      </c>
      <c r="D81" s="123" t="str">
        <f>IF(Curs!F80&lt;&gt;"a","",Curs!F80)</f>
        <v/>
      </c>
      <c r="E81" s="123" t="str">
        <f>IF(Curs!G80&lt;&gt;"a","",Curs!G80)</f>
        <v/>
      </c>
      <c r="F81" s="123" t="str">
        <f>IF(Curs!H80&lt;&gt;"a","",Curs!H80)</f>
        <v/>
      </c>
      <c r="G81" s="123" t="str">
        <f>IF(Curs!I80&lt;&gt;"a","",Curs!I80)</f>
        <v/>
      </c>
      <c r="H81" s="123" t="str">
        <f>IF(Curs!J80&lt;&gt;"a","",Curs!J80)</f>
        <v/>
      </c>
      <c r="I81" s="123" t="str">
        <f>IF(Curs!K80&lt;&gt;"a","",Curs!K80)</f>
        <v/>
      </c>
      <c r="J81" s="123" t="str">
        <f>IF(Curs!L80&lt;&gt;"a","",Curs!L80)</f>
        <v/>
      </c>
      <c r="K81" s="123" t="str">
        <f>IF(Curs!M80&lt;&gt;"a","",Curs!M80)</f>
        <v/>
      </c>
      <c r="L81" s="123" t="str">
        <f>IF(Curs!N80&lt;&gt;"a","",Curs!N80)</f>
        <v/>
      </c>
      <c r="M81" s="123" t="str">
        <f>IF(Curs!O80&lt;&gt;"a","",Curs!O80)</f>
        <v/>
      </c>
      <c r="N81" s="123" t="str">
        <f>IF(Curs!P80&lt;&gt;"a","",Curs!P80)</f>
        <v/>
      </c>
      <c r="O81" s="123" t="str">
        <f>IF(Curs!Q80&lt;&gt;"a","",Curs!Q80)</f>
        <v/>
      </c>
      <c r="P81" s="123" t="str">
        <f>IF(Curs!R80&lt;&gt;"a","",Curs!R80)</f>
        <v/>
      </c>
      <c r="Q81" s="123" t="str">
        <f>IF(Curs!S80&lt;&gt;"a","",Curs!S80)</f>
        <v/>
      </c>
      <c r="R81" s="123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7"/>
      <c r="AG81" s="117"/>
      <c r="AH81" s="114"/>
    </row>
    <row r="82" spans="1:34" ht="19.95" customHeight="1" x14ac:dyDescent="0.3">
      <c r="A82" s="114" t="str">
        <f>Curs!B81</f>
        <v/>
      </c>
      <c r="B82" s="115" t="str">
        <f>IF(NOT(ISBLANK(Curs!C81)),Curs!C81,"")</f>
        <v/>
      </c>
      <c r="C82" s="123" t="str">
        <f>IF(Curs!E81&lt;&gt;"a","",Curs!E81)</f>
        <v/>
      </c>
      <c r="D82" s="123" t="str">
        <f>IF(Curs!F81&lt;&gt;"a","",Curs!F81)</f>
        <v/>
      </c>
      <c r="E82" s="123" t="str">
        <f>IF(Curs!G81&lt;&gt;"a","",Curs!G81)</f>
        <v/>
      </c>
      <c r="F82" s="123" t="str">
        <f>IF(Curs!H81&lt;&gt;"a","",Curs!H81)</f>
        <v/>
      </c>
      <c r="G82" s="123" t="str">
        <f>IF(Curs!I81&lt;&gt;"a","",Curs!I81)</f>
        <v/>
      </c>
      <c r="H82" s="123" t="str">
        <f>IF(Curs!J81&lt;&gt;"a","",Curs!J81)</f>
        <v/>
      </c>
      <c r="I82" s="123" t="str">
        <f>IF(Curs!K81&lt;&gt;"a","",Curs!K81)</f>
        <v/>
      </c>
      <c r="J82" s="123" t="str">
        <f>IF(Curs!L81&lt;&gt;"a","",Curs!L81)</f>
        <v/>
      </c>
      <c r="K82" s="123" t="str">
        <f>IF(Curs!M81&lt;&gt;"a","",Curs!M81)</f>
        <v/>
      </c>
      <c r="L82" s="123" t="str">
        <f>IF(Curs!N81&lt;&gt;"a","",Curs!N81)</f>
        <v/>
      </c>
      <c r="M82" s="123" t="str">
        <f>IF(Curs!O81&lt;&gt;"a","",Curs!O81)</f>
        <v/>
      </c>
      <c r="N82" s="123" t="str">
        <f>IF(Curs!P81&lt;&gt;"a","",Curs!P81)</f>
        <v/>
      </c>
      <c r="O82" s="123" t="str">
        <f>IF(Curs!Q81&lt;&gt;"a","",Curs!Q81)</f>
        <v/>
      </c>
      <c r="P82" s="123" t="str">
        <f>IF(Curs!R81&lt;&gt;"a","",Curs!R81)</f>
        <v/>
      </c>
      <c r="Q82" s="123" t="str">
        <f>IF(Curs!S81&lt;&gt;"a","",Curs!S81)</f>
        <v/>
      </c>
      <c r="R82" s="123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7"/>
      <c r="AG82" s="117"/>
      <c r="AH82" s="114"/>
    </row>
    <row r="83" spans="1:34" ht="19.95" customHeight="1" x14ac:dyDescent="0.3">
      <c r="A83" s="114" t="str">
        <f>Curs!B82</f>
        <v/>
      </c>
      <c r="B83" s="115" t="str">
        <f>IF(NOT(ISBLANK(Curs!C82)),Curs!C82,"")</f>
        <v/>
      </c>
      <c r="C83" s="123" t="str">
        <f>IF(Curs!E82&lt;&gt;"a","",Curs!E82)</f>
        <v/>
      </c>
      <c r="D83" s="123" t="str">
        <f>IF(Curs!F82&lt;&gt;"a","",Curs!F82)</f>
        <v/>
      </c>
      <c r="E83" s="123" t="str">
        <f>IF(Curs!G82&lt;&gt;"a","",Curs!G82)</f>
        <v/>
      </c>
      <c r="F83" s="123" t="str">
        <f>IF(Curs!H82&lt;&gt;"a","",Curs!H82)</f>
        <v/>
      </c>
      <c r="G83" s="123" t="str">
        <f>IF(Curs!I82&lt;&gt;"a","",Curs!I82)</f>
        <v/>
      </c>
      <c r="H83" s="123" t="str">
        <f>IF(Curs!J82&lt;&gt;"a","",Curs!J82)</f>
        <v/>
      </c>
      <c r="I83" s="123" t="str">
        <f>IF(Curs!K82&lt;&gt;"a","",Curs!K82)</f>
        <v/>
      </c>
      <c r="J83" s="123" t="str">
        <f>IF(Curs!L82&lt;&gt;"a","",Curs!L82)</f>
        <v/>
      </c>
      <c r="K83" s="123" t="str">
        <f>IF(Curs!M82&lt;&gt;"a","",Curs!M82)</f>
        <v/>
      </c>
      <c r="L83" s="123" t="str">
        <f>IF(Curs!N82&lt;&gt;"a","",Curs!N82)</f>
        <v/>
      </c>
      <c r="M83" s="123" t="str">
        <f>IF(Curs!O82&lt;&gt;"a","",Curs!O82)</f>
        <v/>
      </c>
      <c r="N83" s="123" t="str">
        <f>IF(Curs!P82&lt;&gt;"a","",Curs!P82)</f>
        <v/>
      </c>
      <c r="O83" s="123" t="str">
        <f>IF(Curs!Q82&lt;&gt;"a","",Curs!Q82)</f>
        <v/>
      </c>
      <c r="P83" s="123" t="str">
        <f>IF(Curs!R82&lt;&gt;"a","",Curs!R82)</f>
        <v/>
      </c>
      <c r="Q83" s="123" t="str">
        <f>IF(Curs!S82&lt;&gt;"a","",Curs!S82)</f>
        <v/>
      </c>
      <c r="R83" s="123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7"/>
      <c r="AG83" s="117"/>
      <c r="AH83" s="114"/>
    </row>
    <row r="84" spans="1:34" ht="19.95" customHeight="1" x14ac:dyDescent="0.3">
      <c r="A84" s="114" t="str">
        <f>Curs!B83</f>
        <v/>
      </c>
      <c r="B84" s="115" t="str">
        <f>IF(NOT(ISBLANK(Curs!C83)),Curs!C83,"")</f>
        <v/>
      </c>
      <c r="C84" s="123" t="str">
        <f>IF(Curs!E83&lt;&gt;"a","",Curs!E83)</f>
        <v/>
      </c>
      <c r="D84" s="123" t="str">
        <f>IF(Curs!F83&lt;&gt;"a","",Curs!F83)</f>
        <v/>
      </c>
      <c r="E84" s="123" t="str">
        <f>IF(Curs!G83&lt;&gt;"a","",Curs!G83)</f>
        <v/>
      </c>
      <c r="F84" s="123" t="str">
        <f>IF(Curs!H83&lt;&gt;"a","",Curs!H83)</f>
        <v/>
      </c>
      <c r="G84" s="123" t="str">
        <f>IF(Curs!I83&lt;&gt;"a","",Curs!I83)</f>
        <v/>
      </c>
      <c r="H84" s="123" t="str">
        <f>IF(Curs!J83&lt;&gt;"a","",Curs!J83)</f>
        <v/>
      </c>
      <c r="I84" s="123" t="str">
        <f>IF(Curs!K83&lt;&gt;"a","",Curs!K83)</f>
        <v/>
      </c>
      <c r="J84" s="123" t="str">
        <f>IF(Curs!L83&lt;&gt;"a","",Curs!L83)</f>
        <v/>
      </c>
      <c r="K84" s="123" t="str">
        <f>IF(Curs!M83&lt;&gt;"a","",Curs!M83)</f>
        <v/>
      </c>
      <c r="L84" s="123" t="str">
        <f>IF(Curs!N83&lt;&gt;"a","",Curs!N83)</f>
        <v/>
      </c>
      <c r="M84" s="123" t="str">
        <f>IF(Curs!O83&lt;&gt;"a","",Curs!O83)</f>
        <v/>
      </c>
      <c r="N84" s="123" t="str">
        <f>IF(Curs!P83&lt;&gt;"a","",Curs!P83)</f>
        <v/>
      </c>
      <c r="O84" s="123" t="str">
        <f>IF(Curs!Q83&lt;&gt;"a","",Curs!Q83)</f>
        <v/>
      </c>
      <c r="P84" s="123" t="str">
        <f>IF(Curs!R83&lt;&gt;"a","",Curs!R83)</f>
        <v/>
      </c>
      <c r="Q84" s="123" t="str">
        <f>IF(Curs!S83&lt;&gt;"a","",Curs!S83)</f>
        <v/>
      </c>
      <c r="R84" s="123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7"/>
      <c r="AG84" s="117"/>
      <c r="AH84" s="114"/>
    </row>
    <row r="85" spans="1:34" ht="19.95" customHeight="1" x14ac:dyDescent="0.3">
      <c r="A85" s="114" t="str">
        <f>Curs!B84</f>
        <v/>
      </c>
      <c r="B85" s="115" t="str">
        <f>IF(NOT(ISBLANK(Curs!C84)),Curs!C84,"")</f>
        <v/>
      </c>
      <c r="C85" s="123" t="str">
        <f>IF(Curs!E84&lt;&gt;"a","",Curs!E84)</f>
        <v/>
      </c>
      <c r="D85" s="123" t="str">
        <f>IF(Curs!F84&lt;&gt;"a","",Curs!F84)</f>
        <v/>
      </c>
      <c r="E85" s="123" t="str">
        <f>IF(Curs!G84&lt;&gt;"a","",Curs!G84)</f>
        <v/>
      </c>
      <c r="F85" s="123" t="str">
        <f>IF(Curs!H84&lt;&gt;"a","",Curs!H84)</f>
        <v/>
      </c>
      <c r="G85" s="123" t="str">
        <f>IF(Curs!I84&lt;&gt;"a","",Curs!I84)</f>
        <v/>
      </c>
      <c r="H85" s="123" t="str">
        <f>IF(Curs!J84&lt;&gt;"a","",Curs!J84)</f>
        <v/>
      </c>
      <c r="I85" s="123" t="str">
        <f>IF(Curs!K84&lt;&gt;"a","",Curs!K84)</f>
        <v/>
      </c>
      <c r="J85" s="123" t="str">
        <f>IF(Curs!L84&lt;&gt;"a","",Curs!L84)</f>
        <v/>
      </c>
      <c r="K85" s="123" t="str">
        <f>IF(Curs!M84&lt;&gt;"a","",Curs!M84)</f>
        <v/>
      </c>
      <c r="L85" s="123" t="str">
        <f>IF(Curs!N84&lt;&gt;"a","",Curs!N84)</f>
        <v/>
      </c>
      <c r="M85" s="123" t="str">
        <f>IF(Curs!O84&lt;&gt;"a","",Curs!O84)</f>
        <v/>
      </c>
      <c r="N85" s="123" t="str">
        <f>IF(Curs!P84&lt;&gt;"a","",Curs!P84)</f>
        <v/>
      </c>
      <c r="O85" s="123" t="str">
        <f>IF(Curs!Q84&lt;&gt;"a","",Curs!Q84)</f>
        <v/>
      </c>
      <c r="P85" s="123" t="str">
        <f>IF(Curs!R84&lt;&gt;"a","",Curs!R84)</f>
        <v/>
      </c>
      <c r="Q85" s="123" t="str">
        <f>IF(Curs!S84&lt;&gt;"a","",Curs!S84)</f>
        <v/>
      </c>
      <c r="R85" s="123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7"/>
      <c r="AG85" s="117"/>
      <c r="AH85" s="114"/>
    </row>
    <row r="86" spans="1:34" ht="19.95" customHeight="1" x14ac:dyDescent="0.3">
      <c r="A86" s="114" t="str">
        <f>Curs!B85</f>
        <v/>
      </c>
      <c r="B86" s="115" t="str">
        <f>IF(NOT(ISBLANK(Curs!C85)),Curs!C85,"")</f>
        <v/>
      </c>
      <c r="C86" s="123" t="str">
        <f>IF(Curs!E85&lt;&gt;"a","",Curs!E85)</f>
        <v/>
      </c>
      <c r="D86" s="123" t="str">
        <f>IF(Curs!F85&lt;&gt;"a","",Curs!F85)</f>
        <v/>
      </c>
      <c r="E86" s="123" t="str">
        <f>IF(Curs!G85&lt;&gt;"a","",Curs!G85)</f>
        <v/>
      </c>
      <c r="F86" s="123" t="str">
        <f>IF(Curs!H85&lt;&gt;"a","",Curs!H85)</f>
        <v/>
      </c>
      <c r="G86" s="123" t="str">
        <f>IF(Curs!I85&lt;&gt;"a","",Curs!I85)</f>
        <v/>
      </c>
      <c r="H86" s="123" t="str">
        <f>IF(Curs!J85&lt;&gt;"a","",Curs!J85)</f>
        <v/>
      </c>
      <c r="I86" s="123" t="str">
        <f>IF(Curs!K85&lt;&gt;"a","",Curs!K85)</f>
        <v/>
      </c>
      <c r="J86" s="123" t="str">
        <f>IF(Curs!L85&lt;&gt;"a","",Curs!L85)</f>
        <v/>
      </c>
      <c r="K86" s="123" t="str">
        <f>IF(Curs!M85&lt;&gt;"a","",Curs!M85)</f>
        <v/>
      </c>
      <c r="L86" s="123" t="str">
        <f>IF(Curs!N85&lt;&gt;"a","",Curs!N85)</f>
        <v/>
      </c>
      <c r="M86" s="123" t="str">
        <f>IF(Curs!O85&lt;&gt;"a","",Curs!O85)</f>
        <v/>
      </c>
      <c r="N86" s="123" t="str">
        <f>IF(Curs!P85&lt;&gt;"a","",Curs!P85)</f>
        <v/>
      </c>
      <c r="O86" s="123" t="str">
        <f>IF(Curs!Q85&lt;&gt;"a","",Curs!Q85)</f>
        <v/>
      </c>
      <c r="P86" s="123" t="str">
        <f>IF(Curs!R85&lt;&gt;"a","",Curs!R85)</f>
        <v/>
      </c>
      <c r="Q86" s="123" t="str">
        <f>IF(Curs!S85&lt;&gt;"a","",Curs!S85)</f>
        <v/>
      </c>
      <c r="R86" s="123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7"/>
      <c r="AG86" s="117"/>
      <c r="AH86" s="114"/>
    </row>
    <row r="87" spans="1:34" ht="19.95" customHeight="1" x14ac:dyDescent="0.3">
      <c r="A87" s="114" t="str">
        <f>Curs!B86</f>
        <v/>
      </c>
      <c r="B87" s="115" t="str">
        <f>IF(NOT(ISBLANK(Curs!C86)),Curs!C86,"")</f>
        <v/>
      </c>
      <c r="C87" s="123" t="str">
        <f>IF(Curs!E86&lt;&gt;"a","",Curs!E86)</f>
        <v/>
      </c>
      <c r="D87" s="123" t="str">
        <f>IF(Curs!F86&lt;&gt;"a","",Curs!F86)</f>
        <v/>
      </c>
      <c r="E87" s="123" t="str">
        <f>IF(Curs!G86&lt;&gt;"a","",Curs!G86)</f>
        <v/>
      </c>
      <c r="F87" s="123" t="str">
        <f>IF(Curs!H86&lt;&gt;"a","",Curs!H86)</f>
        <v/>
      </c>
      <c r="G87" s="123" t="str">
        <f>IF(Curs!I86&lt;&gt;"a","",Curs!I86)</f>
        <v/>
      </c>
      <c r="H87" s="123" t="str">
        <f>IF(Curs!J86&lt;&gt;"a","",Curs!J86)</f>
        <v/>
      </c>
      <c r="I87" s="123" t="str">
        <f>IF(Curs!K86&lt;&gt;"a","",Curs!K86)</f>
        <v/>
      </c>
      <c r="J87" s="123" t="str">
        <f>IF(Curs!L86&lt;&gt;"a","",Curs!L86)</f>
        <v/>
      </c>
      <c r="K87" s="123" t="str">
        <f>IF(Curs!M86&lt;&gt;"a","",Curs!M86)</f>
        <v/>
      </c>
      <c r="L87" s="123" t="str">
        <f>IF(Curs!N86&lt;&gt;"a","",Curs!N86)</f>
        <v/>
      </c>
      <c r="M87" s="123" t="str">
        <f>IF(Curs!O86&lt;&gt;"a","",Curs!O86)</f>
        <v/>
      </c>
      <c r="N87" s="123" t="str">
        <f>IF(Curs!P86&lt;&gt;"a","",Curs!P86)</f>
        <v/>
      </c>
      <c r="O87" s="123" t="str">
        <f>IF(Curs!Q86&lt;&gt;"a","",Curs!Q86)</f>
        <v/>
      </c>
      <c r="P87" s="123" t="str">
        <f>IF(Curs!R86&lt;&gt;"a","",Curs!R86)</f>
        <v/>
      </c>
      <c r="Q87" s="123" t="str">
        <f>IF(Curs!S86&lt;&gt;"a","",Curs!S86)</f>
        <v/>
      </c>
      <c r="R87" s="123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7"/>
      <c r="AG87" s="117"/>
      <c r="AH87" s="114"/>
    </row>
    <row r="88" spans="1:34" ht="19.95" customHeight="1" x14ac:dyDescent="0.3">
      <c r="A88" s="114" t="str">
        <f>Curs!B87</f>
        <v/>
      </c>
      <c r="B88" s="115" t="str">
        <f>IF(NOT(ISBLANK(Curs!C87)),Curs!C87,"")</f>
        <v/>
      </c>
      <c r="C88" s="123" t="str">
        <f>IF(Curs!E87&lt;&gt;"a","",Curs!E87)</f>
        <v/>
      </c>
      <c r="D88" s="123" t="str">
        <f>IF(Curs!F87&lt;&gt;"a","",Curs!F87)</f>
        <v/>
      </c>
      <c r="E88" s="123" t="str">
        <f>IF(Curs!G87&lt;&gt;"a","",Curs!G87)</f>
        <v/>
      </c>
      <c r="F88" s="123" t="str">
        <f>IF(Curs!H87&lt;&gt;"a","",Curs!H87)</f>
        <v/>
      </c>
      <c r="G88" s="123" t="str">
        <f>IF(Curs!I87&lt;&gt;"a","",Curs!I87)</f>
        <v/>
      </c>
      <c r="H88" s="123" t="str">
        <f>IF(Curs!J87&lt;&gt;"a","",Curs!J87)</f>
        <v/>
      </c>
      <c r="I88" s="123" t="str">
        <f>IF(Curs!K87&lt;&gt;"a","",Curs!K87)</f>
        <v/>
      </c>
      <c r="J88" s="123" t="str">
        <f>IF(Curs!L87&lt;&gt;"a","",Curs!L87)</f>
        <v/>
      </c>
      <c r="K88" s="123" t="str">
        <f>IF(Curs!M87&lt;&gt;"a","",Curs!M87)</f>
        <v/>
      </c>
      <c r="L88" s="123" t="str">
        <f>IF(Curs!N87&lt;&gt;"a","",Curs!N87)</f>
        <v/>
      </c>
      <c r="M88" s="123" t="str">
        <f>IF(Curs!O87&lt;&gt;"a","",Curs!O87)</f>
        <v/>
      </c>
      <c r="N88" s="123" t="str">
        <f>IF(Curs!P87&lt;&gt;"a","",Curs!P87)</f>
        <v/>
      </c>
      <c r="O88" s="123" t="str">
        <f>IF(Curs!Q87&lt;&gt;"a","",Curs!Q87)</f>
        <v/>
      </c>
      <c r="P88" s="123" t="str">
        <f>IF(Curs!R87&lt;&gt;"a","",Curs!R87)</f>
        <v/>
      </c>
      <c r="Q88" s="123" t="str">
        <f>IF(Curs!S87&lt;&gt;"a","",Curs!S87)</f>
        <v/>
      </c>
      <c r="R88" s="123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7"/>
      <c r="AG88" s="117"/>
      <c r="AH88" s="114"/>
    </row>
    <row r="89" spans="1:34" ht="19.95" customHeight="1" x14ac:dyDescent="0.3">
      <c r="A89" s="114" t="str">
        <f>Curs!B88</f>
        <v/>
      </c>
      <c r="B89" s="115" t="str">
        <f>IF(NOT(ISBLANK(Curs!C88)),Curs!C88,"")</f>
        <v/>
      </c>
      <c r="C89" s="123" t="str">
        <f>IF(Curs!E88&lt;&gt;"a","",Curs!E88)</f>
        <v/>
      </c>
      <c r="D89" s="123" t="str">
        <f>IF(Curs!F88&lt;&gt;"a","",Curs!F88)</f>
        <v/>
      </c>
      <c r="E89" s="123" t="str">
        <f>IF(Curs!G88&lt;&gt;"a","",Curs!G88)</f>
        <v/>
      </c>
      <c r="F89" s="123" t="str">
        <f>IF(Curs!H88&lt;&gt;"a","",Curs!H88)</f>
        <v/>
      </c>
      <c r="G89" s="123" t="str">
        <f>IF(Curs!I88&lt;&gt;"a","",Curs!I88)</f>
        <v/>
      </c>
      <c r="H89" s="123" t="str">
        <f>IF(Curs!J88&lt;&gt;"a","",Curs!J88)</f>
        <v/>
      </c>
      <c r="I89" s="123" t="str">
        <f>IF(Curs!K88&lt;&gt;"a","",Curs!K88)</f>
        <v/>
      </c>
      <c r="J89" s="123" t="str">
        <f>IF(Curs!L88&lt;&gt;"a","",Curs!L88)</f>
        <v/>
      </c>
      <c r="K89" s="123" t="str">
        <f>IF(Curs!M88&lt;&gt;"a","",Curs!M88)</f>
        <v/>
      </c>
      <c r="L89" s="123" t="str">
        <f>IF(Curs!N88&lt;&gt;"a","",Curs!N88)</f>
        <v/>
      </c>
      <c r="M89" s="123" t="str">
        <f>IF(Curs!O88&lt;&gt;"a","",Curs!O88)</f>
        <v/>
      </c>
      <c r="N89" s="123" t="str">
        <f>IF(Curs!P88&lt;&gt;"a","",Curs!P88)</f>
        <v/>
      </c>
      <c r="O89" s="123" t="str">
        <f>IF(Curs!Q88&lt;&gt;"a","",Curs!Q88)</f>
        <v/>
      </c>
      <c r="P89" s="123" t="str">
        <f>IF(Curs!R88&lt;&gt;"a","",Curs!R88)</f>
        <v/>
      </c>
      <c r="Q89" s="123" t="str">
        <f>IF(Curs!S88&lt;&gt;"a","",Curs!S88)</f>
        <v/>
      </c>
      <c r="R89" s="123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7"/>
      <c r="AG89" s="117"/>
      <c r="AH89" s="114"/>
    </row>
    <row r="90" spans="1:34" ht="19.95" customHeight="1" x14ac:dyDescent="0.3">
      <c r="A90" s="114" t="str">
        <f>Curs!B89</f>
        <v/>
      </c>
      <c r="B90" s="115" t="str">
        <f>IF(NOT(ISBLANK(Curs!C89)),Curs!C89,"")</f>
        <v/>
      </c>
      <c r="C90" s="123" t="str">
        <f>IF(Curs!E89&lt;&gt;"a","",Curs!E89)</f>
        <v/>
      </c>
      <c r="D90" s="123" t="str">
        <f>IF(Curs!F89&lt;&gt;"a","",Curs!F89)</f>
        <v/>
      </c>
      <c r="E90" s="123" t="str">
        <f>IF(Curs!G89&lt;&gt;"a","",Curs!G89)</f>
        <v/>
      </c>
      <c r="F90" s="123" t="str">
        <f>IF(Curs!H89&lt;&gt;"a","",Curs!H89)</f>
        <v/>
      </c>
      <c r="G90" s="123" t="str">
        <f>IF(Curs!I89&lt;&gt;"a","",Curs!I89)</f>
        <v/>
      </c>
      <c r="H90" s="123" t="str">
        <f>IF(Curs!J89&lt;&gt;"a","",Curs!J89)</f>
        <v/>
      </c>
      <c r="I90" s="123" t="str">
        <f>IF(Curs!K89&lt;&gt;"a","",Curs!K89)</f>
        <v/>
      </c>
      <c r="J90" s="123" t="str">
        <f>IF(Curs!L89&lt;&gt;"a","",Curs!L89)</f>
        <v/>
      </c>
      <c r="K90" s="123" t="str">
        <f>IF(Curs!M89&lt;&gt;"a","",Curs!M89)</f>
        <v/>
      </c>
      <c r="L90" s="123" t="str">
        <f>IF(Curs!N89&lt;&gt;"a","",Curs!N89)</f>
        <v/>
      </c>
      <c r="M90" s="123" t="str">
        <f>IF(Curs!O89&lt;&gt;"a","",Curs!O89)</f>
        <v/>
      </c>
      <c r="N90" s="123" t="str">
        <f>IF(Curs!P89&lt;&gt;"a","",Curs!P89)</f>
        <v/>
      </c>
      <c r="O90" s="123" t="str">
        <f>IF(Curs!Q89&lt;&gt;"a","",Curs!Q89)</f>
        <v/>
      </c>
      <c r="P90" s="123" t="str">
        <f>IF(Curs!R89&lt;&gt;"a","",Curs!R89)</f>
        <v/>
      </c>
      <c r="Q90" s="123" t="str">
        <f>IF(Curs!S89&lt;&gt;"a","",Curs!S89)</f>
        <v/>
      </c>
      <c r="R90" s="123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7"/>
      <c r="AG90" s="117"/>
      <c r="AH90" s="114"/>
    </row>
    <row r="91" spans="1:34" ht="19.95" customHeight="1" x14ac:dyDescent="0.3">
      <c r="A91" s="114" t="str">
        <f>Curs!B90</f>
        <v/>
      </c>
      <c r="B91" s="115" t="str">
        <f>IF(NOT(ISBLANK(Curs!C90)),Curs!C90,"")</f>
        <v/>
      </c>
      <c r="C91" s="123" t="str">
        <f>IF(Curs!E90&lt;&gt;"a","",Curs!E90)</f>
        <v/>
      </c>
      <c r="D91" s="123" t="str">
        <f>IF(Curs!F90&lt;&gt;"a","",Curs!F90)</f>
        <v/>
      </c>
      <c r="E91" s="123" t="str">
        <f>IF(Curs!G90&lt;&gt;"a","",Curs!G90)</f>
        <v/>
      </c>
      <c r="F91" s="123" t="str">
        <f>IF(Curs!H90&lt;&gt;"a","",Curs!H90)</f>
        <v/>
      </c>
      <c r="G91" s="123" t="str">
        <f>IF(Curs!I90&lt;&gt;"a","",Curs!I90)</f>
        <v/>
      </c>
      <c r="H91" s="123" t="str">
        <f>IF(Curs!J90&lt;&gt;"a","",Curs!J90)</f>
        <v/>
      </c>
      <c r="I91" s="123" t="str">
        <f>IF(Curs!K90&lt;&gt;"a","",Curs!K90)</f>
        <v/>
      </c>
      <c r="J91" s="123" t="str">
        <f>IF(Curs!L90&lt;&gt;"a","",Curs!L90)</f>
        <v/>
      </c>
      <c r="K91" s="123" t="str">
        <f>IF(Curs!M90&lt;&gt;"a","",Curs!M90)</f>
        <v/>
      </c>
      <c r="L91" s="123" t="str">
        <f>IF(Curs!N90&lt;&gt;"a","",Curs!N90)</f>
        <v/>
      </c>
      <c r="M91" s="123" t="str">
        <f>IF(Curs!O90&lt;&gt;"a","",Curs!O90)</f>
        <v/>
      </c>
      <c r="N91" s="123" t="str">
        <f>IF(Curs!P90&lt;&gt;"a","",Curs!P90)</f>
        <v/>
      </c>
      <c r="O91" s="123" t="str">
        <f>IF(Curs!Q90&lt;&gt;"a","",Curs!Q90)</f>
        <v/>
      </c>
      <c r="P91" s="123" t="str">
        <f>IF(Curs!R90&lt;&gt;"a","",Curs!R90)</f>
        <v/>
      </c>
      <c r="Q91" s="123" t="str">
        <f>IF(Curs!S90&lt;&gt;"a","",Curs!S90)</f>
        <v/>
      </c>
      <c r="R91" s="123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7"/>
      <c r="AG91" s="117"/>
      <c r="AH91" s="114"/>
    </row>
    <row r="92" spans="1:34" ht="19.95" customHeight="1" x14ac:dyDescent="0.3">
      <c r="A92" s="114" t="str">
        <f>Curs!B91</f>
        <v/>
      </c>
      <c r="B92" s="115" t="str">
        <f>IF(NOT(ISBLANK(Curs!C91)),Curs!C91,"")</f>
        <v/>
      </c>
      <c r="C92" s="123" t="str">
        <f>IF(Curs!E91&lt;&gt;"a","",Curs!E91)</f>
        <v/>
      </c>
      <c r="D92" s="123" t="str">
        <f>IF(Curs!F91&lt;&gt;"a","",Curs!F91)</f>
        <v/>
      </c>
      <c r="E92" s="123" t="str">
        <f>IF(Curs!G91&lt;&gt;"a","",Curs!G91)</f>
        <v/>
      </c>
      <c r="F92" s="123" t="str">
        <f>IF(Curs!H91&lt;&gt;"a","",Curs!H91)</f>
        <v/>
      </c>
      <c r="G92" s="123" t="str">
        <f>IF(Curs!I91&lt;&gt;"a","",Curs!I91)</f>
        <v/>
      </c>
      <c r="H92" s="123" t="str">
        <f>IF(Curs!J91&lt;&gt;"a","",Curs!J91)</f>
        <v/>
      </c>
      <c r="I92" s="123" t="str">
        <f>IF(Curs!K91&lt;&gt;"a","",Curs!K91)</f>
        <v/>
      </c>
      <c r="J92" s="123" t="str">
        <f>IF(Curs!L91&lt;&gt;"a","",Curs!L91)</f>
        <v/>
      </c>
      <c r="K92" s="123" t="str">
        <f>IF(Curs!M91&lt;&gt;"a","",Curs!M91)</f>
        <v/>
      </c>
      <c r="L92" s="123" t="str">
        <f>IF(Curs!N91&lt;&gt;"a","",Curs!N91)</f>
        <v/>
      </c>
      <c r="M92" s="123" t="str">
        <f>IF(Curs!O91&lt;&gt;"a","",Curs!O91)</f>
        <v/>
      </c>
      <c r="N92" s="123" t="str">
        <f>IF(Curs!P91&lt;&gt;"a","",Curs!P91)</f>
        <v/>
      </c>
      <c r="O92" s="123" t="str">
        <f>IF(Curs!Q91&lt;&gt;"a","",Curs!Q91)</f>
        <v/>
      </c>
      <c r="P92" s="123" t="str">
        <f>IF(Curs!R91&lt;&gt;"a","",Curs!R91)</f>
        <v/>
      </c>
      <c r="Q92" s="123" t="str">
        <f>IF(Curs!S91&lt;&gt;"a","",Curs!S91)</f>
        <v/>
      </c>
      <c r="R92" s="123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7"/>
      <c r="AG92" s="117"/>
      <c r="AH92" s="114"/>
    </row>
    <row r="93" spans="1:34" ht="19.95" customHeight="1" x14ac:dyDescent="0.3">
      <c r="A93" s="114" t="str">
        <f>Curs!B92</f>
        <v/>
      </c>
      <c r="B93" s="115" t="str">
        <f>IF(NOT(ISBLANK(Curs!C92)),Curs!C92,"")</f>
        <v/>
      </c>
      <c r="C93" s="123" t="str">
        <f>IF(Curs!E92&lt;&gt;"a","",Curs!E92)</f>
        <v/>
      </c>
      <c r="D93" s="123" t="str">
        <f>IF(Curs!F92&lt;&gt;"a","",Curs!F92)</f>
        <v/>
      </c>
      <c r="E93" s="123" t="str">
        <f>IF(Curs!G92&lt;&gt;"a","",Curs!G92)</f>
        <v/>
      </c>
      <c r="F93" s="123" t="str">
        <f>IF(Curs!H92&lt;&gt;"a","",Curs!H92)</f>
        <v/>
      </c>
      <c r="G93" s="123" t="str">
        <f>IF(Curs!I92&lt;&gt;"a","",Curs!I92)</f>
        <v/>
      </c>
      <c r="H93" s="123" t="str">
        <f>IF(Curs!J92&lt;&gt;"a","",Curs!J92)</f>
        <v/>
      </c>
      <c r="I93" s="123" t="str">
        <f>IF(Curs!K92&lt;&gt;"a","",Curs!K92)</f>
        <v/>
      </c>
      <c r="J93" s="123" t="str">
        <f>IF(Curs!L92&lt;&gt;"a","",Curs!L92)</f>
        <v/>
      </c>
      <c r="K93" s="123" t="str">
        <f>IF(Curs!M92&lt;&gt;"a","",Curs!M92)</f>
        <v/>
      </c>
      <c r="L93" s="123" t="str">
        <f>IF(Curs!N92&lt;&gt;"a","",Curs!N92)</f>
        <v/>
      </c>
      <c r="M93" s="123" t="str">
        <f>IF(Curs!O92&lt;&gt;"a","",Curs!O92)</f>
        <v/>
      </c>
      <c r="N93" s="123" t="str">
        <f>IF(Curs!P92&lt;&gt;"a","",Curs!P92)</f>
        <v/>
      </c>
      <c r="O93" s="123" t="str">
        <f>IF(Curs!Q92&lt;&gt;"a","",Curs!Q92)</f>
        <v/>
      </c>
      <c r="P93" s="123" t="str">
        <f>IF(Curs!R92&lt;&gt;"a","",Curs!R92)</f>
        <v/>
      </c>
      <c r="Q93" s="123" t="str">
        <f>IF(Curs!S92&lt;&gt;"a","",Curs!S92)</f>
        <v/>
      </c>
      <c r="R93" s="123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7"/>
      <c r="AG93" s="117"/>
      <c r="AH93" s="114"/>
    </row>
    <row r="94" spans="1:34" ht="19.95" customHeight="1" x14ac:dyDescent="0.3">
      <c r="A94" s="114" t="str">
        <f>Curs!B93</f>
        <v/>
      </c>
      <c r="B94" s="115" t="str">
        <f>IF(NOT(ISBLANK(Curs!C93)),Curs!C93,"")</f>
        <v/>
      </c>
      <c r="C94" s="123" t="str">
        <f>IF(Curs!E93&lt;&gt;"a","",Curs!E93)</f>
        <v/>
      </c>
      <c r="D94" s="123" t="str">
        <f>IF(Curs!F93&lt;&gt;"a","",Curs!F93)</f>
        <v/>
      </c>
      <c r="E94" s="123" t="str">
        <f>IF(Curs!G93&lt;&gt;"a","",Curs!G93)</f>
        <v/>
      </c>
      <c r="F94" s="123" t="str">
        <f>IF(Curs!H93&lt;&gt;"a","",Curs!H93)</f>
        <v/>
      </c>
      <c r="G94" s="123" t="str">
        <f>IF(Curs!I93&lt;&gt;"a","",Curs!I93)</f>
        <v/>
      </c>
      <c r="H94" s="123" t="str">
        <f>IF(Curs!J93&lt;&gt;"a","",Curs!J93)</f>
        <v/>
      </c>
      <c r="I94" s="123" t="str">
        <f>IF(Curs!K93&lt;&gt;"a","",Curs!K93)</f>
        <v/>
      </c>
      <c r="J94" s="123" t="str">
        <f>IF(Curs!L93&lt;&gt;"a","",Curs!L93)</f>
        <v/>
      </c>
      <c r="K94" s="123" t="str">
        <f>IF(Curs!M93&lt;&gt;"a","",Curs!M93)</f>
        <v/>
      </c>
      <c r="L94" s="123" t="str">
        <f>IF(Curs!N93&lt;&gt;"a","",Curs!N93)</f>
        <v/>
      </c>
      <c r="M94" s="123" t="str">
        <f>IF(Curs!O93&lt;&gt;"a","",Curs!O93)</f>
        <v/>
      </c>
      <c r="N94" s="123" t="str">
        <f>IF(Curs!P93&lt;&gt;"a","",Curs!P93)</f>
        <v/>
      </c>
      <c r="O94" s="123" t="str">
        <f>IF(Curs!Q93&lt;&gt;"a","",Curs!Q93)</f>
        <v/>
      </c>
      <c r="P94" s="123" t="str">
        <f>IF(Curs!R93&lt;&gt;"a","",Curs!R93)</f>
        <v/>
      </c>
      <c r="Q94" s="123" t="str">
        <f>IF(Curs!S93&lt;&gt;"a","",Curs!S93)</f>
        <v/>
      </c>
      <c r="R94" s="123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7"/>
      <c r="AG94" s="117"/>
      <c r="AH94" s="114"/>
    </row>
    <row r="95" spans="1:34" ht="19.95" customHeight="1" x14ac:dyDescent="0.3">
      <c r="A95" s="114" t="str">
        <f>Curs!B94</f>
        <v/>
      </c>
      <c r="B95" s="115" t="str">
        <f>IF(NOT(ISBLANK(Curs!C94)),Curs!C94,"")</f>
        <v/>
      </c>
      <c r="C95" s="123" t="str">
        <f>IF(Curs!E94&lt;&gt;"a","",Curs!E94)</f>
        <v/>
      </c>
      <c r="D95" s="123" t="str">
        <f>IF(Curs!F94&lt;&gt;"a","",Curs!F94)</f>
        <v/>
      </c>
      <c r="E95" s="123" t="str">
        <f>IF(Curs!G94&lt;&gt;"a","",Curs!G94)</f>
        <v/>
      </c>
      <c r="F95" s="123" t="str">
        <f>IF(Curs!H94&lt;&gt;"a","",Curs!H94)</f>
        <v/>
      </c>
      <c r="G95" s="123" t="str">
        <f>IF(Curs!I94&lt;&gt;"a","",Curs!I94)</f>
        <v/>
      </c>
      <c r="H95" s="123" t="str">
        <f>IF(Curs!J94&lt;&gt;"a","",Curs!J94)</f>
        <v/>
      </c>
      <c r="I95" s="123" t="str">
        <f>IF(Curs!K94&lt;&gt;"a","",Curs!K94)</f>
        <v/>
      </c>
      <c r="J95" s="123" t="str">
        <f>IF(Curs!L94&lt;&gt;"a","",Curs!L94)</f>
        <v/>
      </c>
      <c r="K95" s="123" t="str">
        <f>IF(Curs!M94&lt;&gt;"a","",Curs!M94)</f>
        <v/>
      </c>
      <c r="L95" s="123" t="str">
        <f>IF(Curs!N94&lt;&gt;"a","",Curs!N94)</f>
        <v/>
      </c>
      <c r="M95" s="123" t="str">
        <f>IF(Curs!O94&lt;&gt;"a","",Curs!O94)</f>
        <v/>
      </c>
      <c r="N95" s="123" t="str">
        <f>IF(Curs!P94&lt;&gt;"a","",Curs!P94)</f>
        <v/>
      </c>
      <c r="O95" s="123" t="str">
        <f>IF(Curs!Q94&lt;&gt;"a","",Curs!Q94)</f>
        <v/>
      </c>
      <c r="P95" s="123" t="str">
        <f>IF(Curs!R94&lt;&gt;"a","",Curs!R94)</f>
        <v/>
      </c>
      <c r="Q95" s="123" t="str">
        <f>IF(Curs!S94&lt;&gt;"a","",Curs!S94)</f>
        <v/>
      </c>
      <c r="R95" s="123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7"/>
      <c r="AG95" s="117"/>
      <c r="AH95" s="114"/>
    </row>
    <row r="96" spans="1:34" ht="19.95" customHeight="1" x14ac:dyDescent="0.3">
      <c r="A96" s="114" t="str">
        <f>Curs!B95</f>
        <v/>
      </c>
      <c r="B96" s="115" t="str">
        <f>IF(NOT(ISBLANK(Curs!C95)),Curs!C95,"")</f>
        <v/>
      </c>
      <c r="C96" s="123" t="str">
        <f>IF(Curs!E95&lt;&gt;"a","",Curs!E95)</f>
        <v/>
      </c>
      <c r="D96" s="123" t="str">
        <f>IF(Curs!F95&lt;&gt;"a","",Curs!F95)</f>
        <v/>
      </c>
      <c r="E96" s="123" t="str">
        <f>IF(Curs!G95&lt;&gt;"a","",Curs!G95)</f>
        <v/>
      </c>
      <c r="F96" s="123" t="str">
        <f>IF(Curs!H95&lt;&gt;"a","",Curs!H95)</f>
        <v/>
      </c>
      <c r="G96" s="123" t="str">
        <f>IF(Curs!I95&lt;&gt;"a","",Curs!I95)</f>
        <v/>
      </c>
      <c r="H96" s="123" t="str">
        <f>IF(Curs!J95&lt;&gt;"a","",Curs!J95)</f>
        <v/>
      </c>
      <c r="I96" s="123" t="str">
        <f>IF(Curs!K95&lt;&gt;"a","",Curs!K95)</f>
        <v/>
      </c>
      <c r="J96" s="123" t="str">
        <f>IF(Curs!L95&lt;&gt;"a","",Curs!L95)</f>
        <v/>
      </c>
      <c r="K96" s="123" t="str">
        <f>IF(Curs!M95&lt;&gt;"a","",Curs!M95)</f>
        <v/>
      </c>
      <c r="L96" s="123" t="str">
        <f>IF(Curs!N95&lt;&gt;"a","",Curs!N95)</f>
        <v/>
      </c>
      <c r="M96" s="123" t="str">
        <f>IF(Curs!O95&lt;&gt;"a","",Curs!O95)</f>
        <v/>
      </c>
      <c r="N96" s="123" t="str">
        <f>IF(Curs!P95&lt;&gt;"a","",Curs!P95)</f>
        <v/>
      </c>
      <c r="O96" s="123" t="str">
        <f>IF(Curs!Q95&lt;&gt;"a","",Curs!Q95)</f>
        <v/>
      </c>
      <c r="P96" s="123" t="str">
        <f>IF(Curs!R95&lt;&gt;"a","",Curs!R95)</f>
        <v/>
      </c>
      <c r="Q96" s="123" t="str">
        <f>IF(Curs!S95&lt;&gt;"a","",Curs!S95)</f>
        <v/>
      </c>
      <c r="R96" s="123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7"/>
      <c r="AG96" s="117"/>
      <c r="AH96" s="114"/>
    </row>
    <row r="97" spans="1:34" ht="19.95" customHeight="1" x14ac:dyDescent="0.3">
      <c r="A97" s="114" t="str">
        <f>Curs!B96</f>
        <v/>
      </c>
      <c r="B97" s="115" t="str">
        <f>IF(NOT(ISBLANK(Curs!C96)),Curs!C96,"")</f>
        <v/>
      </c>
      <c r="C97" s="123" t="str">
        <f>IF(Curs!E96&lt;&gt;"a","",Curs!E96)</f>
        <v/>
      </c>
      <c r="D97" s="123" t="str">
        <f>IF(Curs!F96&lt;&gt;"a","",Curs!F96)</f>
        <v/>
      </c>
      <c r="E97" s="123" t="str">
        <f>IF(Curs!G96&lt;&gt;"a","",Curs!G96)</f>
        <v/>
      </c>
      <c r="F97" s="123" t="str">
        <f>IF(Curs!H96&lt;&gt;"a","",Curs!H96)</f>
        <v/>
      </c>
      <c r="G97" s="123" t="str">
        <f>IF(Curs!I96&lt;&gt;"a","",Curs!I96)</f>
        <v/>
      </c>
      <c r="H97" s="123" t="str">
        <f>IF(Curs!J96&lt;&gt;"a","",Curs!J96)</f>
        <v/>
      </c>
      <c r="I97" s="123" t="str">
        <f>IF(Curs!K96&lt;&gt;"a","",Curs!K96)</f>
        <v/>
      </c>
      <c r="J97" s="123" t="str">
        <f>IF(Curs!L96&lt;&gt;"a","",Curs!L96)</f>
        <v/>
      </c>
      <c r="K97" s="123" t="str">
        <f>IF(Curs!M96&lt;&gt;"a","",Curs!M96)</f>
        <v/>
      </c>
      <c r="L97" s="123" t="str">
        <f>IF(Curs!N96&lt;&gt;"a","",Curs!N96)</f>
        <v/>
      </c>
      <c r="M97" s="123" t="str">
        <f>IF(Curs!O96&lt;&gt;"a","",Curs!O96)</f>
        <v/>
      </c>
      <c r="N97" s="123" t="str">
        <f>IF(Curs!P96&lt;&gt;"a","",Curs!P96)</f>
        <v/>
      </c>
      <c r="O97" s="123" t="str">
        <f>IF(Curs!Q96&lt;&gt;"a","",Curs!Q96)</f>
        <v/>
      </c>
      <c r="P97" s="123" t="str">
        <f>IF(Curs!R96&lt;&gt;"a","",Curs!R96)</f>
        <v/>
      </c>
      <c r="Q97" s="123" t="str">
        <f>IF(Curs!S96&lt;&gt;"a","",Curs!S96)</f>
        <v/>
      </c>
      <c r="R97" s="123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7"/>
      <c r="AG97" s="117"/>
      <c r="AH97" s="114"/>
    </row>
    <row r="98" spans="1:34" ht="19.95" customHeight="1" x14ac:dyDescent="0.3">
      <c r="A98" s="114" t="str">
        <f>Curs!B97</f>
        <v/>
      </c>
      <c r="B98" s="115" t="str">
        <f>IF(NOT(ISBLANK(Curs!C97)),Curs!C97,"")</f>
        <v/>
      </c>
      <c r="C98" s="123" t="str">
        <f>IF(Curs!E97&lt;&gt;"a","",Curs!E97)</f>
        <v/>
      </c>
      <c r="D98" s="123" t="str">
        <f>IF(Curs!F97&lt;&gt;"a","",Curs!F97)</f>
        <v/>
      </c>
      <c r="E98" s="123" t="str">
        <f>IF(Curs!G97&lt;&gt;"a","",Curs!G97)</f>
        <v/>
      </c>
      <c r="F98" s="123" t="str">
        <f>IF(Curs!H97&lt;&gt;"a","",Curs!H97)</f>
        <v/>
      </c>
      <c r="G98" s="123" t="str">
        <f>IF(Curs!I97&lt;&gt;"a","",Curs!I97)</f>
        <v/>
      </c>
      <c r="H98" s="123" t="str">
        <f>IF(Curs!J97&lt;&gt;"a","",Curs!J97)</f>
        <v/>
      </c>
      <c r="I98" s="123" t="str">
        <f>IF(Curs!K97&lt;&gt;"a","",Curs!K97)</f>
        <v/>
      </c>
      <c r="J98" s="123" t="str">
        <f>IF(Curs!L97&lt;&gt;"a","",Curs!L97)</f>
        <v/>
      </c>
      <c r="K98" s="123" t="str">
        <f>IF(Curs!M97&lt;&gt;"a","",Curs!M97)</f>
        <v/>
      </c>
      <c r="L98" s="123" t="str">
        <f>IF(Curs!N97&lt;&gt;"a","",Curs!N97)</f>
        <v/>
      </c>
      <c r="M98" s="123" t="str">
        <f>IF(Curs!O97&lt;&gt;"a","",Curs!O97)</f>
        <v/>
      </c>
      <c r="N98" s="123" t="str">
        <f>IF(Curs!P97&lt;&gt;"a","",Curs!P97)</f>
        <v/>
      </c>
      <c r="O98" s="123" t="str">
        <f>IF(Curs!Q97&lt;&gt;"a","",Curs!Q97)</f>
        <v/>
      </c>
      <c r="P98" s="123" t="str">
        <f>IF(Curs!R97&lt;&gt;"a","",Curs!R97)</f>
        <v/>
      </c>
      <c r="Q98" s="123" t="str">
        <f>IF(Curs!S97&lt;&gt;"a","",Curs!S97)</f>
        <v/>
      </c>
      <c r="R98" s="123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7"/>
      <c r="AG98" s="117"/>
      <c r="AH98" s="114"/>
    </row>
    <row r="99" spans="1:34" ht="19.95" customHeight="1" x14ac:dyDescent="0.3">
      <c r="A99" s="114" t="str">
        <f>Curs!B98</f>
        <v/>
      </c>
      <c r="B99" s="115" t="str">
        <f>IF(NOT(ISBLANK(Curs!C98)),Curs!C98,"")</f>
        <v/>
      </c>
      <c r="C99" s="123" t="str">
        <f>IF(Curs!E98&lt;&gt;"a","",Curs!E98)</f>
        <v/>
      </c>
      <c r="D99" s="123" t="str">
        <f>IF(Curs!F98&lt;&gt;"a","",Curs!F98)</f>
        <v/>
      </c>
      <c r="E99" s="123" t="str">
        <f>IF(Curs!G98&lt;&gt;"a","",Curs!G98)</f>
        <v/>
      </c>
      <c r="F99" s="123" t="str">
        <f>IF(Curs!H98&lt;&gt;"a","",Curs!H98)</f>
        <v/>
      </c>
      <c r="G99" s="123" t="str">
        <f>IF(Curs!I98&lt;&gt;"a","",Curs!I98)</f>
        <v/>
      </c>
      <c r="H99" s="123" t="str">
        <f>IF(Curs!J98&lt;&gt;"a","",Curs!J98)</f>
        <v/>
      </c>
      <c r="I99" s="123" t="str">
        <f>IF(Curs!K98&lt;&gt;"a","",Curs!K98)</f>
        <v/>
      </c>
      <c r="J99" s="123" t="str">
        <f>IF(Curs!L98&lt;&gt;"a","",Curs!L98)</f>
        <v/>
      </c>
      <c r="K99" s="123" t="str">
        <f>IF(Curs!M98&lt;&gt;"a","",Curs!M98)</f>
        <v/>
      </c>
      <c r="L99" s="123" t="str">
        <f>IF(Curs!N98&lt;&gt;"a","",Curs!N98)</f>
        <v/>
      </c>
      <c r="M99" s="123" t="str">
        <f>IF(Curs!O98&lt;&gt;"a","",Curs!O98)</f>
        <v/>
      </c>
      <c r="N99" s="123" t="str">
        <f>IF(Curs!P98&lt;&gt;"a","",Curs!P98)</f>
        <v/>
      </c>
      <c r="O99" s="123" t="str">
        <f>IF(Curs!Q98&lt;&gt;"a","",Curs!Q98)</f>
        <v/>
      </c>
      <c r="P99" s="123" t="str">
        <f>IF(Curs!R98&lt;&gt;"a","",Curs!R98)</f>
        <v/>
      </c>
      <c r="Q99" s="123" t="str">
        <f>IF(Curs!S98&lt;&gt;"a","",Curs!S98)</f>
        <v/>
      </c>
      <c r="R99" s="123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7"/>
      <c r="AG99" s="117"/>
      <c r="AH99" s="114"/>
    </row>
    <row r="100" spans="1:34" ht="19.95" customHeight="1" x14ac:dyDescent="0.3">
      <c r="A100" s="114" t="str">
        <f>Curs!B99</f>
        <v/>
      </c>
      <c r="B100" s="115" t="str">
        <f>IF(NOT(ISBLANK(Curs!C99)),Curs!C99,"")</f>
        <v/>
      </c>
      <c r="C100" s="123" t="str">
        <f>IF(Curs!E99&lt;&gt;"a","",Curs!E99)</f>
        <v/>
      </c>
      <c r="D100" s="123" t="str">
        <f>IF(Curs!F99&lt;&gt;"a","",Curs!F99)</f>
        <v/>
      </c>
      <c r="E100" s="123" t="str">
        <f>IF(Curs!G99&lt;&gt;"a","",Curs!G99)</f>
        <v/>
      </c>
      <c r="F100" s="123" t="str">
        <f>IF(Curs!H99&lt;&gt;"a","",Curs!H99)</f>
        <v/>
      </c>
      <c r="G100" s="123" t="str">
        <f>IF(Curs!I99&lt;&gt;"a","",Curs!I99)</f>
        <v/>
      </c>
      <c r="H100" s="123" t="str">
        <f>IF(Curs!J99&lt;&gt;"a","",Curs!J99)</f>
        <v/>
      </c>
      <c r="I100" s="123" t="str">
        <f>IF(Curs!K99&lt;&gt;"a","",Curs!K99)</f>
        <v/>
      </c>
      <c r="J100" s="123" t="str">
        <f>IF(Curs!L99&lt;&gt;"a","",Curs!L99)</f>
        <v/>
      </c>
      <c r="K100" s="123" t="str">
        <f>IF(Curs!M99&lt;&gt;"a","",Curs!M99)</f>
        <v/>
      </c>
      <c r="L100" s="123" t="str">
        <f>IF(Curs!N99&lt;&gt;"a","",Curs!N99)</f>
        <v/>
      </c>
      <c r="M100" s="123" t="str">
        <f>IF(Curs!O99&lt;&gt;"a","",Curs!O99)</f>
        <v/>
      </c>
      <c r="N100" s="123" t="str">
        <f>IF(Curs!P99&lt;&gt;"a","",Curs!P99)</f>
        <v/>
      </c>
      <c r="O100" s="123" t="str">
        <f>IF(Curs!Q99&lt;&gt;"a","",Curs!Q99)</f>
        <v/>
      </c>
      <c r="P100" s="123" t="str">
        <f>IF(Curs!R99&lt;&gt;"a","",Curs!R99)</f>
        <v/>
      </c>
      <c r="Q100" s="123" t="str">
        <f>IF(Curs!S99&lt;&gt;"a","",Curs!S99)</f>
        <v/>
      </c>
      <c r="R100" s="123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7"/>
      <c r="AG100" s="117"/>
      <c r="AH100" s="114"/>
    </row>
    <row r="101" spans="1:34" ht="19.95" customHeight="1" x14ac:dyDescent="0.3">
      <c r="A101" s="114" t="str">
        <f>Curs!B100</f>
        <v/>
      </c>
      <c r="B101" s="115" t="str">
        <f>IF(NOT(ISBLANK(Curs!C100)),Curs!C100,"")</f>
        <v/>
      </c>
      <c r="C101" s="123" t="str">
        <f>IF(Curs!E100&lt;&gt;"a","",Curs!E100)</f>
        <v/>
      </c>
      <c r="D101" s="123" t="str">
        <f>IF(Curs!F100&lt;&gt;"a","",Curs!F100)</f>
        <v/>
      </c>
      <c r="E101" s="123" t="str">
        <f>IF(Curs!G100&lt;&gt;"a","",Curs!G100)</f>
        <v/>
      </c>
      <c r="F101" s="123" t="str">
        <f>IF(Curs!H100&lt;&gt;"a","",Curs!H100)</f>
        <v/>
      </c>
      <c r="G101" s="123" t="str">
        <f>IF(Curs!I100&lt;&gt;"a","",Curs!I100)</f>
        <v/>
      </c>
      <c r="H101" s="123" t="str">
        <f>IF(Curs!J100&lt;&gt;"a","",Curs!J100)</f>
        <v/>
      </c>
      <c r="I101" s="123" t="str">
        <f>IF(Curs!K100&lt;&gt;"a","",Curs!K100)</f>
        <v/>
      </c>
      <c r="J101" s="123" t="str">
        <f>IF(Curs!L100&lt;&gt;"a","",Curs!L100)</f>
        <v/>
      </c>
      <c r="K101" s="123" t="str">
        <f>IF(Curs!M100&lt;&gt;"a","",Curs!M100)</f>
        <v/>
      </c>
      <c r="L101" s="123" t="str">
        <f>IF(Curs!N100&lt;&gt;"a","",Curs!N100)</f>
        <v/>
      </c>
      <c r="M101" s="123" t="str">
        <f>IF(Curs!O100&lt;&gt;"a","",Curs!O100)</f>
        <v/>
      </c>
      <c r="N101" s="123" t="str">
        <f>IF(Curs!P100&lt;&gt;"a","",Curs!P100)</f>
        <v/>
      </c>
      <c r="O101" s="123" t="str">
        <f>IF(Curs!Q100&lt;&gt;"a","",Curs!Q100)</f>
        <v/>
      </c>
      <c r="P101" s="123" t="str">
        <f>IF(Curs!R100&lt;&gt;"a","",Curs!R100)</f>
        <v/>
      </c>
      <c r="Q101" s="123" t="str">
        <f>IF(Curs!S100&lt;&gt;"a","",Curs!S100)</f>
        <v/>
      </c>
      <c r="R101" s="123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7"/>
      <c r="AG101" s="117"/>
      <c r="AH101" s="114"/>
    </row>
    <row r="102" spans="1:34" ht="19.95" customHeight="1" x14ac:dyDescent="0.3">
      <c r="A102" s="114" t="str">
        <f>Curs!B101</f>
        <v/>
      </c>
      <c r="B102" s="115" t="str">
        <f>IF(NOT(ISBLANK(Curs!C101)),Curs!C101,"")</f>
        <v/>
      </c>
      <c r="C102" s="123" t="str">
        <f>IF(Curs!E101&lt;&gt;"a","",Curs!E101)</f>
        <v/>
      </c>
      <c r="D102" s="123" t="str">
        <f>IF(Curs!F101&lt;&gt;"a","",Curs!F101)</f>
        <v/>
      </c>
      <c r="E102" s="123" t="str">
        <f>IF(Curs!G101&lt;&gt;"a","",Curs!G101)</f>
        <v/>
      </c>
      <c r="F102" s="123" t="str">
        <f>IF(Curs!H101&lt;&gt;"a","",Curs!H101)</f>
        <v/>
      </c>
      <c r="G102" s="123" t="str">
        <f>IF(Curs!I101&lt;&gt;"a","",Curs!I101)</f>
        <v/>
      </c>
      <c r="H102" s="123" t="str">
        <f>IF(Curs!J101&lt;&gt;"a","",Curs!J101)</f>
        <v/>
      </c>
      <c r="I102" s="123" t="str">
        <f>IF(Curs!K101&lt;&gt;"a","",Curs!K101)</f>
        <v/>
      </c>
      <c r="J102" s="123" t="str">
        <f>IF(Curs!L101&lt;&gt;"a","",Curs!L101)</f>
        <v/>
      </c>
      <c r="K102" s="123" t="str">
        <f>IF(Curs!M101&lt;&gt;"a","",Curs!M101)</f>
        <v/>
      </c>
      <c r="L102" s="123" t="str">
        <f>IF(Curs!N101&lt;&gt;"a","",Curs!N101)</f>
        <v/>
      </c>
      <c r="M102" s="123" t="str">
        <f>IF(Curs!O101&lt;&gt;"a","",Curs!O101)</f>
        <v/>
      </c>
      <c r="N102" s="123" t="str">
        <f>IF(Curs!P101&lt;&gt;"a","",Curs!P101)</f>
        <v/>
      </c>
      <c r="O102" s="123" t="str">
        <f>IF(Curs!Q101&lt;&gt;"a","",Curs!Q101)</f>
        <v/>
      </c>
      <c r="P102" s="123" t="str">
        <f>IF(Curs!R101&lt;&gt;"a","",Curs!R101)</f>
        <v/>
      </c>
      <c r="Q102" s="123" t="str">
        <f>IF(Curs!S101&lt;&gt;"a","",Curs!S101)</f>
        <v/>
      </c>
      <c r="R102" s="123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7"/>
      <c r="AG102" s="117"/>
      <c r="AH102" s="114"/>
    </row>
    <row r="103" spans="1:34" ht="19.95" customHeight="1" x14ac:dyDescent="0.3">
      <c r="A103" s="114" t="str">
        <f>Curs!B102</f>
        <v/>
      </c>
      <c r="B103" s="115" t="str">
        <f>IF(NOT(ISBLANK(Curs!C102)),Curs!C102,"")</f>
        <v/>
      </c>
      <c r="C103" s="123" t="str">
        <f>IF(Curs!E102&lt;&gt;"a","",Curs!E102)</f>
        <v/>
      </c>
      <c r="D103" s="123" t="str">
        <f>IF(Curs!F102&lt;&gt;"a","",Curs!F102)</f>
        <v/>
      </c>
      <c r="E103" s="123" t="str">
        <f>IF(Curs!G102&lt;&gt;"a","",Curs!G102)</f>
        <v/>
      </c>
      <c r="F103" s="123" t="str">
        <f>IF(Curs!H102&lt;&gt;"a","",Curs!H102)</f>
        <v/>
      </c>
      <c r="G103" s="123" t="str">
        <f>IF(Curs!I102&lt;&gt;"a","",Curs!I102)</f>
        <v/>
      </c>
      <c r="H103" s="123" t="str">
        <f>IF(Curs!J102&lt;&gt;"a","",Curs!J102)</f>
        <v/>
      </c>
      <c r="I103" s="123" t="str">
        <f>IF(Curs!K102&lt;&gt;"a","",Curs!K102)</f>
        <v/>
      </c>
      <c r="J103" s="123" t="str">
        <f>IF(Curs!L102&lt;&gt;"a","",Curs!L102)</f>
        <v/>
      </c>
      <c r="K103" s="123" t="str">
        <f>IF(Curs!M102&lt;&gt;"a","",Curs!M102)</f>
        <v/>
      </c>
      <c r="L103" s="123" t="str">
        <f>IF(Curs!N102&lt;&gt;"a","",Curs!N102)</f>
        <v/>
      </c>
      <c r="M103" s="123" t="str">
        <f>IF(Curs!O102&lt;&gt;"a","",Curs!O102)</f>
        <v/>
      </c>
      <c r="N103" s="123" t="str">
        <f>IF(Curs!P102&lt;&gt;"a","",Curs!P102)</f>
        <v/>
      </c>
      <c r="O103" s="123" t="str">
        <f>IF(Curs!Q102&lt;&gt;"a","",Curs!Q102)</f>
        <v/>
      </c>
      <c r="P103" s="123" t="str">
        <f>IF(Curs!R102&lt;&gt;"a","",Curs!R102)</f>
        <v/>
      </c>
      <c r="Q103" s="123" t="str">
        <f>IF(Curs!S102&lt;&gt;"a","",Curs!S102)</f>
        <v/>
      </c>
      <c r="R103" s="123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7"/>
      <c r="AG103" s="117"/>
      <c r="AH103" s="114"/>
    </row>
    <row r="104" spans="1:34" ht="19.95" customHeight="1" x14ac:dyDescent="0.3">
      <c r="A104" s="114" t="str">
        <f>Curs!B103</f>
        <v/>
      </c>
      <c r="B104" s="115" t="str">
        <f>IF(NOT(ISBLANK(Curs!C103)),Curs!C103,"")</f>
        <v/>
      </c>
      <c r="C104" s="123" t="str">
        <f>IF(Curs!E103&lt;&gt;"a","",Curs!E103)</f>
        <v/>
      </c>
      <c r="D104" s="123" t="str">
        <f>IF(Curs!F103&lt;&gt;"a","",Curs!F103)</f>
        <v/>
      </c>
      <c r="E104" s="123" t="str">
        <f>IF(Curs!G103&lt;&gt;"a","",Curs!G103)</f>
        <v/>
      </c>
      <c r="F104" s="123" t="str">
        <f>IF(Curs!H103&lt;&gt;"a","",Curs!H103)</f>
        <v/>
      </c>
      <c r="G104" s="123" t="str">
        <f>IF(Curs!I103&lt;&gt;"a","",Curs!I103)</f>
        <v/>
      </c>
      <c r="H104" s="123" t="str">
        <f>IF(Curs!J103&lt;&gt;"a","",Curs!J103)</f>
        <v/>
      </c>
      <c r="I104" s="123" t="str">
        <f>IF(Curs!K103&lt;&gt;"a","",Curs!K103)</f>
        <v/>
      </c>
      <c r="J104" s="123" t="str">
        <f>IF(Curs!L103&lt;&gt;"a","",Curs!L103)</f>
        <v/>
      </c>
      <c r="K104" s="123" t="str">
        <f>IF(Curs!M103&lt;&gt;"a","",Curs!M103)</f>
        <v/>
      </c>
      <c r="L104" s="123" t="str">
        <f>IF(Curs!N103&lt;&gt;"a","",Curs!N103)</f>
        <v/>
      </c>
      <c r="M104" s="123" t="str">
        <f>IF(Curs!O103&lt;&gt;"a","",Curs!O103)</f>
        <v/>
      </c>
      <c r="N104" s="123" t="str">
        <f>IF(Curs!P103&lt;&gt;"a","",Curs!P103)</f>
        <v/>
      </c>
      <c r="O104" s="123" t="str">
        <f>IF(Curs!Q103&lt;&gt;"a","",Curs!Q103)</f>
        <v/>
      </c>
      <c r="P104" s="123" t="str">
        <f>IF(Curs!R103&lt;&gt;"a","",Curs!R103)</f>
        <v/>
      </c>
      <c r="Q104" s="123" t="str">
        <f>IF(Curs!S103&lt;&gt;"a","",Curs!S103)</f>
        <v/>
      </c>
      <c r="R104" s="123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7"/>
      <c r="AG104" s="117"/>
      <c r="AH104" s="114"/>
    </row>
    <row r="105" spans="1:34" ht="19.95" customHeight="1" x14ac:dyDescent="0.3">
      <c r="A105" s="114" t="str">
        <f>Curs!B104</f>
        <v/>
      </c>
      <c r="B105" s="115" t="str">
        <f>IF(NOT(ISBLANK(Curs!C104)),Curs!C104,"")</f>
        <v/>
      </c>
      <c r="C105" s="123" t="str">
        <f>IF(Curs!E104&lt;&gt;"a","",Curs!E104)</f>
        <v/>
      </c>
      <c r="D105" s="123" t="str">
        <f>IF(Curs!F104&lt;&gt;"a","",Curs!F104)</f>
        <v/>
      </c>
      <c r="E105" s="123" t="str">
        <f>IF(Curs!G104&lt;&gt;"a","",Curs!G104)</f>
        <v/>
      </c>
      <c r="F105" s="123" t="str">
        <f>IF(Curs!H104&lt;&gt;"a","",Curs!H104)</f>
        <v/>
      </c>
      <c r="G105" s="123" t="str">
        <f>IF(Curs!I104&lt;&gt;"a","",Curs!I104)</f>
        <v/>
      </c>
      <c r="H105" s="123" t="str">
        <f>IF(Curs!J104&lt;&gt;"a","",Curs!J104)</f>
        <v/>
      </c>
      <c r="I105" s="123" t="str">
        <f>IF(Curs!K104&lt;&gt;"a","",Curs!K104)</f>
        <v/>
      </c>
      <c r="J105" s="123" t="str">
        <f>IF(Curs!L104&lt;&gt;"a","",Curs!L104)</f>
        <v/>
      </c>
      <c r="K105" s="123" t="str">
        <f>IF(Curs!M104&lt;&gt;"a","",Curs!M104)</f>
        <v/>
      </c>
      <c r="L105" s="123" t="str">
        <f>IF(Curs!N104&lt;&gt;"a","",Curs!N104)</f>
        <v/>
      </c>
      <c r="M105" s="123" t="str">
        <f>IF(Curs!O104&lt;&gt;"a","",Curs!O104)</f>
        <v/>
      </c>
      <c r="N105" s="123" t="str">
        <f>IF(Curs!P104&lt;&gt;"a","",Curs!P104)</f>
        <v/>
      </c>
      <c r="O105" s="123" t="str">
        <f>IF(Curs!Q104&lt;&gt;"a","",Curs!Q104)</f>
        <v/>
      </c>
      <c r="P105" s="123" t="str">
        <f>IF(Curs!R104&lt;&gt;"a","",Curs!R104)</f>
        <v/>
      </c>
      <c r="Q105" s="123" t="str">
        <f>IF(Curs!S104&lt;&gt;"a","",Curs!S104)</f>
        <v/>
      </c>
      <c r="R105" s="123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7"/>
      <c r="AG105" s="117"/>
      <c r="AH105" s="114"/>
    </row>
    <row r="106" spans="1:34" ht="19.95" customHeight="1" x14ac:dyDescent="0.3">
      <c r="A106" s="114" t="str">
        <f>Curs!B105</f>
        <v/>
      </c>
      <c r="B106" s="115" t="str">
        <f>IF(NOT(ISBLANK(Curs!C105)),Curs!C105,"")</f>
        <v/>
      </c>
      <c r="C106" s="123" t="str">
        <f>IF(Curs!E105&lt;&gt;"a","",Curs!E105)</f>
        <v/>
      </c>
      <c r="D106" s="123" t="str">
        <f>IF(Curs!F105&lt;&gt;"a","",Curs!F105)</f>
        <v/>
      </c>
      <c r="E106" s="123" t="str">
        <f>IF(Curs!G105&lt;&gt;"a","",Curs!G105)</f>
        <v/>
      </c>
      <c r="F106" s="123" t="str">
        <f>IF(Curs!H105&lt;&gt;"a","",Curs!H105)</f>
        <v/>
      </c>
      <c r="G106" s="123" t="str">
        <f>IF(Curs!I105&lt;&gt;"a","",Curs!I105)</f>
        <v/>
      </c>
      <c r="H106" s="123" t="str">
        <f>IF(Curs!J105&lt;&gt;"a","",Curs!J105)</f>
        <v/>
      </c>
      <c r="I106" s="123" t="str">
        <f>IF(Curs!K105&lt;&gt;"a","",Curs!K105)</f>
        <v/>
      </c>
      <c r="J106" s="123" t="str">
        <f>IF(Curs!L105&lt;&gt;"a","",Curs!L105)</f>
        <v/>
      </c>
      <c r="K106" s="123" t="str">
        <f>IF(Curs!M105&lt;&gt;"a","",Curs!M105)</f>
        <v/>
      </c>
      <c r="L106" s="123" t="str">
        <f>IF(Curs!N105&lt;&gt;"a","",Curs!N105)</f>
        <v/>
      </c>
      <c r="M106" s="123" t="str">
        <f>IF(Curs!O105&lt;&gt;"a","",Curs!O105)</f>
        <v/>
      </c>
      <c r="N106" s="123" t="str">
        <f>IF(Curs!P105&lt;&gt;"a","",Curs!P105)</f>
        <v/>
      </c>
      <c r="O106" s="123" t="str">
        <f>IF(Curs!Q105&lt;&gt;"a","",Curs!Q105)</f>
        <v/>
      </c>
      <c r="P106" s="123" t="str">
        <f>IF(Curs!R105&lt;&gt;"a","",Curs!R105)</f>
        <v/>
      </c>
      <c r="Q106" s="123" t="str">
        <f>IF(Curs!S105&lt;&gt;"a","",Curs!S105)</f>
        <v/>
      </c>
      <c r="R106" s="123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7"/>
      <c r="AG106" s="117"/>
      <c r="AH106" s="114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M106"/>
  <sheetViews>
    <sheetView zoomScale="70" zoomScaleNormal="70" workbookViewId="0">
      <selection activeCell="AK30" sqref="AK30"/>
    </sheetView>
  </sheetViews>
  <sheetFormatPr defaultColWidth="9.109375" defaultRowHeight="15.6" x14ac:dyDescent="0.3"/>
  <cols>
    <col min="1" max="1" width="4.88671875" style="110" customWidth="1"/>
    <col min="2" max="2" width="31.109375" style="110" customWidth="1"/>
    <col min="3" max="31" width="4.33203125" style="110" customWidth="1"/>
    <col min="32" max="33" width="6.33203125" style="110" customWidth="1"/>
    <col min="34" max="34" width="12.109375" style="110" customWidth="1"/>
    <col min="35" max="35" width="9.109375" style="110"/>
    <col min="36" max="36" width="13.6640625" style="110" customWidth="1"/>
    <col min="37" max="37" width="95.33203125" style="110" customWidth="1"/>
    <col min="38" max="38" width="8" style="110" customWidth="1"/>
    <col min="39" max="39" width="19.6640625" style="110" customWidth="1"/>
    <col min="40" max="47" width="9.109375" style="110"/>
    <col min="48" max="48" width="9.109375" style="110" customWidth="1"/>
    <col min="49" max="16384" width="9.109375" style="110"/>
  </cols>
  <sheetData>
    <row r="1" spans="1:39" x14ac:dyDescent="0.3">
      <c r="AK1" s="111" t="s">
        <v>96</v>
      </c>
    </row>
    <row r="2" spans="1:39" x14ac:dyDescent="0.3">
      <c r="AJ2" s="110" t="s">
        <v>108</v>
      </c>
    </row>
    <row r="3" spans="1:39" x14ac:dyDescent="0.3">
      <c r="B3" s="111" t="s">
        <v>97</v>
      </c>
      <c r="AJ3" s="110" t="s">
        <v>116</v>
      </c>
      <c r="AK3" s="111"/>
    </row>
    <row r="4" spans="1:39" ht="18" x14ac:dyDescent="0.35">
      <c r="C4" s="215" t="s">
        <v>115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AJ4" s="110" t="s">
        <v>110</v>
      </c>
      <c r="AK4" s="112"/>
    </row>
    <row r="5" spans="1:39" ht="15.6" customHeight="1" x14ac:dyDescent="0.3">
      <c r="A5" s="216" t="s">
        <v>98</v>
      </c>
      <c r="B5" s="216" t="s">
        <v>107</v>
      </c>
      <c r="C5" s="210" t="str">
        <f>IF(Laborator!E6&lt;&gt;"",Laborator!E6,"")</f>
        <v>2.02</v>
      </c>
      <c r="D5" s="210" t="str">
        <f>IF(Laborator!F6&lt;&gt;"",Laborator!F6,"")</f>
        <v>9.02</v>
      </c>
      <c r="E5" s="210" t="str">
        <f>IF(Laborator!G6&lt;&gt;"",Laborator!G6,"")</f>
        <v>16.02</v>
      </c>
      <c r="F5" s="210" t="str">
        <f>IF(Laborator!H6&lt;&gt;"",Laborator!H6,"")</f>
        <v>23.02</v>
      </c>
      <c r="G5" s="210" t="str">
        <f>IF(Laborator!I6&lt;&gt;"",Laborator!I6,"")</f>
        <v>1.03</v>
      </c>
      <c r="H5" s="210" t="str">
        <f>IF(Laborator!J6&lt;&gt;"",Laborator!J6,"")</f>
        <v>8.03</v>
      </c>
      <c r="I5" s="210" t="str">
        <f>IF(Laborator!K6&lt;&gt;"",Laborator!K6,"")</f>
        <v>15.03</v>
      </c>
      <c r="J5" s="210" t="str">
        <f>IF(Laborator!L6&lt;&gt;"",Laborator!L6,"")</f>
        <v>22.03</v>
      </c>
      <c r="K5" s="210" t="str">
        <f>IF(Laborator!M6&lt;&gt;"",Laborator!M6,"")</f>
        <v>29.03</v>
      </c>
      <c r="L5" s="210" t="str">
        <f>IF(Laborator!N6&lt;&gt;"",Laborator!N6,"")</f>
        <v>5.04</v>
      </c>
      <c r="M5" s="210" t="str">
        <f>IF(Laborator!O6&lt;&gt;"",Laborator!O6,"")</f>
        <v>12.04</v>
      </c>
      <c r="N5" s="210" t="str">
        <f>IF(Laborator!P6&lt;&gt;"",Laborator!P6,"")</f>
        <v>19.04</v>
      </c>
      <c r="O5" s="210" t="str">
        <f>IF(Laborator!Q6&lt;&gt;"",Laborator!Q6,"")</f>
        <v>26.04</v>
      </c>
      <c r="P5" s="210" t="str">
        <f>IF(Laborator!R6&lt;&gt;"",Laborator!R6,"")</f>
        <v>3.05</v>
      </c>
      <c r="Q5" s="210" t="str">
        <f>IF(Laborator!S6&lt;&gt;"",Laborator!S6,"")</f>
        <v>17.05</v>
      </c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2"/>
      <c r="AF5" s="214" t="s">
        <v>99</v>
      </c>
      <c r="AG5" s="214"/>
      <c r="AH5" s="214"/>
      <c r="AJ5" s="208" t="s">
        <v>100</v>
      </c>
      <c r="AK5" s="208" t="s">
        <v>101</v>
      </c>
      <c r="AL5" s="208" t="s">
        <v>102</v>
      </c>
      <c r="AM5" s="208" t="s">
        <v>103</v>
      </c>
    </row>
    <row r="6" spans="1:39" ht="70.8" customHeight="1" x14ac:dyDescent="0.3">
      <c r="A6" s="216"/>
      <c r="B6" s="216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3"/>
      <c r="AF6" s="113" t="s">
        <v>21</v>
      </c>
      <c r="AG6" s="113" t="s">
        <v>22</v>
      </c>
      <c r="AH6" s="113" t="s">
        <v>104</v>
      </c>
      <c r="AJ6" s="209"/>
      <c r="AK6" s="209"/>
      <c r="AL6" s="209"/>
      <c r="AM6" s="209"/>
    </row>
    <row r="7" spans="1:39" ht="19.95" customHeight="1" x14ac:dyDescent="0.3">
      <c r="A7" s="114">
        <f>Curs!B6</f>
        <v>1</v>
      </c>
      <c r="B7" s="115" t="str">
        <f>IF(NOT(ISBLANK(Curs!C6)),Curs!C6,"")</f>
        <v>Nume, Prenume</v>
      </c>
      <c r="C7" s="123" t="str">
        <f>IF(Laborator!E7&lt;&gt;"a","",Laborator!E7)</f>
        <v/>
      </c>
      <c r="D7" s="123" t="str">
        <f>IF(Laborator!F7&lt;&gt;"a","",Laborator!F7)</f>
        <v/>
      </c>
      <c r="E7" s="123" t="str">
        <f>IF(Laborator!G7&lt;&gt;"a","",Laborator!G7)</f>
        <v/>
      </c>
      <c r="F7" s="123" t="str">
        <f>IF(Laborator!H7&lt;&gt;"a","",Laborator!H7)</f>
        <v/>
      </c>
      <c r="G7" s="123" t="str">
        <f>IF(Laborator!I7&lt;&gt;"a","",Laborator!I7)</f>
        <v/>
      </c>
      <c r="H7" s="123" t="str">
        <f>IF(Laborator!J7&lt;&gt;"a","",Laborator!J7)</f>
        <v/>
      </c>
      <c r="I7" s="123" t="str">
        <f>IF(Laborator!K7&lt;&gt;"a","",Laborator!K7)</f>
        <v/>
      </c>
      <c r="J7" s="123" t="str">
        <f>IF(Laborator!L7&lt;&gt;"a","",Laborator!L7)</f>
        <v/>
      </c>
      <c r="K7" s="123" t="str">
        <f>IF(Laborator!M7&lt;&gt;"a","",Laborator!M7)</f>
        <v/>
      </c>
      <c r="L7" s="123" t="str">
        <f>IF(Laborator!N7&lt;&gt;"a","",Laborator!N7)</f>
        <v/>
      </c>
      <c r="M7" s="123" t="str">
        <f>IF(Laborator!O7&lt;&gt;"a","",Laborator!O7)</f>
        <v/>
      </c>
      <c r="N7" s="123" t="str">
        <f>IF(Laborator!P7&lt;&gt;"a","",Laborator!P7)</f>
        <v/>
      </c>
      <c r="O7" s="123" t="str">
        <f>IF(Laborator!Q7&lt;&gt;"a","",Laborator!Q7)</f>
        <v/>
      </c>
      <c r="P7" s="123" t="str">
        <f>IF(Laborator!R7&lt;&gt;"a","",Laborator!R7)</f>
        <v/>
      </c>
      <c r="Q7" s="123" t="str">
        <f>IF(Laborator!S7&lt;&gt;"a","",Laborator!S7)</f>
        <v/>
      </c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7"/>
      <c r="AG7" s="117"/>
      <c r="AH7" s="114"/>
      <c r="AJ7" s="118" t="str">
        <f>C5</f>
        <v>2.02</v>
      </c>
      <c r="AK7" s="119" t="s">
        <v>111</v>
      </c>
      <c r="AL7" s="120">
        <v>4</v>
      </c>
      <c r="AM7" s="120"/>
    </row>
    <row r="8" spans="1:39" ht="19.95" customHeight="1" x14ac:dyDescent="0.3">
      <c r="A8" s="114" t="str">
        <f>Curs!B7</f>
        <v/>
      </c>
      <c r="B8" s="115" t="str">
        <f>IF(NOT(ISBLANK(Curs!C7)),Curs!C7,"")</f>
        <v/>
      </c>
      <c r="C8" s="123" t="str">
        <f>IF(Laborator!E8&lt;&gt;"a","",Laborator!E8)</f>
        <v/>
      </c>
      <c r="D8" s="123" t="str">
        <f>IF(Laborator!F8&lt;&gt;"a","",Laborator!F8)</f>
        <v/>
      </c>
      <c r="E8" s="123" t="str">
        <f>IF(Laborator!G8&lt;&gt;"a","",Laborator!G8)</f>
        <v/>
      </c>
      <c r="F8" s="123" t="str">
        <f>IF(Laborator!H8&lt;&gt;"a","",Laborator!H8)</f>
        <v/>
      </c>
      <c r="G8" s="123" t="str">
        <f>IF(Laborator!I8&lt;&gt;"a","",Laborator!I8)</f>
        <v/>
      </c>
      <c r="H8" s="123" t="str">
        <f>IF(Laborator!J8&lt;&gt;"a","",Laborator!J8)</f>
        <v/>
      </c>
      <c r="I8" s="123" t="str">
        <f>IF(Laborator!K8&lt;&gt;"a","",Laborator!K8)</f>
        <v/>
      </c>
      <c r="J8" s="123" t="str">
        <f>IF(Laborator!L8&lt;&gt;"a","",Laborator!L8)</f>
        <v/>
      </c>
      <c r="K8" s="123" t="str">
        <f>IF(Laborator!M8&lt;&gt;"a","",Laborator!M8)</f>
        <v/>
      </c>
      <c r="L8" s="123" t="str">
        <f>IF(Laborator!N8&lt;&gt;"a","",Laborator!N8)</f>
        <v/>
      </c>
      <c r="M8" s="123" t="str">
        <f>IF(Laborator!O8&lt;&gt;"a","",Laborator!O8)</f>
        <v/>
      </c>
      <c r="N8" s="123" t="str">
        <f>IF(Laborator!P8&lt;&gt;"a","",Laborator!P8)</f>
        <v/>
      </c>
      <c r="O8" s="123" t="str">
        <f>IF(Laborator!Q8&lt;&gt;"a","",Laborator!Q8)</f>
        <v/>
      </c>
      <c r="P8" s="123" t="str">
        <f>IF(Laborator!R8&lt;&gt;"a","",Laborator!R8)</f>
        <v/>
      </c>
      <c r="Q8" s="123" t="str">
        <f>IF(Laborator!S8&lt;&gt;"a","",Laborator!S8)</f>
        <v/>
      </c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/>
      <c r="AG8" s="117"/>
      <c r="AH8" s="114"/>
      <c r="AJ8" s="118" t="str">
        <f>D5</f>
        <v>9.02</v>
      </c>
      <c r="AK8" s="119" t="s">
        <v>111</v>
      </c>
      <c r="AL8" s="120">
        <v>4</v>
      </c>
      <c r="AM8" s="120"/>
    </row>
    <row r="9" spans="1:39" ht="19.95" customHeight="1" x14ac:dyDescent="0.3">
      <c r="A9" s="114" t="str">
        <f>Curs!B8</f>
        <v/>
      </c>
      <c r="B9" s="115" t="str">
        <f>IF(NOT(ISBLANK(Curs!C8)),Curs!C8,"")</f>
        <v/>
      </c>
      <c r="C9" s="123" t="str">
        <f>IF(Laborator!E9&lt;&gt;"a","",Laborator!E9)</f>
        <v/>
      </c>
      <c r="D9" s="123" t="str">
        <f>IF(Laborator!F9&lt;&gt;"a","",Laborator!F9)</f>
        <v/>
      </c>
      <c r="E9" s="123" t="str">
        <f>IF(Laborator!G9&lt;&gt;"a","",Laborator!G9)</f>
        <v/>
      </c>
      <c r="F9" s="123" t="str">
        <f>IF(Laborator!H9&lt;&gt;"a","",Laborator!H9)</f>
        <v/>
      </c>
      <c r="G9" s="123" t="str">
        <f>IF(Laborator!I9&lt;&gt;"a","",Laborator!I9)</f>
        <v/>
      </c>
      <c r="H9" s="123" t="str">
        <f>IF(Laborator!J9&lt;&gt;"a","",Laborator!J9)</f>
        <v/>
      </c>
      <c r="I9" s="123" t="str">
        <f>IF(Laborator!K9&lt;&gt;"a","",Laborator!K9)</f>
        <v/>
      </c>
      <c r="J9" s="123" t="str">
        <f>IF(Laborator!L9&lt;&gt;"a","",Laborator!L9)</f>
        <v/>
      </c>
      <c r="K9" s="123" t="str">
        <f>IF(Laborator!M9&lt;&gt;"a","",Laborator!M9)</f>
        <v/>
      </c>
      <c r="L9" s="123" t="str">
        <f>IF(Laborator!N9&lt;&gt;"a","",Laborator!N9)</f>
        <v/>
      </c>
      <c r="M9" s="123" t="str">
        <f>IF(Laborator!O9&lt;&gt;"a","",Laborator!O9)</f>
        <v/>
      </c>
      <c r="N9" s="123" t="str">
        <f>IF(Laborator!P9&lt;&gt;"a","",Laborator!P9)</f>
        <v/>
      </c>
      <c r="O9" s="123" t="str">
        <f>IF(Laborator!Q9&lt;&gt;"a","",Laborator!Q9)</f>
        <v/>
      </c>
      <c r="P9" s="123" t="str">
        <f>IF(Laborator!R9&lt;&gt;"a","",Laborator!R9)</f>
        <v/>
      </c>
      <c r="Q9" s="123" t="str">
        <f>IF(Laborator!S9&lt;&gt;"a","",Laborator!S9)</f>
        <v/>
      </c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7"/>
      <c r="AH9" s="114"/>
      <c r="AJ9" s="118" t="str">
        <f>E5</f>
        <v>16.02</v>
      </c>
      <c r="AK9" s="119" t="s">
        <v>112</v>
      </c>
      <c r="AL9" s="120">
        <v>4</v>
      </c>
      <c r="AM9" s="120"/>
    </row>
    <row r="10" spans="1:39" ht="19.95" customHeight="1" x14ac:dyDescent="0.3">
      <c r="A10" s="114" t="str">
        <f>Curs!B9</f>
        <v/>
      </c>
      <c r="B10" s="115" t="str">
        <f>IF(NOT(ISBLANK(Curs!C9)),Curs!C9,"")</f>
        <v/>
      </c>
      <c r="C10" s="123" t="str">
        <f>IF(Laborator!E10&lt;&gt;"a","",Laborator!E10)</f>
        <v/>
      </c>
      <c r="D10" s="123" t="str">
        <f>IF(Laborator!F10&lt;&gt;"a","",Laborator!F10)</f>
        <v/>
      </c>
      <c r="E10" s="123" t="str">
        <f>IF(Laborator!G10&lt;&gt;"a","",Laborator!G10)</f>
        <v/>
      </c>
      <c r="F10" s="123" t="str">
        <f>IF(Laborator!H10&lt;&gt;"a","",Laborator!H10)</f>
        <v/>
      </c>
      <c r="G10" s="123" t="str">
        <f>IF(Laborator!I10&lt;&gt;"a","",Laborator!I10)</f>
        <v/>
      </c>
      <c r="H10" s="123" t="str">
        <f>IF(Laborator!J10&lt;&gt;"a","",Laborator!J10)</f>
        <v/>
      </c>
      <c r="I10" s="123" t="str">
        <f>IF(Laborator!K10&lt;&gt;"a","",Laborator!K10)</f>
        <v/>
      </c>
      <c r="J10" s="123" t="str">
        <f>IF(Laborator!L10&lt;&gt;"a","",Laborator!L10)</f>
        <v/>
      </c>
      <c r="K10" s="123" t="str">
        <f>IF(Laborator!M10&lt;&gt;"a","",Laborator!M10)</f>
        <v/>
      </c>
      <c r="L10" s="123" t="str">
        <f>IF(Laborator!N10&lt;&gt;"a","",Laborator!N10)</f>
        <v/>
      </c>
      <c r="M10" s="123" t="str">
        <f>IF(Laborator!O10&lt;&gt;"a","",Laborator!O10)</f>
        <v/>
      </c>
      <c r="N10" s="123" t="str">
        <f>IF(Laborator!P10&lt;&gt;"a","",Laborator!P10)</f>
        <v/>
      </c>
      <c r="O10" s="123" t="str">
        <f>IF(Laborator!Q10&lt;&gt;"a","",Laborator!Q10)</f>
        <v/>
      </c>
      <c r="P10" s="123" t="str">
        <f>IF(Laborator!R10&lt;&gt;"a","",Laborator!R10)</f>
        <v/>
      </c>
      <c r="Q10" s="123" t="str">
        <f>IF(Laborator!S10&lt;&gt;"a","",Laborator!S10)</f>
        <v/>
      </c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7"/>
      <c r="AG10" s="117"/>
      <c r="AH10" s="114"/>
      <c r="AJ10" s="118" t="str">
        <f>F5</f>
        <v>23.02</v>
      </c>
      <c r="AK10" s="119" t="s">
        <v>112</v>
      </c>
      <c r="AL10" s="120">
        <v>4</v>
      </c>
      <c r="AM10" s="120"/>
    </row>
    <row r="11" spans="1:39" ht="19.95" customHeight="1" x14ac:dyDescent="0.3">
      <c r="A11" s="114" t="str">
        <f>Curs!B10</f>
        <v/>
      </c>
      <c r="B11" s="115" t="str">
        <f>IF(NOT(ISBLANK(Curs!C10)),Curs!C10,"")</f>
        <v/>
      </c>
      <c r="C11" s="123" t="str">
        <f>IF(Laborator!E11&lt;&gt;"a","",Laborator!E11)</f>
        <v/>
      </c>
      <c r="D11" s="123" t="str">
        <f>IF(Laborator!F11&lt;&gt;"a","",Laborator!F11)</f>
        <v/>
      </c>
      <c r="E11" s="123" t="str">
        <f>IF(Laborator!G11&lt;&gt;"a","",Laborator!G11)</f>
        <v/>
      </c>
      <c r="F11" s="123" t="str">
        <f>IF(Laborator!H11&lt;&gt;"a","",Laborator!H11)</f>
        <v/>
      </c>
      <c r="G11" s="123" t="str">
        <f>IF(Laborator!I11&lt;&gt;"a","",Laborator!I11)</f>
        <v/>
      </c>
      <c r="H11" s="123" t="str">
        <f>IF(Laborator!J11&lt;&gt;"a","",Laborator!J11)</f>
        <v/>
      </c>
      <c r="I11" s="123" t="str">
        <f>IF(Laborator!K11&lt;&gt;"a","",Laborator!K11)</f>
        <v/>
      </c>
      <c r="J11" s="123" t="str">
        <f>IF(Laborator!L11&lt;&gt;"a","",Laborator!L11)</f>
        <v/>
      </c>
      <c r="K11" s="123" t="str">
        <f>IF(Laborator!M11&lt;&gt;"a","",Laborator!M11)</f>
        <v/>
      </c>
      <c r="L11" s="123" t="str">
        <f>IF(Laborator!N11&lt;&gt;"a","",Laborator!N11)</f>
        <v/>
      </c>
      <c r="M11" s="123" t="str">
        <f>IF(Laborator!O11&lt;&gt;"a","",Laborator!O11)</f>
        <v/>
      </c>
      <c r="N11" s="123" t="str">
        <f>IF(Laborator!P11&lt;&gt;"a","",Laborator!P11)</f>
        <v/>
      </c>
      <c r="O11" s="123" t="str">
        <f>IF(Laborator!Q11&lt;&gt;"a","",Laborator!Q11)</f>
        <v/>
      </c>
      <c r="P11" s="123" t="str">
        <f>IF(Laborator!R11&lt;&gt;"a","",Laborator!R11)</f>
        <v/>
      </c>
      <c r="Q11" s="123" t="str">
        <f>IF(Laborator!S11&lt;&gt;"a","",Laborator!S11)</f>
        <v/>
      </c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7"/>
      <c r="AG11" s="117"/>
      <c r="AH11" s="114"/>
      <c r="AJ11" s="118" t="str">
        <f>G5</f>
        <v>1.03</v>
      </c>
      <c r="AK11" s="119" t="s">
        <v>113</v>
      </c>
      <c r="AL11" s="120">
        <v>4</v>
      </c>
      <c r="AM11" s="120"/>
    </row>
    <row r="12" spans="1:39" ht="19.95" customHeight="1" x14ac:dyDescent="0.3">
      <c r="A12" s="114" t="str">
        <f>Curs!B11</f>
        <v/>
      </c>
      <c r="B12" s="115" t="str">
        <f>IF(NOT(ISBLANK(Curs!C11)),Curs!C11,"")</f>
        <v/>
      </c>
      <c r="C12" s="123" t="str">
        <f>IF(Laborator!E12&lt;&gt;"a","",Laborator!E12)</f>
        <v/>
      </c>
      <c r="D12" s="123" t="str">
        <f>IF(Laborator!F12&lt;&gt;"a","",Laborator!F12)</f>
        <v/>
      </c>
      <c r="E12" s="123" t="str">
        <f>IF(Laborator!G12&lt;&gt;"a","",Laborator!G12)</f>
        <v/>
      </c>
      <c r="F12" s="123" t="str">
        <f>IF(Laborator!H12&lt;&gt;"a","",Laborator!H12)</f>
        <v/>
      </c>
      <c r="G12" s="123" t="str">
        <f>IF(Laborator!I12&lt;&gt;"a","",Laborator!I12)</f>
        <v/>
      </c>
      <c r="H12" s="123" t="str">
        <f>IF(Laborator!J12&lt;&gt;"a","",Laborator!J12)</f>
        <v/>
      </c>
      <c r="I12" s="123" t="str">
        <f>IF(Laborator!K12&lt;&gt;"a","",Laborator!K12)</f>
        <v/>
      </c>
      <c r="J12" s="123" t="str">
        <f>IF(Laborator!L12&lt;&gt;"a","",Laborator!L12)</f>
        <v/>
      </c>
      <c r="K12" s="123" t="str">
        <f>IF(Laborator!M12&lt;&gt;"a","",Laborator!M12)</f>
        <v/>
      </c>
      <c r="L12" s="123" t="str">
        <f>IF(Laborator!N12&lt;&gt;"a","",Laborator!N12)</f>
        <v/>
      </c>
      <c r="M12" s="123" t="str">
        <f>IF(Laborator!O12&lt;&gt;"a","",Laborator!O12)</f>
        <v/>
      </c>
      <c r="N12" s="123" t="str">
        <f>IF(Laborator!P12&lt;&gt;"a","",Laborator!P12)</f>
        <v/>
      </c>
      <c r="O12" s="123" t="str">
        <f>IF(Laborator!Q12&lt;&gt;"a","",Laborator!Q12)</f>
        <v/>
      </c>
      <c r="P12" s="123" t="str">
        <f>IF(Laborator!R12&lt;&gt;"a","",Laborator!R12)</f>
        <v/>
      </c>
      <c r="Q12" s="123" t="str">
        <f>IF(Laborator!S12&lt;&gt;"a","",Laborator!S12)</f>
        <v/>
      </c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7"/>
      <c r="AG12" s="117"/>
      <c r="AH12" s="114"/>
      <c r="AJ12" s="118" t="str">
        <f>H5</f>
        <v>8.03</v>
      </c>
      <c r="AK12" s="119" t="s">
        <v>113</v>
      </c>
      <c r="AL12" s="120">
        <v>4</v>
      </c>
      <c r="AM12" s="120"/>
    </row>
    <row r="13" spans="1:39" ht="19.95" customHeight="1" x14ac:dyDescent="0.3">
      <c r="A13" s="114" t="str">
        <f>Curs!B12</f>
        <v/>
      </c>
      <c r="B13" s="115" t="str">
        <f>IF(NOT(ISBLANK(Curs!C12)),Curs!C12,"")</f>
        <v/>
      </c>
      <c r="C13" s="123" t="str">
        <f>IF(Laborator!E13&lt;&gt;"a","",Laborator!E13)</f>
        <v/>
      </c>
      <c r="D13" s="123" t="str">
        <f>IF(Laborator!F13&lt;&gt;"a","",Laborator!F13)</f>
        <v/>
      </c>
      <c r="E13" s="123" t="str">
        <f>IF(Laborator!G13&lt;&gt;"a","",Laborator!G13)</f>
        <v/>
      </c>
      <c r="F13" s="123" t="str">
        <f>IF(Laborator!H13&lt;&gt;"a","",Laborator!H13)</f>
        <v/>
      </c>
      <c r="G13" s="123" t="str">
        <f>IF(Laborator!I13&lt;&gt;"a","",Laborator!I13)</f>
        <v/>
      </c>
      <c r="H13" s="123" t="str">
        <f>IF(Laborator!J13&lt;&gt;"a","",Laborator!J13)</f>
        <v/>
      </c>
      <c r="I13" s="123" t="str">
        <f>IF(Laborator!K13&lt;&gt;"a","",Laborator!K13)</f>
        <v/>
      </c>
      <c r="J13" s="123" t="str">
        <f>IF(Laborator!L13&lt;&gt;"a","",Laborator!L13)</f>
        <v/>
      </c>
      <c r="K13" s="123" t="str">
        <f>IF(Laborator!M13&lt;&gt;"a","",Laborator!M13)</f>
        <v/>
      </c>
      <c r="L13" s="123" t="str">
        <f>IF(Laborator!N13&lt;&gt;"a","",Laborator!N13)</f>
        <v/>
      </c>
      <c r="M13" s="123" t="str">
        <f>IF(Laborator!O13&lt;&gt;"a","",Laborator!O13)</f>
        <v/>
      </c>
      <c r="N13" s="123" t="str">
        <f>IF(Laborator!P13&lt;&gt;"a","",Laborator!P13)</f>
        <v/>
      </c>
      <c r="O13" s="123" t="str">
        <f>IF(Laborator!Q13&lt;&gt;"a","",Laborator!Q13)</f>
        <v/>
      </c>
      <c r="P13" s="123" t="str">
        <f>IF(Laborator!R13&lt;&gt;"a","",Laborator!R13)</f>
        <v/>
      </c>
      <c r="Q13" s="123" t="str">
        <f>IF(Laborator!S13&lt;&gt;"a","",Laborator!S13)</f>
        <v/>
      </c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7"/>
      <c r="AG13" s="117"/>
      <c r="AH13" s="114"/>
      <c r="AJ13" s="118" t="str">
        <f>I5</f>
        <v>15.03</v>
      </c>
      <c r="AK13" s="119" t="s">
        <v>114</v>
      </c>
      <c r="AL13" s="120">
        <v>4</v>
      </c>
      <c r="AM13" s="120"/>
    </row>
    <row r="14" spans="1:39" ht="19.95" customHeight="1" x14ac:dyDescent="0.3">
      <c r="A14" s="114" t="str">
        <f>Curs!B13</f>
        <v/>
      </c>
      <c r="B14" s="115" t="str">
        <f>IF(NOT(ISBLANK(Curs!C13)),Curs!C13,"")</f>
        <v/>
      </c>
      <c r="C14" s="123" t="str">
        <f>IF(Laborator!E14&lt;&gt;"a","",Laborator!E14)</f>
        <v/>
      </c>
      <c r="D14" s="123" t="str">
        <f>IF(Laborator!F14&lt;&gt;"a","",Laborator!F14)</f>
        <v/>
      </c>
      <c r="E14" s="123" t="str">
        <f>IF(Laborator!G14&lt;&gt;"a","",Laborator!G14)</f>
        <v/>
      </c>
      <c r="F14" s="123" t="str">
        <f>IF(Laborator!H14&lt;&gt;"a","",Laborator!H14)</f>
        <v/>
      </c>
      <c r="G14" s="123" t="str">
        <f>IF(Laborator!I14&lt;&gt;"a","",Laborator!I14)</f>
        <v/>
      </c>
      <c r="H14" s="123" t="str">
        <f>IF(Laborator!J14&lt;&gt;"a","",Laborator!J14)</f>
        <v/>
      </c>
      <c r="I14" s="123" t="str">
        <f>IF(Laborator!K14&lt;&gt;"a","",Laborator!K14)</f>
        <v/>
      </c>
      <c r="J14" s="123" t="str">
        <f>IF(Laborator!L14&lt;&gt;"a","",Laborator!L14)</f>
        <v/>
      </c>
      <c r="K14" s="123" t="str">
        <f>IF(Laborator!M14&lt;&gt;"a","",Laborator!M14)</f>
        <v/>
      </c>
      <c r="L14" s="123" t="str">
        <f>IF(Laborator!N14&lt;&gt;"a","",Laborator!N14)</f>
        <v/>
      </c>
      <c r="M14" s="123" t="str">
        <f>IF(Laborator!O14&lt;&gt;"a","",Laborator!O14)</f>
        <v/>
      </c>
      <c r="N14" s="123" t="str">
        <f>IF(Laborator!P14&lt;&gt;"a","",Laborator!P14)</f>
        <v/>
      </c>
      <c r="O14" s="123" t="str">
        <f>IF(Laborator!Q14&lt;&gt;"a","",Laborator!Q14)</f>
        <v/>
      </c>
      <c r="P14" s="123" t="str">
        <f>IF(Laborator!R14&lt;&gt;"a","",Laborator!R14)</f>
        <v/>
      </c>
      <c r="Q14" s="123" t="str">
        <f>IF(Laborator!S14&lt;&gt;"a","",Laborator!S14)</f>
        <v/>
      </c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7"/>
      <c r="AG14" s="117"/>
      <c r="AH14" s="114"/>
      <c r="AJ14" s="118" t="str">
        <f>J5</f>
        <v>22.03</v>
      </c>
      <c r="AK14" s="119" t="s">
        <v>114</v>
      </c>
      <c r="AL14" s="120">
        <v>4</v>
      </c>
      <c r="AM14" s="120"/>
    </row>
    <row r="15" spans="1:39" ht="19.95" customHeight="1" x14ac:dyDescent="0.3">
      <c r="A15" s="114" t="str">
        <f>Curs!B14</f>
        <v/>
      </c>
      <c r="B15" s="115" t="str">
        <f>IF(NOT(ISBLANK(Curs!C14)),Curs!C14,"")</f>
        <v/>
      </c>
      <c r="C15" s="123" t="str">
        <f>IF(Laborator!E15&lt;&gt;"a","",Laborator!E15)</f>
        <v/>
      </c>
      <c r="D15" s="123" t="str">
        <f>IF(Laborator!F15&lt;&gt;"a","",Laborator!F15)</f>
        <v/>
      </c>
      <c r="E15" s="123" t="str">
        <f>IF(Laborator!G15&lt;&gt;"a","",Laborator!G15)</f>
        <v/>
      </c>
      <c r="F15" s="123" t="str">
        <f>IF(Laborator!H15&lt;&gt;"a","",Laborator!H15)</f>
        <v/>
      </c>
      <c r="G15" s="123" t="str">
        <f>IF(Laborator!I15&lt;&gt;"a","",Laborator!I15)</f>
        <v/>
      </c>
      <c r="H15" s="123" t="str">
        <f>IF(Laborator!J15&lt;&gt;"a","",Laborator!J15)</f>
        <v/>
      </c>
      <c r="I15" s="123" t="str">
        <f>IF(Laborator!K15&lt;&gt;"a","",Laborator!K15)</f>
        <v/>
      </c>
      <c r="J15" s="123" t="str">
        <f>IF(Laborator!L15&lt;&gt;"a","",Laborator!L15)</f>
        <v/>
      </c>
      <c r="K15" s="123" t="str">
        <f>IF(Laborator!M15&lt;&gt;"a","",Laborator!M15)</f>
        <v/>
      </c>
      <c r="L15" s="123" t="str">
        <f>IF(Laborator!N15&lt;&gt;"a","",Laborator!N15)</f>
        <v/>
      </c>
      <c r="M15" s="123" t="str">
        <f>IF(Laborator!O15&lt;&gt;"a","",Laborator!O15)</f>
        <v/>
      </c>
      <c r="N15" s="123" t="str">
        <f>IF(Laborator!P15&lt;&gt;"a","",Laborator!P15)</f>
        <v/>
      </c>
      <c r="O15" s="123" t="str">
        <f>IF(Laborator!Q15&lt;&gt;"a","",Laborator!Q15)</f>
        <v/>
      </c>
      <c r="P15" s="123" t="str">
        <f>IF(Laborator!R15&lt;&gt;"a","",Laborator!R15)</f>
        <v/>
      </c>
      <c r="Q15" s="123" t="str">
        <f>IF(Laborator!S15&lt;&gt;"a","",Laborator!S15)</f>
        <v/>
      </c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7"/>
      <c r="AG15" s="117"/>
      <c r="AH15" s="114"/>
      <c r="AJ15" s="118" t="str">
        <f>K5</f>
        <v>29.03</v>
      </c>
      <c r="AK15" s="119" t="s">
        <v>130</v>
      </c>
      <c r="AL15" s="120">
        <v>4</v>
      </c>
      <c r="AM15" s="120"/>
    </row>
    <row r="16" spans="1:39" ht="19.95" customHeight="1" x14ac:dyDescent="0.3">
      <c r="A16" s="114" t="str">
        <f>Curs!B15</f>
        <v/>
      </c>
      <c r="B16" s="115" t="str">
        <f>IF(NOT(ISBLANK(Curs!C15)),Curs!C15,"")</f>
        <v/>
      </c>
      <c r="C16" s="123" t="str">
        <f>IF(Laborator!E16&lt;&gt;"a","",Laborator!E16)</f>
        <v/>
      </c>
      <c r="D16" s="123" t="str">
        <f>IF(Laborator!F16&lt;&gt;"a","",Laborator!F16)</f>
        <v/>
      </c>
      <c r="E16" s="123" t="str">
        <f>IF(Laborator!G16&lt;&gt;"a","",Laborator!G16)</f>
        <v/>
      </c>
      <c r="F16" s="123" t="str">
        <f>IF(Laborator!H16&lt;&gt;"a","",Laborator!H16)</f>
        <v/>
      </c>
      <c r="G16" s="123" t="str">
        <f>IF(Laborator!I16&lt;&gt;"a","",Laborator!I16)</f>
        <v/>
      </c>
      <c r="H16" s="123" t="str">
        <f>IF(Laborator!J16&lt;&gt;"a","",Laborator!J16)</f>
        <v/>
      </c>
      <c r="I16" s="123" t="str">
        <f>IF(Laborator!K16&lt;&gt;"a","",Laborator!K16)</f>
        <v/>
      </c>
      <c r="J16" s="123" t="str">
        <f>IF(Laborator!L16&lt;&gt;"a","",Laborator!L16)</f>
        <v/>
      </c>
      <c r="K16" s="123" t="str">
        <f>IF(Laborator!M16&lt;&gt;"a","",Laborator!M16)</f>
        <v/>
      </c>
      <c r="L16" s="123" t="str">
        <f>IF(Laborator!N16&lt;&gt;"a","",Laborator!N16)</f>
        <v/>
      </c>
      <c r="M16" s="123" t="str">
        <f>IF(Laborator!O16&lt;&gt;"a","",Laborator!O16)</f>
        <v/>
      </c>
      <c r="N16" s="123" t="str">
        <f>IF(Laborator!P16&lt;&gt;"a","",Laborator!P16)</f>
        <v/>
      </c>
      <c r="O16" s="123" t="str">
        <f>IF(Laborator!Q16&lt;&gt;"a","",Laborator!Q16)</f>
        <v/>
      </c>
      <c r="P16" s="123" t="str">
        <f>IF(Laborator!R16&lt;&gt;"a","",Laborator!R16)</f>
        <v/>
      </c>
      <c r="Q16" s="123" t="str">
        <f>IF(Laborator!S16&lt;&gt;"a","",Laborator!S16)</f>
        <v/>
      </c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7"/>
      <c r="AG16" s="117"/>
      <c r="AH16" s="114"/>
      <c r="AJ16" s="118" t="str">
        <f>L5</f>
        <v>5.04</v>
      </c>
      <c r="AK16" s="119" t="s">
        <v>130</v>
      </c>
      <c r="AL16" s="120">
        <v>4</v>
      </c>
      <c r="AM16" s="120"/>
    </row>
    <row r="17" spans="1:39" ht="19.95" customHeight="1" x14ac:dyDescent="0.3">
      <c r="A17" s="114" t="str">
        <f>Curs!B16</f>
        <v/>
      </c>
      <c r="B17" s="115" t="str">
        <f>IF(NOT(ISBLANK(Curs!C16)),Curs!C16,"")</f>
        <v/>
      </c>
      <c r="C17" s="123" t="str">
        <f>IF(Laborator!E17&lt;&gt;"a","",Laborator!E17)</f>
        <v/>
      </c>
      <c r="D17" s="123" t="str">
        <f>IF(Laborator!F17&lt;&gt;"a","",Laborator!F17)</f>
        <v/>
      </c>
      <c r="E17" s="123" t="str">
        <f>IF(Laborator!G17&lt;&gt;"a","",Laborator!G17)</f>
        <v/>
      </c>
      <c r="F17" s="123" t="str">
        <f>IF(Laborator!H17&lt;&gt;"a","",Laborator!H17)</f>
        <v/>
      </c>
      <c r="G17" s="123" t="str">
        <f>IF(Laborator!I17&lt;&gt;"a","",Laborator!I17)</f>
        <v/>
      </c>
      <c r="H17" s="123" t="str">
        <f>IF(Laborator!J17&lt;&gt;"a","",Laborator!J17)</f>
        <v/>
      </c>
      <c r="I17" s="123" t="str">
        <f>IF(Laborator!K17&lt;&gt;"a","",Laborator!K17)</f>
        <v/>
      </c>
      <c r="J17" s="123" t="str">
        <f>IF(Laborator!L17&lt;&gt;"a","",Laborator!L17)</f>
        <v/>
      </c>
      <c r="K17" s="123" t="str">
        <f>IF(Laborator!M17&lt;&gt;"a","",Laborator!M17)</f>
        <v/>
      </c>
      <c r="L17" s="123" t="str">
        <f>IF(Laborator!N17&lt;&gt;"a","",Laborator!N17)</f>
        <v/>
      </c>
      <c r="M17" s="123" t="str">
        <f>IF(Laborator!O17&lt;&gt;"a","",Laborator!O17)</f>
        <v/>
      </c>
      <c r="N17" s="123" t="str">
        <f>IF(Laborator!P17&lt;&gt;"a","",Laborator!P17)</f>
        <v/>
      </c>
      <c r="O17" s="123" t="str">
        <f>IF(Laborator!Q17&lt;&gt;"a","",Laborator!Q17)</f>
        <v/>
      </c>
      <c r="P17" s="123" t="str">
        <f>IF(Laborator!R17&lt;&gt;"a","",Laborator!R17)</f>
        <v/>
      </c>
      <c r="Q17" s="123" t="str">
        <f>IF(Laborator!S17&lt;&gt;"a","",Laborator!S17)</f>
        <v/>
      </c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7"/>
      <c r="AG17" s="117"/>
      <c r="AH17" s="114"/>
      <c r="AJ17" s="118" t="str">
        <f>M5</f>
        <v>12.04</v>
      </c>
      <c r="AK17" s="119" t="s">
        <v>131</v>
      </c>
      <c r="AL17" s="120">
        <v>4</v>
      </c>
      <c r="AM17" s="120"/>
    </row>
    <row r="18" spans="1:39" ht="19.95" customHeight="1" x14ac:dyDescent="0.3">
      <c r="A18" s="114" t="str">
        <f>Curs!B17</f>
        <v/>
      </c>
      <c r="B18" s="115" t="str">
        <f>IF(NOT(ISBLANK(Curs!C17)),Curs!C17,"")</f>
        <v/>
      </c>
      <c r="C18" s="123" t="str">
        <f>IF(Laborator!E18&lt;&gt;"a","",Laborator!E18)</f>
        <v/>
      </c>
      <c r="D18" s="123" t="str">
        <f>IF(Laborator!F18&lt;&gt;"a","",Laborator!F18)</f>
        <v/>
      </c>
      <c r="E18" s="123" t="str">
        <f>IF(Laborator!G18&lt;&gt;"a","",Laborator!G18)</f>
        <v/>
      </c>
      <c r="F18" s="123" t="str">
        <f>IF(Laborator!H18&lt;&gt;"a","",Laborator!H18)</f>
        <v/>
      </c>
      <c r="G18" s="123" t="str">
        <f>IF(Laborator!I18&lt;&gt;"a","",Laborator!I18)</f>
        <v/>
      </c>
      <c r="H18" s="123" t="str">
        <f>IF(Laborator!J18&lt;&gt;"a","",Laborator!J18)</f>
        <v/>
      </c>
      <c r="I18" s="123" t="str">
        <f>IF(Laborator!K18&lt;&gt;"a","",Laborator!K18)</f>
        <v/>
      </c>
      <c r="J18" s="123" t="str">
        <f>IF(Laborator!L18&lt;&gt;"a","",Laborator!L18)</f>
        <v/>
      </c>
      <c r="K18" s="123" t="str">
        <f>IF(Laborator!M18&lt;&gt;"a","",Laborator!M18)</f>
        <v/>
      </c>
      <c r="L18" s="123" t="str">
        <f>IF(Laborator!N18&lt;&gt;"a","",Laborator!N18)</f>
        <v/>
      </c>
      <c r="M18" s="123" t="str">
        <f>IF(Laborator!O18&lt;&gt;"a","",Laborator!O18)</f>
        <v/>
      </c>
      <c r="N18" s="123" t="str">
        <f>IF(Laborator!P18&lt;&gt;"a","",Laborator!P18)</f>
        <v/>
      </c>
      <c r="O18" s="123" t="str">
        <f>IF(Laborator!Q18&lt;&gt;"a","",Laborator!Q18)</f>
        <v/>
      </c>
      <c r="P18" s="123" t="str">
        <f>IF(Laborator!R18&lt;&gt;"a","",Laborator!R18)</f>
        <v/>
      </c>
      <c r="Q18" s="123" t="str">
        <f>IF(Laborator!S18&lt;&gt;"a","",Laborator!S18)</f>
        <v/>
      </c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7"/>
      <c r="AG18" s="117"/>
      <c r="AH18" s="114"/>
      <c r="AJ18" s="118" t="str">
        <f>N5</f>
        <v>19.04</v>
      </c>
      <c r="AK18" s="119" t="s">
        <v>132</v>
      </c>
      <c r="AL18" s="120">
        <v>4</v>
      </c>
      <c r="AM18" s="120"/>
    </row>
    <row r="19" spans="1:39" ht="19.95" customHeight="1" x14ac:dyDescent="0.3">
      <c r="A19" s="114" t="str">
        <f>Curs!B18</f>
        <v/>
      </c>
      <c r="B19" s="115" t="str">
        <f>IF(NOT(ISBLANK(Curs!C18)),Curs!C18,"")</f>
        <v/>
      </c>
      <c r="C19" s="123" t="str">
        <f>IF(Laborator!E19&lt;&gt;"a","",Laborator!E19)</f>
        <v/>
      </c>
      <c r="D19" s="123" t="str">
        <f>IF(Laborator!F19&lt;&gt;"a","",Laborator!F19)</f>
        <v/>
      </c>
      <c r="E19" s="123" t="str">
        <f>IF(Laborator!G19&lt;&gt;"a","",Laborator!G19)</f>
        <v/>
      </c>
      <c r="F19" s="123" t="str">
        <f>IF(Laborator!H19&lt;&gt;"a","",Laborator!H19)</f>
        <v/>
      </c>
      <c r="G19" s="123" t="str">
        <f>IF(Laborator!I19&lt;&gt;"a","",Laborator!I19)</f>
        <v/>
      </c>
      <c r="H19" s="123" t="str">
        <f>IF(Laborator!J19&lt;&gt;"a","",Laborator!J19)</f>
        <v/>
      </c>
      <c r="I19" s="123" t="str">
        <f>IF(Laborator!K19&lt;&gt;"a","",Laborator!K19)</f>
        <v/>
      </c>
      <c r="J19" s="123" t="str">
        <f>IF(Laborator!L19&lt;&gt;"a","",Laborator!L19)</f>
        <v/>
      </c>
      <c r="K19" s="123" t="str">
        <f>IF(Laborator!M19&lt;&gt;"a","",Laborator!M19)</f>
        <v/>
      </c>
      <c r="L19" s="123" t="str">
        <f>IF(Laborator!N19&lt;&gt;"a","",Laborator!N19)</f>
        <v/>
      </c>
      <c r="M19" s="123" t="str">
        <f>IF(Laborator!O19&lt;&gt;"a","",Laborator!O19)</f>
        <v/>
      </c>
      <c r="N19" s="123" t="str">
        <f>IF(Laborator!P19&lt;&gt;"a","",Laborator!P19)</f>
        <v/>
      </c>
      <c r="O19" s="123" t="str">
        <f>IF(Laborator!Q19&lt;&gt;"a","",Laborator!Q19)</f>
        <v/>
      </c>
      <c r="P19" s="123" t="str">
        <f>IF(Laborator!R19&lt;&gt;"a","",Laborator!R19)</f>
        <v/>
      </c>
      <c r="Q19" s="123" t="str">
        <f>IF(Laborator!S19&lt;&gt;"a","",Laborator!S19)</f>
        <v/>
      </c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7"/>
      <c r="AG19" s="117"/>
      <c r="AH19" s="114"/>
      <c r="AJ19" s="118" t="str">
        <f>O5</f>
        <v>26.04</v>
      </c>
      <c r="AK19" s="119" t="s">
        <v>133</v>
      </c>
      <c r="AL19" s="120">
        <v>4</v>
      </c>
      <c r="AM19" s="120"/>
    </row>
    <row r="20" spans="1:39" ht="19.95" customHeight="1" x14ac:dyDescent="0.3">
      <c r="A20" s="114" t="str">
        <f>Curs!B19</f>
        <v/>
      </c>
      <c r="B20" s="115" t="str">
        <f>IF(NOT(ISBLANK(Curs!C19)),Curs!C19,"")</f>
        <v/>
      </c>
      <c r="C20" s="123" t="str">
        <f>IF(Laborator!E20&lt;&gt;"a","",Laborator!E20)</f>
        <v/>
      </c>
      <c r="D20" s="123" t="str">
        <f>IF(Laborator!F20&lt;&gt;"a","",Laborator!F20)</f>
        <v/>
      </c>
      <c r="E20" s="123" t="str">
        <f>IF(Laborator!G20&lt;&gt;"a","",Laborator!G20)</f>
        <v/>
      </c>
      <c r="F20" s="123" t="str">
        <f>IF(Laborator!H20&lt;&gt;"a","",Laborator!H20)</f>
        <v/>
      </c>
      <c r="G20" s="123" t="str">
        <f>IF(Laborator!I20&lt;&gt;"a","",Laborator!I20)</f>
        <v/>
      </c>
      <c r="H20" s="123" t="str">
        <f>IF(Laborator!J20&lt;&gt;"a","",Laborator!J20)</f>
        <v/>
      </c>
      <c r="I20" s="123" t="str">
        <f>IF(Laborator!K20&lt;&gt;"a","",Laborator!K20)</f>
        <v/>
      </c>
      <c r="J20" s="123" t="str">
        <f>IF(Laborator!L20&lt;&gt;"a","",Laborator!L20)</f>
        <v/>
      </c>
      <c r="K20" s="123" t="str">
        <f>IF(Laborator!M20&lt;&gt;"a","",Laborator!M20)</f>
        <v/>
      </c>
      <c r="L20" s="123" t="str">
        <f>IF(Laborator!N20&lt;&gt;"a","",Laborator!N20)</f>
        <v/>
      </c>
      <c r="M20" s="123" t="str">
        <f>IF(Laborator!O20&lt;&gt;"a","",Laborator!O20)</f>
        <v/>
      </c>
      <c r="N20" s="123" t="str">
        <f>IF(Laborator!P20&lt;&gt;"a","",Laborator!P20)</f>
        <v/>
      </c>
      <c r="O20" s="123" t="str">
        <f>IF(Laborator!Q20&lt;&gt;"a","",Laborator!Q20)</f>
        <v/>
      </c>
      <c r="P20" s="123" t="str">
        <f>IF(Laborator!R20&lt;&gt;"a","",Laborator!R20)</f>
        <v/>
      </c>
      <c r="Q20" s="123" t="str">
        <f>IF(Laborator!S20&lt;&gt;"a","",Laborator!S20)</f>
        <v/>
      </c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7"/>
      <c r="AG20" s="117"/>
      <c r="AH20" s="114"/>
      <c r="AJ20" s="118" t="str">
        <f>P5</f>
        <v>3.05</v>
      </c>
      <c r="AK20" s="119" t="s">
        <v>133</v>
      </c>
      <c r="AL20" s="120">
        <v>4</v>
      </c>
      <c r="AM20" s="120"/>
    </row>
    <row r="21" spans="1:39" ht="19.95" customHeight="1" x14ac:dyDescent="0.3">
      <c r="A21" s="114" t="str">
        <f>Curs!B20</f>
        <v/>
      </c>
      <c r="B21" s="115" t="str">
        <f>IF(NOT(ISBLANK(Curs!C20)),Curs!C20,"")</f>
        <v/>
      </c>
      <c r="C21" s="123" t="str">
        <f>IF(Laborator!E21&lt;&gt;"a","",Laborator!E21)</f>
        <v/>
      </c>
      <c r="D21" s="123" t="str">
        <f>IF(Laborator!F21&lt;&gt;"a","",Laborator!F21)</f>
        <v/>
      </c>
      <c r="E21" s="123" t="str">
        <f>IF(Laborator!G21&lt;&gt;"a","",Laborator!G21)</f>
        <v/>
      </c>
      <c r="F21" s="123" t="str">
        <f>IF(Laborator!H21&lt;&gt;"a","",Laborator!H21)</f>
        <v/>
      </c>
      <c r="G21" s="123" t="str">
        <f>IF(Laborator!I21&lt;&gt;"a","",Laborator!I21)</f>
        <v/>
      </c>
      <c r="H21" s="123" t="str">
        <f>IF(Laborator!J21&lt;&gt;"a","",Laborator!J21)</f>
        <v/>
      </c>
      <c r="I21" s="123" t="str">
        <f>IF(Laborator!K21&lt;&gt;"a","",Laborator!K21)</f>
        <v/>
      </c>
      <c r="J21" s="123" t="str">
        <f>IF(Laborator!L21&lt;&gt;"a","",Laborator!L21)</f>
        <v/>
      </c>
      <c r="K21" s="123" t="str">
        <f>IF(Laborator!M21&lt;&gt;"a","",Laborator!M21)</f>
        <v/>
      </c>
      <c r="L21" s="123" t="str">
        <f>IF(Laborator!N21&lt;&gt;"a","",Laborator!N21)</f>
        <v/>
      </c>
      <c r="M21" s="123" t="str">
        <f>IF(Laborator!O21&lt;&gt;"a","",Laborator!O21)</f>
        <v/>
      </c>
      <c r="N21" s="123" t="str">
        <f>IF(Laborator!P21&lt;&gt;"a","",Laborator!P21)</f>
        <v/>
      </c>
      <c r="O21" s="123" t="str">
        <f>IF(Laborator!Q21&lt;&gt;"a","",Laborator!Q21)</f>
        <v/>
      </c>
      <c r="P21" s="123" t="str">
        <f>IF(Laborator!R21&lt;&gt;"a","",Laborator!R21)</f>
        <v/>
      </c>
      <c r="Q21" s="123" t="str">
        <f>IF(Laborator!S21&lt;&gt;"a","",Laborator!S21)</f>
        <v/>
      </c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7"/>
      <c r="AG21" s="117"/>
      <c r="AH21" s="114"/>
      <c r="AJ21" s="118" t="str">
        <f>Q5</f>
        <v>17.05</v>
      </c>
      <c r="AK21" s="119" t="s">
        <v>134</v>
      </c>
      <c r="AL21" s="120">
        <v>4</v>
      </c>
      <c r="AM21" s="120"/>
    </row>
    <row r="22" spans="1:39" ht="19.95" customHeight="1" x14ac:dyDescent="0.3">
      <c r="A22" s="114" t="str">
        <f>Curs!B21</f>
        <v/>
      </c>
      <c r="B22" s="115" t="str">
        <f>IF(NOT(ISBLANK(Curs!C21)),Curs!C21,"")</f>
        <v/>
      </c>
      <c r="C22" s="123" t="str">
        <f>IF(Laborator!E22&lt;&gt;"a","",Laborator!E22)</f>
        <v/>
      </c>
      <c r="D22" s="123" t="str">
        <f>IF(Laborator!F22&lt;&gt;"a","",Laborator!F22)</f>
        <v/>
      </c>
      <c r="E22" s="123" t="str">
        <f>IF(Laborator!G22&lt;&gt;"a","",Laborator!G22)</f>
        <v/>
      </c>
      <c r="F22" s="123" t="str">
        <f>IF(Laborator!H22&lt;&gt;"a","",Laborator!H22)</f>
        <v/>
      </c>
      <c r="G22" s="123" t="str">
        <f>IF(Laborator!I22&lt;&gt;"a","",Laborator!I22)</f>
        <v/>
      </c>
      <c r="H22" s="123" t="str">
        <f>IF(Laborator!J22&lt;&gt;"a","",Laborator!J22)</f>
        <v/>
      </c>
      <c r="I22" s="123" t="str">
        <f>IF(Laborator!K22&lt;&gt;"a","",Laborator!K22)</f>
        <v/>
      </c>
      <c r="J22" s="123" t="str">
        <f>IF(Laborator!L22&lt;&gt;"a","",Laborator!L22)</f>
        <v/>
      </c>
      <c r="K22" s="123" t="str">
        <f>IF(Laborator!M22&lt;&gt;"a","",Laborator!M22)</f>
        <v/>
      </c>
      <c r="L22" s="123" t="str">
        <f>IF(Laborator!N22&lt;&gt;"a","",Laborator!N22)</f>
        <v/>
      </c>
      <c r="M22" s="123" t="str">
        <f>IF(Laborator!O22&lt;&gt;"a","",Laborator!O22)</f>
        <v/>
      </c>
      <c r="N22" s="123" t="str">
        <f>IF(Laborator!P22&lt;&gt;"a","",Laborator!P22)</f>
        <v/>
      </c>
      <c r="O22" s="123" t="str">
        <f>IF(Laborator!Q22&lt;&gt;"a","",Laborator!Q22)</f>
        <v/>
      </c>
      <c r="P22" s="123" t="str">
        <f>IF(Laborator!R22&lt;&gt;"a","",Laborator!R22)</f>
        <v/>
      </c>
      <c r="Q22" s="123" t="str">
        <f>IF(Laborator!S22&lt;&gt;"a","",Laborator!S22)</f>
        <v/>
      </c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7"/>
      <c r="AG22" s="117"/>
      <c r="AH22" s="114"/>
      <c r="AJ22" s="120"/>
      <c r="AK22" s="122" t="s">
        <v>105</v>
      </c>
      <c r="AL22" s="117">
        <v>60</v>
      </c>
      <c r="AM22" s="120"/>
    </row>
    <row r="23" spans="1:39" ht="19.95" customHeight="1" x14ac:dyDescent="0.3">
      <c r="A23" s="114" t="str">
        <f>Curs!B22</f>
        <v/>
      </c>
      <c r="B23" s="115" t="str">
        <f>IF(NOT(ISBLANK(Curs!C22)),Curs!C22,"")</f>
        <v/>
      </c>
      <c r="C23" s="123" t="str">
        <f>IF(Laborator!E23&lt;&gt;"a","",Laborator!E23)</f>
        <v/>
      </c>
      <c r="D23" s="123" t="str">
        <f>IF(Laborator!F23&lt;&gt;"a","",Laborator!F23)</f>
        <v/>
      </c>
      <c r="E23" s="123" t="str">
        <f>IF(Laborator!G23&lt;&gt;"a","",Laborator!G23)</f>
        <v/>
      </c>
      <c r="F23" s="123" t="str">
        <f>IF(Laborator!H23&lt;&gt;"a","",Laborator!H23)</f>
        <v/>
      </c>
      <c r="G23" s="123" t="str">
        <f>IF(Laborator!I23&lt;&gt;"a","",Laborator!I23)</f>
        <v/>
      </c>
      <c r="H23" s="123" t="str">
        <f>IF(Laborator!J23&lt;&gt;"a","",Laborator!J23)</f>
        <v/>
      </c>
      <c r="I23" s="123" t="str">
        <f>IF(Laborator!K23&lt;&gt;"a","",Laborator!K23)</f>
        <v/>
      </c>
      <c r="J23" s="123" t="str">
        <f>IF(Laborator!L23&lt;&gt;"a","",Laborator!L23)</f>
        <v/>
      </c>
      <c r="K23" s="123" t="str">
        <f>IF(Laborator!M23&lt;&gt;"a","",Laborator!M23)</f>
        <v/>
      </c>
      <c r="L23" s="123" t="str">
        <f>IF(Laborator!N23&lt;&gt;"a","",Laborator!N23)</f>
        <v/>
      </c>
      <c r="M23" s="123" t="str">
        <f>IF(Laborator!O23&lt;&gt;"a","",Laborator!O23)</f>
        <v/>
      </c>
      <c r="N23" s="123" t="str">
        <f>IF(Laborator!P23&lt;&gt;"a","",Laborator!P23)</f>
        <v/>
      </c>
      <c r="O23" s="123" t="str">
        <f>IF(Laborator!Q23&lt;&gt;"a","",Laborator!Q23)</f>
        <v/>
      </c>
      <c r="P23" s="123" t="str">
        <f>IF(Laborator!R23&lt;&gt;"a","",Laborator!R23)</f>
        <v/>
      </c>
      <c r="Q23" s="123" t="str">
        <f>IF(Laborator!S23&lt;&gt;"a","",Laborator!S23)</f>
        <v/>
      </c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7"/>
      <c r="AG23" s="117"/>
      <c r="AH23" s="114"/>
      <c r="AJ23" s="120"/>
      <c r="AK23" s="122" t="s">
        <v>106</v>
      </c>
      <c r="AL23" s="117">
        <f>SUM(AL7:AL21)</f>
        <v>60</v>
      </c>
      <c r="AM23" s="120"/>
    </row>
    <row r="24" spans="1:39" ht="19.95" customHeight="1" x14ac:dyDescent="0.3">
      <c r="A24" s="114" t="str">
        <f>Curs!B23</f>
        <v/>
      </c>
      <c r="B24" s="115" t="str">
        <f>IF(NOT(ISBLANK(Curs!C23)),Curs!C23,"")</f>
        <v/>
      </c>
      <c r="C24" s="123" t="str">
        <f>IF(Laborator!E24&lt;&gt;"a","",Laborator!E24)</f>
        <v/>
      </c>
      <c r="D24" s="123" t="str">
        <f>IF(Laborator!F24&lt;&gt;"a","",Laborator!F24)</f>
        <v/>
      </c>
      <c r="E24" s="123" t="str">
        <f>IF(Laborator!G24&lt;&gt;"a","",Laborator!G24)</f>
        <v/>
      </c>
      <c r="F24" s="123" t="str">
        <f>IF(Laborator!H24&lt;&gt;"a","",Laborator!H24)</f>
        <v/>
      </c>
      <c r="G24" s="123" t="str">
        <f>IF(Laborator!I24&lt;&gt;"a","",Laborator!I24)</f>
        <v/>
      </c>
      <c r="H24" s="123" t="str">
        <f>IF(Laborator!J24&lt;&gt;"a","",Laborator!J24)</f>
        <v/>
      </c>
      <c r="I24" s="123" t="str">
        <f>IF(Laborator!K24&lt;&gt;"a","",Laborator!K24)</f>
        <v/>
      </c>
      <c r="J24" s="123" t="str">
        <f>IF(Laborator!L24&lt;&gt;"a","",Laborator!L24)</f>
        <v/>
      </c>
      <c r="K24" s="123" t="str">
        <f>IF(Laborator!M24&lt;&gt;"a","",Laborator!M24)</f>
        <v/>
      </c>
      <c r="L24" s="123" t="str">
        <f>IF(Laborator!N24&lt;&gt;"a","",Laborator!N24)</f>
        <v/>
      </c>
      <c r="M24" s="123" t="str">
        <f>IF(Laborator!O24&lt;&gt;"a","",Laborator!O24)</f>
        <v/>
      </c>
      <c r="N24" s="123" t="str">
        <f>IF(Laborator!P24&lt;&gt;"a","",Laborator!P24)</f>
        <v/>
      </c>
      <c r="O24" s="123" t="str">
        <f>IF(Laborator!Q24&lt;&gt;"a","",Laborator!Q24)</f>
        <v/>
      </c>
      <c r="P24" s="123" t="str">
        <f>IF(Laborator!R24&lt;&gt;"a","",Laborator!R24)</f>
        <v/>
      </c>
      <c r="Q24" s="123" t="str">
        <f>IF(Laborator!S24&lt;&gt;"a","",Laborator!S24)</f>
        <v/>
      </c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7"/>
      <c r="AG24" s="117"/>
      <c r="AH24" s="114"/>
      <c r="AJ24" s="120"/>
      <c r="AK24" s="122"/>
      <c r="AL24" s="117"/>
      <c r="AM24" s="120"/>
    </row>
    <row r="25" spans="1:39" ht="19.95" customHeight="1" x14ac:dyDescent="0.3">
      <c r="A25" s="114" t="str">
        <f>Curs!B24</f>
        <v/>
      </c>
      <c r="B25" s="115" t="str">
        <f>IF(NOT(ISBLANK(Curs!C24)),Curs!C24,"")</f>
        <v/>
      </c>
      <c r="C25" s="123" t="str">
        <f>IF(Laborator!E25&lt;&gt;"a","",Laborator!E25)</f>
        <v/>
      </c>
      <c r="D25" s="123" t="str">
        <f>IF(Laborator!F25&lt;&gt;"a","",Laborator!F25)</f>
        <v/>
      </c>
      <c r="E25" s="123" t="str">
        <f>IF(Laborator!G25&lt;&gt;"a","",Laborator!G25)</f>
        <v/>
      </c>
      <c r="F25" s="123" t="str">
        <f>IF(Laborator!H25&lt;&gt;"a","",Laborator!H25)</f>
        <v/>
      </c>
      <c r="G25" s="123" t="str">
        <f>IF(Laborator!I25&lt;&gt;"a","",Laborator!I25)</f>
        <v/>
      </c>
      <c r="H25" s="123" t="str">
        <f>IF(Laborator!J25&lt;&gt;"a","",Laborator!J25)</f>
        <v/>
      </c>
      <c r="I25" s="123" t="str">
        <f>IF(Laborator!K25&lt;&gt;"a","",Laborator!K25)</f>
        <v/>
      </c>
      <c r="J25" s="123" t="str">
        <f>IF(Laborator!L25&lt;&gt;"a","",Laborator!L25)</f>
        <v/>
      </c>
      <c r="K25" s="123" t="str">
        <f>IF(Laborator!M25&lt;&gt;"a","",Laborator!M25)</f>
        <v/>
      </c>
      <c r="L25" s="123" t="str">
        <f>IF(Laborator!N25&lt;&gt;"a","",Laborator!N25)</f>
        <v/>
      </c>
      <c r="M25" s="123" t="str">
        <f>IF(Laborator!O25&lt;&gt;"a","",Laborator!O25)</f>
        <v/>
      </c>
      <c r="N25" s="123" t="str">
        <f>IF(Laborator!P25&lt;&gt;"a","",Laborator!P25)</f>
        <v/>
      </c>
      <c r="O25" s="123" t="str">
        <f>IF(Laborator!Q25&lt;&gt;"a","",Laborator!Q25)</f>
        <v/>
      </c>
      <c r="P25" s="123" t="str">
        <f>IF(Laborator!R25&lt;&gt;"a","",Laborator!R25)</f>
        <v/>
      </c>
      <c r="Q25" s="123" t="str">
        <f>IF(Laborator!S25&lt;&gt;"a","",Laborator!S25)</f>
        <v/>
      </c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7"/>
      <c r="AG25" s="117"/>
      <c r="AH25" s="114"/>
      <c r="AJ25" s="120"/>
      <c r="AK25" s="122"/>
      <c r="AL25" s="117"/>
      <c r="AM25" s="120"/>
    </row>
    <row r="26" spans="1:39" ht="19.95" customHeight="1" x14ac:dyDescent="0.3">
      <c r="A26" s="114" t="str">
        <f>Curs!B25</f>
        <v/>
      </c>
      <c r="B26" s="115" t="str">
        <f>IF(NOT(ISBLANK(Curs!C25)),Curs!C25,"")</f>
        <v/>
      </c>
      <c r="C26" s="123" t="str">
        <f>IF(Laborator!E26&lt;&gt;"a","",Laborator!E26)</f>
        <v/>
      </c>
      <c r="D26" s="123" t="str">
        <f>IF(Laborator!F26&lt;&gt;"a","",Laborator!F26)</f>
        <v/>
      </c>
      <c r="E26" s="123" t="str">
        <f>IF(Laborator!G26&lt;&gt;"a","",Laborator!G26)</f>
        <v/>
      </c>
      <c r="F26" s="123" t="str">
        <f>IF(Laborator!H26&lt;&gt;"a","",Laborator!H26)</f>
        <v/>
      </c>
      <c r="G26" s="123" t="str">
        <f>IF(Laborator!I26&lt;&gt;"a","",Laborator!I26)</f>
        <v/>
      </c>
      <c r="H26" s="123" t="str">
        <f>IF(Laborator!J26&lt;&gt;"a","",Laborator!J26)</f>
        <v/>
      </c>
      <c r="I26" s="123" t="str">
        <f>IF(Laborator!K26&lt;&gt;"a","",Laborator!K26)</f>
        <v/>
      </c>
      <c r="J26" s="123" t="str">
        <f>IF(Laborator!L26&lt;&gt;"a","",Laborator!L26)</f>
        <v/>
      </c>
      <c r="K26" s="123" t="str">
        <f>IF(Laborator!M26&lt;&gt;"a","",Laborator!M26)</f>
        <v/>
      </c>
      <c r="L26" s="123" t="str">
        <f>IF(Laborator!N26&lt;&gt;"a","",Laborator!N26)</f>
        <v/>
      </c>
      <c r="M26" s="123" t="str">
        <f>IF(Laborator!O26&lt;&gt;"a","",Laborator!O26)</f>
        <v/>
      </c>
      <c r="N26" s="123" t="str">
        <f>IF(Laborator!P26&lt;&gt;"a","",Laborator!P26)</f>
        <v/>
      </c>
      <c r="O26" s="123" t="str">
        <f>IF(Laborator!Q26&lt;&gt;"a","",Laborator!Q26)</f>
        <v/>
      </c>
      <c r="P26" s="123" t="str">
        <f>IF(Laborator!R26&lt;&gt;"a","",Laborator!R26)</f>
        <v/>
      </c>
      <c r="Q26" s="123" t="str">
        <f>IF(Laborator!S26&lt;&gt;"a","",Laborator!S26)</f>
        <v/>
      </c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7"/>
      <c r="AG26" s="117"/>
      <c r="AH26" s="114"/>
      <c r="AJ26" s="120"/>
      <c r="AK26" s="119"/>
      <c r="AL26" s="114"/>
      <c r="AM26" s="114"/>
    </row>
    <row r="27" spans="1:39" ht="19.95" customHeight="1" x14ac:dyDescent="0.3">
      <c r="A27" s="114" t="str">
        <f>Curs!B26</f>
        <v/>
      </c>
      <c r="B27" s="115" t="str">
        <f>IF(NOT(ISBLANK(Curs!C26)),Curs!C26,"")</f>
        <v/>
      </c>
      <c r="C27" s="123" t="str">
        <f>IF(Laborator!E27&lt;&gt;"a","",Laborator!E27)</f>
        <v/>
      </c>
      <c r="D27" s="123" t="str">
        <f>IF(Laborator!F27&lt;&gt;"a","",Laborator!F27)</f>
        <v/>
      </c>
      <c r="E27" s="123" t="str">
        <f>IF(Laborator!G27&lt;&gt;"a","",Laborator!G27)</f>
        <v/>
      </c>
      <c r="F27" s="123" t="str">
        <f>IF(Laborator!H27&lt;&gt;"a","",Laborator!H27)</f>
        <v/>
      </c>
      <c r="G27" s="123" t="str">
        <f>IF(Laborator!I27&lt;&gt;"a","",Laborator!I27)</f>
        <v/>
      </c>
      <c r="H27" s="123" t="str">
        <f>IF(Laborator!J27&lt;&gt;"a","",Laborator!J27)</f>
        <v/>
      </c>
      <c r="I27" s="123" t="str">
        <f>IF(Laborator!K27&lt;&gt;"a","",Laborator!K27)</f>
        <v/>
      </c>
      <c r="J27" s="123" t="str">
        <f>IF(Laborator!L27&lt;&gt;"a","",Laborator!L27)</f>
        <v/>
      </c>
      <c r="K27" s="123" t="str">
        <f>IF(Laborator!M27&lt;&gt;"a","",Laborator!M27)</f>
        <v/>
      </c>
      <c r="L27" s="123" t="str">
        <f>IF(Laborator!N27&lt;&gt;"a","",Laborator!N27)</f>
        <v/>
      </c>
      <c r="M27" s="123" t="str">
        <f>IF(Laborator!O27&lt;&gt;"a","",Laborator!O27)</f>
        <v/>
      </c>
      <c r="N27" s="123" t="str">
        <f>IF(Laborator!P27&lt;&gt;"a","",Laborator!P27)</f>
        <v/>
      </c>
      <c r="O27" s="123" t="str">
        <f>IF(Laborator!Q27&lt;&gt;"a","",Laborator!Q27)</f>
        <v/>
      </c>
      <c r="P27" s="123" t="str">
        <f>IF(Laborator!R27&lt;&gt;"a","",Laborator!R27)</f>
        <v/>
      </c>
      <c r="Q27" s="123" t="str">
        <f>IF(Laborator!S27&lt;&gt;"a","",Laborator!S27)</f>
        <v/>
      </c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7"/>
      <c r="AG27" s="117"/>
      <c r="AH27" s="114"/>
      <c r="AJ27" s="120"/>
      <c r="AK27" s="119"/>
      <c r="AL27" s="114"/>
      <c r="AM27" s="114"/>
    </row>
    <row r="28" spans="1:39" ht="19.95" customHeight="1" x14ac:dyDescent="0.3">
      <c r="A28" s="114" t="str">
        <f>Curs!B27</f>
        <v/>
      </c>
      <c r="B28" s="115" t="str">
        <f>IF(NOT(ISBLANK(Curs!C27)),Curs!C27,"")</f>
        <v/>
      </c>
      <c r="C28" s="123" t="str">
        <f>IF(Laborator!E28&lt;&gt;"a","",Laborator!E28)</f>
        <v/>
      </c>
      <c r="D28" s="123" t="str">
        <f>IF(Laborator!F28&lt;&gt;"a","",Laborator!F28)</f>
        <v/>
      </c>
      <c r="E28" s="123" t="str">
        <f>IF(Laborator!G28&lt;&gt;"a","",Laborator!G28)</f>
        <v/>
      </c>
      <c r="F28" s="123" t="str">
        <f>IF(Laborator!H28&lt;&gt;"a","",Laborator!H28)</f>
        <v/>
      </c>
      <c r="G28" s="123" t="str">
        <f>IF(Laborator!I28&lt;&gt;"a","",Laborator!I28)</f>
        <v/>
      </c>
      <c r="H28" s="123" t="str">
        <f>IF(Laborator!J28&lt;&gt;"a","",Laborator!J28)</f>
        <v/>
      </c>
      <c r="I28" s="123" t="str">
        <f>IF(Laborator!K28&lt;&gt;"a","",Laborator!K28)</f>
        <v/>
      </c>
      <c r="J28" s="123" t="str">
        <f>IF(Laborator!L28&lt;&gt;"a","",Laborator!L28)</f>
        <v/>
      </c>
      <c r="K28" s="123" t="str">
        <f>IF(Laborator!M28&lt;&gt;"a","",Laborator!M28)</f>
        <v/>
      </c>
      <c r="L28" s="123" t="str">
        <f>IF(Laborator!N28&lt;&gt;"a","",Laborator!N28)</f>
        <v/>
      </c>
      <c r="M28" s="123" t="str">
        <f>IF(Laborator!O28&lt;&gt;"a","",Laborator!O28)</f>
        <v/>
      </c>
      <c r="N28" s="123" t="str">
        <f>IF(Laborator!P28&lt;&gt;"a","",Laborator!P28)</f>
        <v/>
      </c>
      <c r="O28" s="123" t="str">
        <f>IF(Laborator!Q28&lt;&gt;"a","",Laborator!Q28)</f>
        <v/>
      </c>
      <c r="P28" s="123" t="str">
        <f>IF(Laborator!R28&lt;&gt;"a","",Laborator!R28)</f>
        <v/>
      </c>
      <c r="Q28" s="123" t="str">
        <f>IF(Laborator!S28&lt;&gt;"a","",Laborator!S28)</f>
        <v/>
      </c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7"/>
      <c r="AG28" s="117"/>
      <c r="AH28" s="114"/>
      <c r="AJ28" s="120"/>
      <c r="AK28" s="119"/>
      <c r="AL28" s="114"/>
      <c r="AM28" s="114"/>
    </row>
    <row r="29" spans="1:39" ht="19.95" customHeight="1" x14ac:dyDescent="0.3">
      <c r="A29" s="114" t="str">
        <f>Curs!B28</f>
        <v/>
      </c>
      <c r="B29" s="115" t="str">
        <f>IF(NOT(ISBLANK(Curs!C28)),Curs!C28,"")</f>
        <v/>
      </c>
      <c r="C29" s="123" t="str">
        <f>IF(Laborator!E29&lt;&gt;"a","",Laborator!E29)</f>
        <v/>
      </c>
      <c r="D29" s="123" t="str">
        <f>IF(Laborator!F29&lt;&gt;"a","",Laborator!F29)</f>
        <v/>
      </c>
      <c r="E29" s="123" t="str">
        <f>IF(Laborator!G29&lt;&gt;"a","",Laborator!G29)</f>
        <v/>
      </c>
      <c r="F29" s="123" t="str">
        <f>IF(Laborator!H29&lt;&gt;"a","",Laborator!H29)</f>
        <v/>
      </c>
      <c r="G29" s="123" t="str">
        <f>IF(Laborator!I29&lt;&gt;"a","",Laborator!I29)</f>
        <v/>
      </c>
      <c r="H29" s="123" t="str">
        <f>IF(Laborator!J29&lt;&gt;"a","",Laborator!J29)</f>
        <v/>
      </c>
      <c r="I29" s="123" t="str">
        <f>IF(Laborator!K29&lt;&gt;"a","",Laborator!K29)</f>
        <v/>
      </c>
      <c r="J29" s="123" t="str">
        <f>IF(Laborator!L29&lt;&gt;"a","",Laborator!L29)</f>
        <v/>
      </c>
      <c r="K29" s="123" t="str">
        <f>IF(Laborator!M29&lt;&gt;"a","",Laborator!M29)</f>
        <v/>
      </c>
      <c r="L29" s="123" t="str">
        <f>IF(Laborator!N29&lt;&gt;"a","",Laborator!N29)</f>
        <v/>
      </c>
      <c r="M29" s="123" t="str">
        <f>IF(Laborator!O29&lt;&gt;"a","",Laborator!O29)</f>
        <v/>
      </c>
      <c r="N29" s="123" t="str">
        <f>IF(Laborator!P29&lt;&gt;"a","",Laborator!P29)</f>
        <v/>
      </c>
      <c r="O29" s="123" t="str">
        <f>IF(Laborator!Q29&lt;&gt;"a","",Laborator!Q29)</f>
        <v/>
      </c>
      <c r="P29" s="123" t="str">
        <f>IF(Laborator!R29&lt;&gt;"a","",Laborator!R29)</f>
        <v/>
      </c>
      <c r="Q29" s="123" t="str">
        <f>IF(Laborator!S29&lt;&gt;"a","",Laborator!S29)</f>
        <v/>
      </c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7"/>
      <c r="AG29" s="117"/>
      <c r="AH29" s="114"/>
      <c r="AJ29" s="120"/>
      <c r="AK29" s="119"/>
      <c r="AL29" s="114"/>
      <c r="AM29" s="114"/>
    </row>
    <row r="30" spans="1:39" ht="19.95" customHeight="1" x14ac:dyDescent="0.3">
      <c r="A30" s="114" t="str">
        <f>Curs!B29</f>
        <v/>
      </c>
      <c r="B30" s="115" t="str">
        <f>IF(NOT(ISBLANK(Curs!C29)),Curs!C29,"")</f>
        <v/>
      </c>
      <c r="C30" s="123" t="str">
        <f>IF(Laborator!E30&lt;&gt;"a","",Laborator!E30)</f>
        <v/>
      </c>
      <c r="D30" s="123" t="str">
        <f>IF(Laborator!F30&lt;&gt;"a","",Laborator!F30)</f>
        <v/>
      </c>
      <c r="E30" s="123" t="str">
        <f>IF(Laborator!G30&lt;&gt;"a","",Laborator!G30)</f>
        <v/>
      </c>
      <c r="F30" s="123" t="str">
        <f>IF(Laborator!H30&lt;&gt;"a","",Laborator!H30)</f>
        <v/>
      </c>
      <c r="G30" s="123" t="str">
        <f>IF(Laborator!I30&lt;&gt;"a","",Laborator!I30)</f>
        <v/>
      </c>
      <c r="H30" s="123" t="str">
        <f>IF(Laborator!J30&lt;&gt;"a","",Laborator!J30)</f>
        <v/>
      </c>
      <c r="I30" s="123" t="str">
        <f>IF(Laborator!K30&lt;&gt;"a","",Laborator!K30)</f>
        <v/>
      </c>
      <c r="J30" s="123" t="str">
        <f>IF(Laborator!L30&lt;&gt;"a","",Laborator!L30)</f>
        <v/>
      </c>
      <c r="K30" s="123" t="str">
        <f>IF(Laborator!M30&lt;&gt;"a","",Laborator!M30)</f>
        <v/>
      </c>
      <c r="L30" s="123" t="str">
        <f>IF(Laborator!N30&lt;&gt;"a","",Laborator!N30)</f>
        <v/>
      </c>
      <c r="M30" s="123" t="str">
        <f>IF(Laborator!O30&lt;&gt;"a","",Laborator!O30)</f>
        <v/>
      </c>
      <c r="N30" s="123" t="str">
        <f>IF(Laborator!P30&lt;&gt;"a","",Laborator!P30)</f>
        <v/>
      </c>
      <c r="O30" s="123" t="str">
        <f>IF(Laborator!Q30&lt;&gt;"a","",Laborator!Q30)</f>
        <v/>
      </c>
      <c r="P30" s="123" t="str">
        <f>IF(Laborator!R30&lt;&gt;"a","",Laborator!R30)</f>
        <v/>
      </c>
      <c r="Q30" s="123" t="str">
        <f>IF(Laborator!S30&lt;&gt;"a","",Laborator!S30)</f>
        <v/>
      </c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7"/>
      <c r="AG30" s="117"/>
      <c r="AH30" s="114"/>
      <c r="AJ30" s="120"/>
      <c r="AK30" s="119"/>
      <c r="AL30" s="114"/>
      <c r="AM30" s="114"/>
    </row>
    <row r="31" spans="1:39" ht="19.95" customHeight="1" x14ac:dyDescent="0.3">
      <c r="A31" s="114" t="str">
        <f>Curs!B30</f>
        <v/>
      </c>
      <c r="B31" s="115" t="str">
        <f>IF(NOT(ISBLANK(Curs!C30)),Curs!C30,"")</f>
        <v/>
      </c>
      <c r="C31" s="123" t="str">
        <f>IF(Laborator!E31&lt;&gt;"a","",Laborator!E31)</f>
        <v/>
      </c>
      <c r="D31" s="123" t="str">
        <f>IF(Laborator!F31&lt;&gt;"a","",Laborator!F31)</f>
        <v/>
      </c>
      <c r="E31" s="123" t="str">
        <f>IF(Laborator!G31&lt;&gt;"a","",Laborator!G31)</f>
        <v/>
      </c>
      <c r="F31" s="123" t="str">
        <f>IF(Laborator!H31&lt;&gt;"a","",Laborator!H31)</f>
        <v/>
      </c>
      <c r="G31" s="123" t="str">
        <f>IF(Laborator!I31&lt;&gt;"a","",Laborator!I31)</f>
        <v/>
      </c>
      <c r="H31" s="123" t="str">
        <f>IF(Laborator!J31&lt;&gt;"a","",Laborator!J31)</f>
        <v/>
      </c>
      <c r="I31" s="123" t="str">
        <f>IF(Laborator!K31&lt;&gt;"a","",Laborator!K31)</f>
        <v/>
      </c>
      <c r="J31" s="123" t="str">
        <f>IF(Laborator!L31&lt;&gt;"a","",Laborator!L31)</f>
        <v/>
      </c>
      <c r="K31" s="123" t="str">
        <f>IF(Laborator!M31&lt;&gt;"a","",Laborator!M31)</f>
        <v/>
      </c>
      <c r="L31" s="123" t="str">
        <f>IF(Laborator!N31&lt;&gt;"a","",Laborator!N31)</f>
        <v/>
      </c>
      <c r="M31" s="123" t="str">
        <f>IF(Laborator!O31&lt;&gt;"a","",Laborator!O31)</f>
        <v/>
      </c>
      <c r="N31" s="123" t="str">
        <f>IF(Laborator!P31&lt;&gt;"a","",Laborator!P31)</f>
        <v/>
      </c>
      <c r="O31" s="123" t="str">
        <f>IF(Laborator!Q31&lt;&gt;"a","",Laborator!Q31)</f>
        <v/>
      </c>
      <c r="P31" s="123" t="str">
        <f>IF(Laborator!R31&lt;&gt;"a","",Laborator!R31)</f>
        <v/>
      </c>
      <c r="Q31" s="123" t="str">
        <f>IF(Laborator!S31&lt;&gt;"a","",Laborator!S31)</f>
        <v/>
      </c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7"/>
      <c r="AG31" s="117"/>
      <c r="AH31" s="114"/>
      <c r="AJ31" s="120"/>
      <c r="AK31" s="119"/>
      <c r="AL31" s="114"/>
      <c r="AM31" s="114"/>
    </row>
    <row r="32" spans="1:39" ht="19.95" customHeight="1" x14ac:dyDescent="0.3">
      <c r="A32" s="114" t="str">
        <f>Curs!B31</f>
        <v/>
      </c>
      <c r="B32" s="115" t="str">
        <f>IF(NOT(ISBLANK(Curs!C31)),Curs!C31,"")</f>
        <v/>
      </c>
      <c r="C32" s="123" t="str">
        <f>IF(Laborator!E32&lt;&gt;"a","",Laborator!E32)</f>
        <v/>
      </c>
      <c r="D32" s="123" t="str">
        <f>IF(Laborator!F32&lt;&gt;"a","",Laborator!F32)</f>
        <v/>
      </c>
      <c r="E32" s="123" t="str">
        <f>IF(Laborator!G32&lt;&gt;"a","",Laborator!G32)</f>
        <v/>
      </c>
      <c r="F32" s="123" t="str">
        <f>IF(Laborator!H32&lt;&gt;"a","",Laborator!H32)</f>
        <v/>
      </c>
      <c r="G32" s="123" t="str">
        <f>IF(Laborator!I32&lt;&gt;"a","",Laborator!I32)</f>
        <v/>
      </c>
      <c r="H32" s="123" t="str">
        <f>IF(Laborator!J32&lt;&gt;"a","",Laborator!J32)</f>
        <v/>
      </c>
      <c r="I32" s="123" t="str">
        <f>IF(Laborator!K32&lt;&gt;"a","",Laborator!K32)</f>
        <v/>
      </c>
      <c r="J32" s="123" t="str">
        <f>IF(Laborator!L32&lt;&gt;"a","",Laborator!L32)</f>
        <v/>
      </c>
      <c r="K32" s="123" t="str">
        <f>IF(Laborator!M32&lt;&gt;"a","",Laborator!M32)</f>
        <v/>
      </c>
      <c r="L32" s="123" t="str">
        <f>IF(Laborator!N32&lt;&gt;"a","",Laborator!N32)</f>
        <v/>
      </c>
      <c r="M32" s="123" t="str">
        <f>IF(Laborator!O32&lt;&gt;"a","",Laborator!O32)</f>
        <v/>
      </c>
      <c r="N32" s="123" t="str">
        <f>IF(Laborator!P32&lt;&gt;"a","",Laborator!P32)</f>
        <v/>
      </c>
      <c r="O32" s="123" t="str">
        <f>IF(Laborator!Q32&lt;&gt;"a","",Laborator!Q32)</f>
        <v/>
      </c>
      <c r="P32" s="123" t="str">
        <f>IF(Laborator!R32&lt;&gt;"a","",Laborator!R32)</f>
        <v/>
      </c>
      <c r="Q32" s="123" t="str">
        <f>IF(Laborator!S32&lt;&gt;"a","",Laborator!S32)</f>
        <v/>
      </c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7"/>
      <c r="AG32" s="117"/>
      <c r="AH32" s="114"/>
      <c r="AJ32" s="120"/>
      <c r="AK32" s="119"/>
      <c r="AL32" s="114"/>
      <c r="AM32" s="114"/>
    </row>
    <row r="33" spans="1:39" ht="19.95" customHeight="1" x14ac:dyDescent="0.3">
      <c r="A33" s="114" t="str">
        <f>Curs!B32</f>
        <v/>
      </c>
      <c r="B33" s="115" t="str">
        <f>IF(NOT(ISBLANK(Curs!C32)),Curs!C32,"")</f>
        <v/>
      </c>
      <c r="C33" s="123" t="str">
        <f>IF(Laborator!E33&lt;&gt;"a","",Laborator!E33)</f>
        <v/>
      </c>
      <c r="D33" s="123" t="str">
        <f>IF(Laborator!F33&lt;&gt;"a","",Laborator!F33)</f>
        <v/>
      </c>
      <c r="E33" s="123" t="str">
        <f>IF(Laborator!G33&lt;&gt;"a","",Laborator!G33)</f>
        <v/>
      </c>
      <c r="F33" s="123" t="str">
        <f>IF(Laborator!H33&lt;&gt;"a","",Laborator!H33)</f>
        <v/>
      </c>
      <c r="G33" s="123" t="str">
        <f>IF(Laborator!I33&lt;&gt;"a","",Laborator!I33)</f>
        <v/>
      </c>
      <c r="H33" s="123" t="str">
        <f>IF(Laborator!J33&lt;&gt;"a","",Laborator!J33)</f>
        <v/>
      </c>
      <c r="I33" s="123" t="str">
        <f>IF(Laborator!K33&lt;&gt;"a","",Laborator!K33)</f>
        <v/>
      </c>
      <c r="J33" s="123" t="str">
        <f>IF(Laborator!L33&lt;&gt;"a","",Laborator!L33)</f>
        <v/>
      </c>
      <c r="K33" s="123" t="str">
        <f>IF(Laborator!M33&lt;&gt;"a","",Laborator!M33)</f>
        <v/>
      </c>
      <c r="L33" s="123" t="str">
        <f>IF(Laborator!N33&lt;&gt;"a","",Laborator!N33)</f>
        <v/>
      </c>
      <c r="M33" s="123" t="str">
        <f>IF(Laborator!O33&lt;&gt;"a","",Laborator!O33)</f>
        <v/>
      </c>
      <c r="N33" s="123" t="str">
        <f>IF(Laborator!P33&lt;&gt;"a","",Laborator!P33)</f>
        <v/>
      </c>
      <c r="O33" s="123" t="str">
        <f>IF(Laborator!Q33&lt;&gt;"a","",Laborator!Q33)</f>
        <v/>
      </c>
      <c r="P33" s="123" t="str">
        <f>IF(Laborator!R33&lt;&gt;"a","",Laborator!R33)</f>
        <v/>
      </c>
      <c r="Q33" s="123" t="str">
        <f>IF(Laborator!S33&lt;&gt;"a","",Laborator!S33)</f>
        <v/>
      </c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7"/>
      <c r="AG33" s="117"/>
      <c r="AH33" s="114"/>
      <c r="AJ33" s="120"/>
      <c r="AK33" s="119"/>
      <c r="AL33" s="114"/>
      <c r="AM33" s="114"/>
    </row>
    <row r="34" spans="1:39" ht="19.95" customHeight="1" x14ac:dyDescent="0.3">
      <c r="A34" s="114" t="str">
        <f>Curs!B33</f>
        <v/>
      </c>
      <c r="B34" s="115" t="str">
        <f>IF(NOT(ISBLANK(Curs!C33)),Curs!C33,"")</f>
        <v/>
      </c>
      <c r="C34" s="123" t="str">
        <f>IF(Laborator!E34&lt;&gt;"a","",Laborator!E34)</f>
        <v/>
      </c>
      <c r="D34" s="123" t="str">
        <f>IF(Laborator!F34&lt;&gt;"a","",Laborator!F34)</f>
        <v/>
      </c>
      <c r="E34" s="123" t="str">
        <f>IF(Laborator!G34&lt;&gt;"a","",Laborator!G34)</f>
        <v/>
      </c>
      <c r="F34" s="123" t="str">
        <f>IF(Laborator!H34&lt;&gt;"a","",Laborator!H34)</f>
        <v/>
      </c>
      <c r="G34" s="123" t="str">
        <f>IF(Laborator!I34&lt;&gt;"a","",Laborator!I34)</f>
        <v/>
      </c>
      <c r="H34" s="123" t="str">
        <f>IF(Laborator!J34&lt;&gt;"a","",Laborator!J34)</f>
        <v/>
      </c>
      <c r="I34" s="123" t="str">
        <f>IF(Laborator!K34&lt;&gt;"a","",Laborator!K34)</f>
        <v/>
      </c>
      <c r="J34" s="123" t="str">
        <f>IF(Laborator!L34&lt;&gt;"a","",Laborator!L34)</f>
        <v/>
      </c>
      <c r="K34" s="123" t="str">
        <f>IF(Laborator!M34&lt;&gt;"a","",Laborator!M34)</f>
        <v/>
      </c>
      <c r="L34" s="123" t="str">
        <f>IF(Laborator!N34&lt;&gt;"a","",Laborator!N34)</f>
        <v/>
      </c>
      <c r="M34" s="123" t="str">
        <f>IF(Laborator!O34&lt;&gt;"a","",Laborator!O34)</f>
        <v/>
      </c>
      <c r="N34" s="123" t="str">
        <f>IF(Laborator!P34&lt;&gt;"a","",Laborator!P34)</f>
        <v/>
      </c>
      <c r="O34" s="123" t="str">
        <f>IF(Laborator!Q34&lt;&gt;"a","",Laborator!Q34)</f>
        <v/>
      </c>
      <c r="P34" s="123" t="str">
        <f>IF(Laborator!R34&lt;&gt;"a","",Laborator!R34)</f>
        <v/>
      </c>
      <c r="Q34" s="123" t="str">
        <f>IF(Laborator!S34&lt;&gt;"a","",Laborator!S34)</f>
        <v/>
      </c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7"/>
      <c r="AG34" s="117"/>
      <c r="AH34" s="114"/>
      <c r="AJ34" s="120"/>
      <c r="AK34" s="119"/>
      <c r="AL34" s="114"/>
      <c r="AM34" s="114"/>
    </row>
    <row r="35" spans="1:39" ht="19.95" customHeight="1" x14ac:dyDescent="0.3">
      <c r="A35" s="114" t="str">
        <f>Curs!B34</f>
        <v/>
      </c>
      <c r="B35" s="115" t="str">
        <f>IF(NOT(ISBLANK(Curs!C34)),Curs!C34,"")</f>
        <v/>
      </c>
      <c r="C35" s="123" t="str">
        <f>IF(Laborator!E35&lt;&gt;"a","",Laborator!E35)</f>
        <v/>
      </c>
      <c r="D35" s="123" t="str">
        <f>IF(Laborator!F35&lt;&gt;"a","",Laborator!F35)</f>
        <v/>
      </c>
      <c r="E35" s="123" t="str">
        <f>IF(Laborator!G35&lt;&gt;"a","",Laborator!G35)</f>
        <v/>
      </c>
      <c r="F35" s="123" t="str">
        <f>IF(Laborator!H35&lt;&gt;"a","",Laborator!H35)</f>
        <v/>
      </c>
      <c r="G35" s="123" t="str">
        <f>IF(Laborator!I35&lt;&gt;"a","",Laborator!I35)</f>
        <v/>
      </c>
      <c r="H35" s="123" t="str">
        <f>IF(Laborator!J35&lt;&gt;"a","",Laborator!J35)</f>
        <v/>
      </c>
      <c r="I35" s="123" t="str">
        <f>IF(Laborator!K35&lt;&gt;"a","",Laborator!K35)</f>
        <v/>
      </c>
      <c r="J35" s="123" t="str">
        <f>IF(Laborator!L35&lt;&gt;"a","",Laborator!L35)</f>
        <v/>
      </c>
      <c r="K35" s="123" t="str">
        <f>IF(Laborator!M35&lt;&gt;"a","",Laborator!M35)</f>
        <v/>
      </c>
      <c r="L35" s="123" t="str">
        <f>IF(Laborator!N35&lt;&gt;"a","",Laborator!N35)</f>
        <v/>
      </c>
      <c r="M35" s="123" t="str">
        <f>IF(Laborator!O35&lt;&gt;"a","",Laborator!O35)</f>
        <v/>
      </c>
      <c r="N35" s="123" t="str">
        <f>IF(Laborator!P35&lt;&gt;"a","",Laborator!P35)</f>
        <v/>
      </c>
      <c r="O35" s="123" t="str">
        <f>IF(Laborator!Q35&lt;&gt;"a","",Laborator!Q35)</f>
        <v/>
      </c>
      <c r="P35" s="123" t="str">
        <f>IF(Laborator!R35&lt;&gt;"a","",Laborator!R35)</f>
        <v/>
      </c>
      <c r="Q35" s="123" t="str">
        <f>IF(Laborator!S35&lt;&gt;"a","",Laborator!S35)</f>
        <v/>
      </c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7"/>
      <c r="AG35" s="117"/>
      <c r="AH35" s="114"/>
      <c r="AJ35" s="120"/>
      <c r="AK35" s="119"/>
      <c r="AL35" s="114"/>
      <c r="AM35" s="114"/>
    </row>
    <row r="36" spans="1:39" ht="19.95" customHeight="1" x14ac:dyDescent="0.3">
      <c r="A36" s="114" t="str">
        <f>Curs!B35</f>
        <v/>
      </c>
      <c r="B36" s="115" t="str">
        <f>IF(NOT(ISBLANK(Curs!C35)),Curs!C35,"")</f>
        <v/>
      </c>
      <c r="C36" s="123" t="str">
        <f>IF(Laborator!E36&lt;&gt;"a","",Laborator!E36)</f>
        <v/>
      </c>
      <c r="D36" s="123" t="str">
        <f>IF(Laborator!F36&lt;&gt;"a","",Laborator!F36)</f>
        <v/>
      </c>
      <c r="E36" s="123" t="str">
        <f>IF(Laborator!G36&lt;&gt;"a","",Laborator!G36)</f>
        <v/>
      </c>
      <c r="F36" s="123" t="str">
        <f>IF(Laborator!H36&lt;&gt;"a","",Laborator!H36)</f>
        <v/>
      </c>
      <c r="G36" s="123" t="str">
        <f>IF(Laborator!I36&lt;&gt;"a","",Laborator!I36)</f>
        <v/>
      </c>
      <c r="H36" s="123" t="str">
        <f>IF(Laborator!J36&lt;&gt;"a","",Laborator!J36)</f>
        <v/>
      </c>
      <c r="I36" s="123" t="str">
        <f>IF(Laborator!K36&lt;&gt;"a","",Laborator!K36)</f>
        <v/>
      </c>
      <c r="J36" s="123" t="str">
        <f>IF(Laborator!L36&lt;&gt;"a","",Laborator!L36)</f>
        <v/>
      </c>
      <c r="K36" s="123" t="str">
        <f>IF(Laborator!M36&lt;&gt;"a","",Laborator!M36)</f>
        <v/>
      </c>
      <c r="L36" s="123" t="str">
        <f>IF(Laborator!N36&lt;&gt;"a","",Laborator!N36)</f>
        <v/>
      </c>
      <c r="M36" s="123" t="str">
        <f>IF(Laborator!O36&lt;&gt;"a","",Laborator!O36)</f>
        <v/>
      </c>
      <c r="N36" s="123" t="str">
        <f>IF(Laborator!P36&lt;&gt;"a","",Laborator!P36)</f>
        <v/>
      </c>
      <c r="O36" s="123" t="str">
        <f>IF(Laborator!Q36&lt;&gt;"a","",Laborator!Q36)</f>
        <v/>
      </c>
      <c r="P36" s="123" t="str">
        <f>IF(Laborator!R36&lt;&gt;"a","",Laborator!R36)</f>
        <v/>
      </c>
      <c r="Q36" s="123" t="str">
        <f>IF(Laborator!S36&lt;&gt;"a","",Laborator!S36)</f>
        <v/>
      </c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7"/>
      <c r="AG36" s="117"/>
      <c r="AH36" s="114"/>
      <c r="AJ36" s="120"/>
      <c r="AK36" s="119"/>
      <c r="AL36" s="114"/>
      <c r="AM36" s="114"/>
    </row>
    <row r="37" spans="1:39" ht="19.95" customHeight="1" x14ac:dyDescent="0.3">
      <c r="A37" s="114" t="str">
        <f>Curs!B36</f>
        <v/>
      </c>
      <c r="B37" s="115" t="str">
        <f>IF(NOT(ISBLANK(Curs!C36)),Curs!C36,"")</f>
        <v/>
      </c>
      <c r="C37" s="123" t="str">
        <f>IF(Laborator!E37&lt;&gt;"a","",Laborator!E37)</f>
        <v/>
      </c>
      <c r="D37" s="123" t="str">
        <f>IF(Laborator!F37&lt;&gt;"a","",Laborator!F37)</f>
        <v/>
      </c>
      <c r="E37" s="123" t="str">
        <f>IF(Laborator!G37&lt;&gt;"a","",Laborator!G37)</f>
        <v/>
      </c>
      <c r="F37" s="123" t="str">
        <f>IF(Laborator!H37&lt;&gt;"a","",Laborator!H37)</f>
        <v/>
      </c>
      <c r="G37" s="123" t="str">
        <f>IF(Laborator!I37&lt;&gt;"a","",Laborator!I37)</f>
        <v/>
      </c>
      <c r="H37" s="123" t="str">
        <f>IF(Laborator!J37&lt;&gt;"a","",Laborator!J37)</f>
        <v/>
      </c>
      <c r="I37" s="123" t="str">
        <f>IF(Laborator!K37&lt;&gt;"a","",Laborator!K37)</f>
        <v/>
      </c>
      <c r="J37" s="123" t="str">
        <f>IF(Laborator!L37&lt;&gt;"a","",Laborator!L37)</f>
        <v/>
      </c>
      <c r="K37" s="123" t="str">
        <f>IF(Laborator!M37&lt;&gt;"a","",Laborator!M37)</f>
        <v/>
      </c>
      <c r="L37" s="123" t="str">
        <f>IF(Laborator!N37&lt;&gt;"a","",Laborator!N37)</f>
        <v/>
      </c>
      <c r="M37" s="123" t="str">
        <f>IF(Laborator!O37&lt;&gt;"a","",Laborator!O37)</f>
        <v/>
      </c>
      <c r="N37" s="123" t="str">
        <f>IF(Laborator!P37&lt;&gt;"a","",Laborator!P37)</f>
        <v/>
      </c>
      <c r="O37" s="123" t="str">
        <f>IF(Laborator!Q37&lt;&gt;"a","",Laborator!Q37)</f>
        <v/>
      </c>
      <c r="P37" s="123" t="str">
        <f>IF(Laborator!R37&lt;&gt;"a","",Laborator!R37)</f>
        <v/>
      </c>
      <c r="Q37" s="123" t="str">
        <f>IF(Laborator!S37&lt;&gt;"a","",Laborator!S37)</f>
        <v/>
      </c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7"/>
      <c r="AG37" s="117"/>
      <c r="AH37" s="114"/>
      <c r="AJ37" s="120"/>
      <c r="AK37" s="119"/>
      <c r="AL37" s="114"/>
      <c r="AM37" s="114"/>
    </row>
    <row r="38" spans="1:39" ht="19.95" customHeight="1" x14ac:dyDescent="0.3">
      <c r="A38" s="114" t="str">
        <f>Curs!B37</f>
        <v/>
      </c>
      <c r="B38" s="115" t="str">
        <f>IF(NOT(ISBLANK(Curs!C37)),Curs!C37,"")</f>
        <v/>
      </c>
      <c r="C38" s="123" t="str">
        <f>IF(Laborator!E38&lt;&gt;"a","",Laborator!E38)</f>
        <v/>
      </c>
      <c r="D38" s="123" t="str">
        <f>IF(Laborator!F38&lt;&gt;"a","",Laborator!F38)</f>
        <v/>
      </c>
      <c r="E38" s="123" t="str">
        <f>IF(Laborator!G38&lt;&gt;"a","",Laborator!G38)</f>
        <v/>
      </c>
      <c r="F38" s="123" t="str">
        <f>IF(Laborator!H38&lt;&gt;"a","",Laborator!H38)</f>
        <v/>
      </c>
      <c r="G38" s="123" t="str">
        <f>IF(Laborator!I38&lt;&gt;"a","",Laborator!I38)</f>
        <v/>
      </c>
      <c r="H38" s="123" t="str">
        <f>IF(Laborator!J38&lt;&gt;"a","",Laborator!J38)</f>
        <v/>
      </c>
      <c r="I38" s="123" t="str">
        <f>IF(Laborator!K38&lt;&gt;"a","",Laborator!K38)</f>
        <v/>
      </c>
      <c r="J38" s="123" t="str">
        <f>IF(Laborator!L38&lt;&gt;"a","",Laborator!L38)</f>
        <v/>
      </c>
      <c r="K38" s="123" t="str">
        <f>IF(Laborator!M38&lt;&gt;"a","",Laborator!M38)</f>
        <v/>
      </c>
      <c r="L38" s="123" t="str">
        <f>IF(Laborator!N38&lt;&gt;"a","",Laborator!N38)</f>
        <v/>
      </c>
      <c r="M38" s="123" t="str">
        <f>IF(Laborator!O38&lt;&gt;"a","",Laborator!O38)</f>
        <v/>
      </c>
      <c r="N38" s="123" t="str">
        <f>IF(Laborator!P38&lt;&gt;"a","",Laborator!P38)</f>
        <v/>
      </c>
      <c r="O38" s="123" t="str">
        <f>IF(Laborator!Q38&lt;&gt;"a","",Laborator!Q38)</f>
        <v/>
      </c>
      <c r="P38" s="123" t="str">
        <f>IF(Laborator!R38&lt;&gt;"a","",Laborator!R38)</f>
        <v/>
      </c>
      <c r="Q38" s="123" t="str">
        <f>IF(Laborator!S38&lt;&gt;"a","",Laborator!S38)</f>
        <v/>
      </c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7"/>
      <c r="AG38" s="117"/>
      <c r="AH38" s="114"/>
      <c r="AJ38" s="120"/>
      <c r="AK38" s="119"/>
      <c r="AL38" s="114"/>
      <c r="AM38" s="114"/>
    </row>
    <row r="39" spans="1:39" ht="19.95" customHeight="1" x14ac:dyDescent="0.3">
      <c r="A39" s="114" t="str">
        <f>Curs!B38</f>
        <v/>
      </c>
      <c r="B39" s="115" t="str">
        <f>IF(NOT(ISBLANK(Curs!C38)),Curs!C38,"")</f>
        <v/>
      </c>
      <c r="C39" s="123" t="str">
        <f>IF(Laborator!E39&lt;&gt;"a","",Laborator!E39)</f>
        <v/>
      </c>
      <c r="D39" s="123" t="str">
        <f>IF(Laborator!F39&lt;&gt;"a","",Laborator!F39)</f>
        <v/>
      </c>
      <c r="E39" s="123" t="str">
        <f>IF(Laborator!G39&lt;&gt;"a","",Laborator!G39)</f>
        <v/>
      </c>
      <c r="F39" s="123" t="str">
        <f>IF(Laborator!H39&lt;&gt;"a","",Laborator!H39)</f>
        <v/>
      </c>
      <c r="G39" s="123" t="str">
        <f>IF(Laborator!I39&lt;&gt;"a","",Laborator!I39)</f>
        <v/>
      </c>
      <c r="H39" s="123" t="str">
        <f>IF(Laborator!J39&lt;&gt;"a","",Laborator!J39)</f>
        <v/>
      </c>
      <c r="I39" s="123" t="str">
        <f>IF(Laborator!K39&lt;&gt;"a","",Laborator!K39)</f>
        <v/>
      </c>
      <c r="J39" s="123" t="str">
        <f>IF(Laborator!L39&lt;&gt;"a","",Laborator!L39)</f>
        <v/>
      </c>
      <c r="K39" s="123" t="str">
        <f>IF(Laborator!M39&lt;&gt;"a","",Laborator!M39)</f>
        <v/>
      </c>
      <c r="L39" s="123" t="str">
        <f>IF(Laborator!N39&lt;&gt;"a","",Laborator!N39)</f>
        <v/>
      </c>
      <c r="M39" s="123" t="str">
        <f>IF(Laborator!O39&lt;&gt;"a","",Laborator!O39)</f>
        <v/>
      </c>
      <c r="N39" s="123" t="str">
        <f>IF(Laborator!P39&lt;&gt;"a","",Laborator!P39)</f>
        <v/>
      </c>
      <c r="O39" s="123" t="str">
        <f>IF(Laborator!Q39&lt;&gt;"a","",Laborator!Q39)</f>
        <v/>
      </c>
      <c r="P39" s="123" t="str">
        <f>IF(Laborator!R39&lt;&gt;"a","",Laborator!R39)</f>
        <v/>
      </c>
      <c r="Q39" s="123" t="str">
        <f>IF(Laborator!S39&lt;&gt;"a","",Laborator!S39)</f>
        <v/>
      </c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7"/>
      <c r="AG39" s="117"/>
      <c r="AH39" s="114"/>
      <c r="AJ39" s="120"/>
      <c r="AK39" s="119"/>
      <c r="AL39" s="114"/>
      <c r="AM39" s="114"/>
    </row>
    <row r="40" spans="1:39" ht="19.95" customHeight="1" x14ac:dyDescent="0.3">
      <c r="A40" s="114" t="str">
        <f>Curs!B39</f>
        <v/>
      </c>
      <c r="B40" s="115" t="str">
        <f>IF(NOT(ISBLANK(Curs!C39)),Curs!C39,"")</f>
        <v/>
      </c>
      <c r="C40" s="123" t="str">
        <f>IF(Laborator!E40&lt;&gt;"a","",Laborator!E40)</f>
        <v/>
      </c>
      <c r="D40" s="123" t="str">
        <f>IF(Laborator!F40&lt;&gt;"a","",Laborator!F40)</f>
        <v/>
      </c>
      <c r="E40" s="123" t="str">
        <f>IF(Laborator!G40&lt;&gt;"a","",Laborator!G40)</f>
        <v/>
      </c>
      <c r="F40" s="123" t="str">
        <f>IF(Laborator!H40&lt;&gt;"a","",Laborator!H40)</f>
        <v/>
      </c>
      <c r="G40" s="123" t="str">
        <f>IF(Laborator!I40&lt;&gt;"a","",Laborator!I40)</f>
        <v/>
      </c>
      <c r="H40" s="123" t="str">
        <f>IF(Laborator!J40&lt;&gt;"a","",Laborator!J40)</f>
        <v/>
      </c>
      <c r="I40" s="123" t="str">
        <f>IF(Laborator!K40&lt;&gt;"a","",Laborator!K40)</f>
        <v/>
      </c>
      <c r="J40" s="123" t="str">
        <f>IF(Laborator!L40&lt;&gt;"a","",Laborator!L40)</f>
        <v/>
      </c>
      <c r="K40" s="123" t="str">
        <f>IF(Laborator!M40&lt;&gt;"a","",Laborator!M40)</f>
        <v/>
      </c>
      <c r="L40" s="123" t="str">
        <f>IF(Laborator!N40&lt;&gt;"a","",Laborator!N40)</f>
        <v/>
      </c>
      <c r="M40" s="123" t="str">
        <f>IF(Laborator!O40&lt;&gt;"a","",Laborator!O40)</f>
        <v/>
      </c>
      <c r="N40" s="123" t="str">
        <f>IF(Laborator!P40&lt;&gt;"a","",Laborator!P40)</f>
        <v/>
      </c>
      <c r="O40" s="123" t="str">
        <f>IF(Laborator!Q40&lt;&gt;"a","",Laborator!Q40)</f>
        <v/>
      </c>
      <c r="P40" s="123" t="str">
        <f>IF(Laborator!R40&lt;&gt;"a","",Laborator!R40)</f>
        <v/>
      </c>
      <c r="Q40" s="123" t="str">
        <f>IF(Laborator!S40&lt;&gt;"a","",Laborator!S40)</f>
        <v/>
      </c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7"/>
      <c r="AG40" s="117"/>
      <c r="AH40" s="114"/>
      <c r="AJ40" s="120"/>
      <c r="AK40" s="119"/>
      <c r="AL40" s="114"/>
      <c r="AM40" s="114"/>
    </row>
    <row r="41" spans="1:39" ht="19.95" customHeight="1" x14ac:dyDescent="0.3">
      <c r="A41" s="114" t="str">
        <f>Curs!B40</f>
        <v/>
      </c>
      <c r="B41" s="115" t="str">
        <f>IF(NOT(ISBLANK(Curs!C40)),Curs!C40,"")</f>
        <v/>
      </c>
      <c r="C41" s="123" t="str">
        <f>IF(Laborator!E41&lt;&gt;"a","",Laborator!E41)</f>
        <v/>
      </c>
      <c r="D41" s="123" t="str">
        <f>IF(Laborator!F41&lt;&gt;"a","",Laborator!F41)</f>
        <v/>
      </c>
      <c r="E41" s="123" t="str">
        <f>IF(Laborator!G41&lt;&gt;"a","",Laborator!G41)</f>
        <v/>
      </c>
      <c r="F41" s="123" t="str">
        <f>IF(Laborator!H41&lt;&gt;"a","",Laborator!H41)</f>
        <v/>
      </c>
      <c r="G41" s="123" t="str">
        <f>IF(Laborator!I41&lt;&gt;"a","",Laborator!I41)</f>
        <v/>
      </c>
      <c r="H41" s="123" t="str">
        <f>IF(Laborator!J41&lt;&gt;"a","",Laborator!J41)</f>
        <v/>
      </c>
      <c r="I41" s="123" t="str">
        <f>IF(Laborator!K41&lt;&gt;"a","",Laborator!K41)</f>
        <v/>
      </c>
      <c r="J41" s="123" t="str">
        <f>IF(Laborator!L41&lt;&gt;"a","",Laborator!L41)</f>
        <v/>
      </c>
      <c r="K41" s="123" t="str">
        <f>IF(Laborator!M41&lt;&gt;"a","",Laborator!M41)</f>
        <v/>
      </c>
      <c r="L41" s="123" t="str">
        <f>IF(Laborator!N41&lt;&gt;"a","",Laborator!N41)</f>
        <v/>
      </c>
      <c r="M41" s="123" t="str">
        <f>IF(Laborator!O41&lt;&gt;"a","",Laborator!O41)</f>
        <v/>
      </c>
      <c r="N41" s="123" t="str">
        <f>IF(Laborator!P41&lt;&gt;"a","",Laborator!P41)</f>
        <v/>
      </c>
      <c r="O41" s="123" t="str">
        <f>IF(Laborator!Q41&lt;&gt;"a","",Laborator!Q41)</f>
        <v/>
      </c>
      <c r="P41" s="123" t="str">
        <f>IF(Laborator!R41&lt;&gt;"a","",Laborator!R41)</f>
        <v/>
      </c>
      <c r="Q41" s="123" t="str">
        <f>IF(Laborator!S41&lt;&gt;"a","",Laborator!S41)</f>
        <v/>
      </c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7"/>
      <c r="AG41" s="117"/>
      <c r="AH41" s="114"/>
      <c r="AJ41" s="120"/>
      <c r="AK41" s="119"/>
      <c r="AL41" s="114"/>
      <c r="AM41" s="114"/>
    </row>
    <row r="42" spans="1:39" ht="19.95" customHeight="1" x14ac:dyDescent="0.3">
      <c r="A42" s="114" t="str">
        <f>Curs!B41</f>
        <v/>
      </c>
      <c r="B42" s="115" t="str">
        <f>IF(NOT(ISBLANK(Curs!C41)),Curs!C41,"")</f>
        <v/>
      </c>
      <c r="C42" s="123" t="str">
        <f>IF(Laborator!E42&lt;&gt;"a","",Laborator!E42)</f>
        <v/>
      </c>
      <c r="D42" s="123" t="str">
        <f>IF(Laborator!F42&lt;&gt;"a","",Laborator!F42)</f>
        <v/>
      </c>
      <c r="E42" s="123" t="str">
        <f>IF(Laborator!G42&lt;&gt;"a","",Laborator!G42)</f>
        <v/>
      </c>
      <c r="F42" s="123" t="str">
        <f>IF(Laborator!H42&lt;&gt;"a","",Laborator!H42)</f>
        <v/>
      </c>
      <c r="G42" s="123" t="str">
        <f>IF(Laborator!I42&lt;&gt;"a","",Laborator!I42)</f>
        <v/>
      </c>
      <c r="H42" s="123" t="str">
        <f>IF(Laborator!J42&lt;&gt;"a","",Laborator!J42)</f>
        <v/>
      </c>
      <c r="I42" s="123" t="str">
        <f>IF(Laborator!K42&lt;&gt;"a","",Laborator!K42)</f>
        <v/>
      </c>
      <c r="J42" s="123" t="str">
        <f>IF(Laborator!L42&lt;&gt;"a","",Laborator!L42)</f>
        <v/>
      </c>
      <c r="K42" s="123" t="str">
        <f>IF(Laborator!M42&lt;&gt;"a","",Laborator!M42)</f>
        <v/>
      </c>
      <c r="L42" s="123" t="str">
        <f>IF(Laborator!N42&lt;&gt;"a","",Laborator!N42)</f>
        <v/>
      </c>
      <c r="M42" s="123" t="str">
        <f>IF(Laborator!O42&lt;&gt;"a","",Laborator!O42)</f>
        <v/>
      </c>
      <c r="N42" s="123" t="str">
        <f>IF(Laborator!P42&lt;&gt;"a","",Laborator!P42)</f>
        <v/>
      </c>
      <c r="O42" s="123" t="str">
        <f>IF(Laborator!Q42&lt;&gt;"a","",Laborator!Q42)</f>
        <v/>
      </c>
      <c r="P42" s="123" t="str">
        <f>IF(Laborator!R42&lt;&gt;"a","",Laborator!R42)</f>
        <v/>
      </c>
      <c r="Q42" s="123" t="str">
        <f>IF(Laborator!S42&lt;&gt;"a","",Laborator!S42)</f>
        <v/>
      </c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7"/>
      <c r="AG42" s="117"/>
      <c r="AH42" s="114"/>
      <c r="AJ42" s="120"/>
      <c r="AK42" s="119"/>
      <c r="AL42" s="114"/>
      <c r="AM42" s="114"/>
    </row>
    <row r="43" spans="1:39" ht="19.95" customHeight="1" x14ac:dyDescent="0.3">
      <c r="A43" s="114" t="str">
        <f>Curs!B42</f>
        <v/>
      </c>
      <c r="B43" s="115" t="str">
        <f>IF(NOT(ISBLANK(Curs!C42)),Curs!C42,"")</f>
        <v/>
      </c>
      <c r="C43" s="123" t="str">
        <f>IF(Laborator!E43&lt;&gt;"a","",Laborator!E43)</f>
        <v/>
      </c>
      <c r="D43" s="123" t="str">
        <f>IF(Laborator!F43&lt;&gt;"a","",Laborator!F43)</f>
        <v/>
      </c>
      <c r="E43" s="123" t="str">
        <f>IF(Laborator!G43&lt;&gt;"a","",Laborator!G43)</f>
        <v/>
      </c>
      <c r="F43" s="123" t="str">
        <f>IF(Laborator!H43&lt;&gt;"a","",Laborator!H43)</f>
        <v/>
      </c>
      <c r="G43" s="123" t="str">
        <f>IF(Laborator!I43&lt;&gt;"a","",Laborator!I43)</f>
        <v/>
      </c>
      <c r="H43" s="123" t="str">
        <f>IF(Laborator!J43&lt;&gt;"a","",Laborator!J43)</f>
        <v/>
      </c>
      <c r="I43" s="123" t="str">
        <f>IF(Laborator!K43&lt;&gt;"a","",Laborator!K43)</f>
        <v/>
      </c>
      <c r="J43" s="123" t="str">
        <f>IF(Laborator!L43&lt;&gt;"a","",Laborator!L43)</f>
        <v/>
      </c>
      <c r="K43" s="123" t="str">
        <f>IF(Laborator!M43&lt;&gt;"a","",Laborator!M43)</f>
        <v/>
      </c>
      <c r="L43" s="123" t="str">
        <f>IF(Laborator!N43&lt;&gt;"a","",Laborator!N43)</f>
        <v/>
      </c>
      <c r="M43" s="123" t="str">
        <f>IF(Laborator!O43&lt;&gt;"a","",Laborator!O43)</f>
        <v/>
      </c>
      <c r="N43" s="123" t="str">
        <f>IF(Laborator!P43&lt;&gt;"a","",Laborator!P43)</f>
        <v/>
      </c>
      <c r="O43" s="123" t="str">
        <f>IF(Laborator!Q43&lt;&gt;"a","",Laborator!Q43)</f>
        <v/>
      </c>
      <c r="P43" s="123" t="str">
        <f>IF(Laborator!R43&lt;&gt;"a","",Laborator!R43)</f>
        <v/>
      </c>
      <c r="Q43" s="123" t="str">
        <f>IF(Laborator!S43&lt;&gt;"a","",Laborator!S43)</f>
        <v/>
      </c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7"/>
      <c r="AG43" s="117"/>
      <c r="AH43" s="114"/>
      <c r="AJ43" s="120"/>
      <c r="AK43" s="119"/>
      <c r="AL43" s="114"/>
      <c r="AM43" s="114"/>
    </row>
    <row r="44" spans="1:39" ht="19.95" customHeight="1" x14ac:dyDescent="0.3">
      <c r="A44" s="114" t="str">
        <f>Curs!B43</f>
        <v/>
      </c>
      <c r="B44" s="115" t="str">
        <f>IF(NOT(ISBLANK(Curs!C43)),Curs!C43,"")</f>
        <v/>
      </c>
      <c r="C44" s="123" t="str">
        <f>IF(Laborator!E44&lt;&gt;"a","",Laborator!E44)</f>
        <v/>
      </c>
      <c r="D44" s="123" t="str">
        <f>IF(Laborator!F44&lt;&gt;"a","",Laborator!F44)</f>
        <v/>
      </c>
      <c r="E44" s="123" t="str">
        <f>IF(Laborator!G44&lt;&gt;"a","",Laborator!G44)</f>
        <v/>
      </c>
      <c r="F44" s="123" t="str">
        <f>IF(Laborator!H44&lt;&gt;"a","",Laborator!H44)</f>
        <v/>
      </c>
      <c r="G44" s="123" t="str">
        <f>IF(Laborator!I44&lt;&gt;"a","",Laborator!I44)</f>
        <v/>
      </c>
      <c r="H44" s="123" t="str">
        <f>IF(Laborator!J44&lt;&gt;"a","",Laborator!J44)</f>
        <v/>
      </c>
      <c r="I44" s="123" t="str">
        <f>IF(Laborator!K44&lt;&gt;"a","",Laborator!K44)</f>
        <v/>
      </c>
      <c r="J44" s="123" t="str">
        <f>IF(Laborator!L44&lt;&gt;"a","",Laborator!L44)</f>
        <v/>
      </c>
      <c r="K44" s="123" t="str">
        <f>IF(Laborator!M44&lt;&gt;"a","",Laborator!M44)</f>
        <v/>
      </c>
      <c r="L44" s="123" t="str">
        <f>IF(Laborator!N44&lt;&gt;"a","",Laborator!N44)</f>
        <v/>
      </c>
      <c r="M44" s="123" t="str">
        <f>IF(Laborator!O44&lt;&gt;"a","",Laborator!O44)</f>
        <v/>
      </c>
      <c r="N44" s="123" t="str">
        <f>IF(Laborator!P44&lt;&gt;"a","",Laborator!P44)</f>
        <v/>
      </c>
      <c r="O44" s="123" t="str">
        <f>IF(Laborator!Q44&lt;&gt;"a","",Laborator!Q44)</f>
        <v/>
      </c>
      <c r="P44" s="123" t="str">
        <f>IF(Laborator!R44&lt;&gt;"a","",Laborator!R44)</f>
        <v/>
      </c>
      <c r="Q44" s="123" t="str">
        <f>IF(Laborator!S44&lt;&gt;"a","",Laborator!S44)</f>
        <v/>
      </c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7"/>
      <c r="AG44" s="117"/>
      <c r="AH44" s="114"/>
    </row>
    <row r="45" spans="1:39" ht="19.95" customHeight="1" x14ac:dyDescent="0.3">
      <c r="A45" s="114" t="str">
        <f>Curs!B44</f>
        <v/>
      </c>
      <c r="B45" s="115" t="str">
        <f>IF(NOT(ISBLANK(Curs!C44)),Curs!C44,"")</f>
        <v/>
      </c>
      <c r="C45" s="123" t="str">
        <f>IF(Laborator!E45&lt;&gt;"a","",Laborator!E45)</f>
        <v/>
      </c>
      <c r="D45" s="123" t="str">
        <f>IF(Laborator!F45&lt;&gt;"a","",Laborator!F45)</f>
        <v/>
      </c>
      <c r="E45" s="123" t="str">
        <f>IF(Laborator!G45&lt;&gt;"a","",Laborator!G45)</f>
        <v/>
      </c>
      <c r="F45" s="123" t="str">
        <f>IF(Laborator!H45&lt;&gt;"a","",Laborator!H45)</f>
        <v/>
      </c>
      <c r="G45" s="123" t="str">
        <f>IF(Laborator!I45&lt;&gt;"a","",Laborator!I45)</f>
        <v/>
      </c>
      <c r="H45" s="123" t="str">
        <f>IF(Laborator!J45&lt;&gt;"a","",Laborator!J45)</f>
        <v/>
      </c>
      <c r="I45" s="123" t="str">
        <f>IF(Laborator!K45&lt;&gt;"a","",Laborator!K45)</f>
        <v/>
      </c>
      <c r="J45" s="123" t="str">
        <f>IF(Laborator!L45&lt;&gt;"a","",Laborator!L45)</f>
        <v/>
      </c>
      <c r="K45" s="123" t="str">
        <f>IF(Laborator!M45&lt;&gt;"a","",Laborator!M45)</f>
        <v/>
      </c>
      <c r="L45" s="123" t="str">
        <f>IF(Laborator!N45&lt;&gt;"a","",Laborator!N45)</f>
        <v/>
      </c>
      <c r="M45" s="123" t="str">
        <f>IF(Laborator!O45&lt;&gt;"a","",Laborator!O45)</f>
        <v/>
      </c>
      <c r="N45" s="123" t="str">
        <f>IF(Laborator!P45&lt;&gt;"a","",Laborator!P45)</f>
        <v/>
      </c>
      <c r="O45" s="123" t="str">
        <f>IF(Laborator!Q45&lt;&gt;"a","",Laborator!Q45)</f>
        <v/>
      </c>
      <c r="P45" s="123" t="str">
        <f>IF(Laborator!R45&lt;&gt;"a","",Laborator!R45)</f>
        <v/>
      </c>
      <c r="Q45" s="123" t="str">
        <f>IF(Laborator!S45&lt;&gt;"a","",Laborator!S45)</f>
        <v/>
      </c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7"/>
      <c r="AG45" s="117"/>
      <c r="AH45" s="114"/>
    </row>
    <row r="46" spans="1:39" ht="19.95" customHeight="1" x14ac:dyDescent="0.3">
      <c r="A46" s="114" t="str">
        <f>Curs!B45</f>
        <v/>
      </c>
      <c r="B46" s="115" t="str">
        <f>IF(NOT(ISBLANK(Curs!C45)),Curs!C45,"")</f>
        <v/>
      </c>
      <c r="C46" s="123" t="str">
        <f>IF(Laborator!E46&lt;&gt;"a","",Laborator!E46)</f>
        <v/>
      </c>
      <c r="D46" s="123" t="str">
        <f>IF(Laborator!F46&lt;&gt;"a","",Laborator!F46)</f>
        <v/>
      </c>
      <c r="E46" s="123" t="str">
        <f>IF(Laborator!G46&lt;&gt;"a","",Laborator!G46)</f>
        <v/>
      </c>
      <c r="F46" s="123" t="str">
        <f>IF(Laborator!H46&lt;&gt;"a","",Laborator!H46)</f>
        <v/>
      </c>
      <c r="G46" s="123" t="str">
        <f>IF(Laborator!I46&lt;&gt;"a","",Laborator!I46)</f>
        <v/>
      </c>
      <c r="H46" s="123" t="str">
        <f>IF(Laborator!J46&lt;&gt;"a","",Laborator!J46)</f>
        <v/>
      </c>
      <c r="I46" s="123" t="str">
        <f>IF(Laborator!K46&lt;&gt;"a","",Laborator!K46)</f>
        <v/>
      </c>
      <c r="J46" s="123" t="str">
        <f>IF(Laborator!L46&lt;&gt;"a","",Laborator!L46)</f>
        <v/>
      </c>
      <c r="K46" s="123" t="str">
        <f>IF(Laborator!M46&lt;&gt;"a","",Laborator!M46)</f>
        <v/>
      </c>
      <c r="L46" s="123" t="str">
        <f>IF(Laborator!N46&lt;&gt;"a","",Laborator!N46)</f>
        <v/>
      </c>
      <c r="M46" s="123" t="str">
        <f>IF(Laborator!O46&lt;&gt;"a","",Laborator!O46)</f>
        <v/>
      </c>
      <c r="N46" s="123" t="str">
        <f>IF(Laborator!P46&lt;&gt;"a","",Laborator!P46)</f>
        <v/>
      </c>
      <c r="O46" s="123" t="str">
        <f>IF(Laborator!Q46&lt;&gt;"a","",Laborator!Q46)</f>
        <v/>
      </c>
      <c r="P46" s="123" t="str">
        <f>IF(Laborator!R46&lt;&gt;"a","",Laborator!R46)</f>
        <v/>
      </c>
      <c r="Q46" s="123" t="str">
        <f>IF(Laborator!S46&lt;&gt;"a","",Laborator!S46)</f>
        <v/>
      </c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7"/>
      <c r="AG46" s="117"/>
      <c r="AH46" s="114"/>
    </row>
    <row r="47" spans="1:39" ht="19.95" customHeight="1" x14ac:dyDescent="0.3">
      <c r="A47" s="114" t="str">
        <f>Curs!B46</f>
        <v/>
      </c>
      <c r="B47" s="115" t="str">
        <f>IF(NOT(ISBLANK(Curs!C46)),Curs!C46,"")</f>
        <v/>
      </c>
      <c r="C47" s="123" t="str">
        <f>IF(Laborator!E47&lt;&gt;"a","",Laborator!E47)</f>
        <v/>
      </c>
      <c r="D47" s="123" t="str">
        <f>IF(Laborator!F47&lt;&gt;"a","",Laborator!F47)</f>
        <v/>
      </c>
      <c r="E47" s="123" t="str">
        <f>IF(Laborator!G47&lt;&gt;"a","",Laborator!G47)</f>
        <v/>
      </c>
      <c r="F47" s="123" t="str">
        <f>IF(Laborator!H47&lt;&gt;"a","",Laborator!H47)</f>
        <v/>
      </c>
      <c r="G47" s="123" t="str">
        <f>IF(Laborator!I47&lt;&gt;"a","",Laborator!I47)</f>
        <v/>
      </c>
      <c r="H47" s="123" t="str">
        <f>IF(Laborator!J47&lt;&gt;"a","",Laborator!J47)</f>
        <v/>
      </c>
      <c r="I47" s="123" t="str">
        <f>IF(Laborator!K47&lt;&gt;"a","",Laborator!K47)</f>
        <v/>
      </c>
      <c r="J47" s="123" t="str">
        <f>IF(Laborator!L47&lt;&gt;"a","",Laborator!L47)</f>
        <v/>
      </c>
      <c r="K47" s="123" t="str">
        <f>IF(Laborator!M47&lt;&gt;"a","",Laborator!M47)</f>
        <v/>
      </c>
      <c r="L47" s="123" t="str">
        <f>IF(Laborator!N47&lt;&gt;"a","",Laborator!N47)</f>
        <v/>
      </c>
      <c r="M47" s="123" t="str">
        <f>IF(Laborator!O47&lt;&gt;"a","",Laborator!O47)</f>
        <v/>
      </c>
      <c r="N47" s="123" t="str">
        <f>IF(Laborator!P47&lt;&gt;"a","",Laborator!P47)</f>
        <v/>
      </c>
      <c r="O47" s="123" t="str">
        <f>IF(Laborator!Q47&lt;&gt;"a","",Laborator!Q47)</f>
        <v/>
      </c>
      <c r="P47" s="123" t="str">
        <f>IF(Laborator!R47&lt;&gt;"a","",Laborator!R47)</f>
        <v/>
      </c>
      <c r="Q47" s="123" t="str">
        <f>IF(Laborator!S47&lt;&gt;"a","",Laborator!S47)</f>
        <v/>
      </c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7"/>
      <c r="AG47" s="117"/>
      <c r="AH47" s="114"/>
    </row>
    <row r="48" spans="1:39" ht="19.95" customHeight="1" x14ac:dyDescent="0.3">
      <c r="A48" s="114" t="str">
        <f>Curs!B47</f>
        <v/>
      </c>
      <c r="B48" s="115" t="str">
        <f>IF(NOT(ISBLANK(Curs!C47)),Curs!C47,"")</f>
        <v/>
      </c>
      <c r="C48" s="123" t="str">
        <f>IF(Laborator!E48&lt;&gt;"a","",Laborator!E48)</f>
        <v/>
      </c>
      <c r="D48" s="123" t="str">
        <f>IF(Laborator!F48&lt;&gt;"a","",Laborator!F48)</f>
        <v/>
      </c>
      <c r="E48" s="123" t="str">
        <f>IF(Laborator!G48&lt;&gt;"a","",Laborator!G48)</f>
        <v/>
      </c>
      <c r="F48" s="123" t="str">
        <f>IF(Laborator!H48&lt;&gt;"a","",Laborator!H48)</f>
        <v/>
      </c>
      <c r="G48" s="123" t="str">
        <f>IF(Laborator!I48&lt;&gt;"a","",Laborator!I48)</f>
        <v/>
      </c>
      <c r="H48" s="123" t="str">
        <f>IF(Laborator!J48&lt;&gt;"a","",Laborator!J48)</f>
        <v/>
      </c>
      <c r="I48" s="123" t="str">
        <f>IF(Laborator!K48&lt;&gt;"a","",Laborator!K48)</f>
        <v/>
      </c>
      <c r="J48" s="123" t="str">
        <f>IF(Laborator!L48&lt;&gt;"a","",Laborator!L48)</f>
        <v/>
      </c>
      <c r="K48" s="123" t="str">
        <f>IF(Laborator!M48&lt;&gt;"a","",Laborator!M48)</f>
        <v/>
      </c>
      <c r="L48" s="123" t="str">
        <f>IF(Laborator!N48&lt;&gt;"a","",Laborator!N48)</f>
        <v/>
      </c>
      <c r="M48" s="123" t="str">
        <f>IF(Laborator!O48&lt;&gt;"a","",Laborator!O48)</f>
        <v/>
      </c>
      <c r="N48" s="123" t="str">
        <f>IF(Laborator!P48&lt;&gt;"a","",Laborator!P48)</f>
        <v/>
      </c>
      <c r="O48" s="123" t="str">
        <f>IF(Laborator!Q48&lt;&gt;"a","",Laborator!Q48)</f>
        <v/>
      </c>
      <c r="P48" s="123" t="str">
        <f>IF(Laborator!R48&lt;&gt;"a","",Laborator!R48)</f>
        <v/>
      </c>
      <c r="Q48" s="123" t="str">
        <f>IF(Laborator!S48&lt;&gt;"a","",Laborator!S48)</f>
        <v/>
      </c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7"/>
      <c r="AG48" s="117"/>
      <c r="AH48" s="114"/>
    </row>
    <row r="49" spans="1:34" ht="19.95" customHeight="1" x14ac:dyDescent="0.3">
      <c r="A49" s="114" t="str">
        <f>Curs!B48</f>
        <v/>
      </c>
      <c r="B49" s="115" t="str">
        <f>IF(NOT(ISBLANK(Curs!C48)),Curs!C48,"")</f>
        <v/>
      </c>
      <c r="C49" s="123" t="str">
        <f>IF(Laborator!E49&lt;&gt;"a","",Laborator!E49)</f>
        <v/>
      </c>
      <c r="D49" s="123" t="str">
        <f>IF(Laborator!F49&lt;&gt;"a","",Laborator!F49)</f>
        <v/>
      </c>
      <c r="E49" s="123" t="str">
        <f>IF(Laborator!G49&lt;&gt;"a","",Laborator!G49)</f>
        <v/>
      </c>
      <c r="F49" s="123" t="str">
        <f>IF(Laborator!H49&lt;&gt;"a","",Laborator!H49)</f>
        <v/>
      </c>
      <c r="G49" s="123" t="str">
        <f>IF(Laborator!I49&lt;&gt;"a","",Laborator!I49)</f>
        <v/>
      </c>
      <c r="H49" s="123" t="str">
        <f>IF(Laborator!J49&lt;&gt;"a","",Laborator!J49)</f>
        <v/>
      </c>
      <c r="I49" s="123" t="str">
        <f>IF(Laborator!K49&lt;&gt;"a","",Laborator!K49)</f>
        <v/>
      </c>
      <c r="J49" s="123" t="str">
        <f>IF(Laborator!L49&lt;&gt;"a","",Laborator!L49)</f>
        <v/>
      </c>
      <c r="K49" s="123" t="str">
        <f>IF(Laborator!M49&lt;&gt;"a","",Laborator!M49)</f>
        <v/>
      </c>
      <c r="L49" s="123" t="str">
        <f>IF(Laborator!N49&lt;&gt;"a","",Laborator!N49)</f>
        <v/>
      </c>
      <c r="M49" s="123" t="str">
        <f>IF(Laborator!O49&lt;&gt;"a","",Laborator!O49)</f>
        <v/>
      </c>
      <c r="N49" s="123" t="str">
        <f>IF(Laborator!P49&lt;&gt;"a","",Laborator!P49)</f>
        <v/>
      </c>
      <c r="O49" s="123" t="str">
        <f>IF(Laborator!Q49&lt;&gt;"a","",Laborator!Q49)</f>
        <v/>
      </c>
      <c r="P49" s="123" t="str">
        <f>IF(Laborator!R49&lt;&gt;"a","",Laborator!R49)</f>
        <v/>
      </c>
      <c r="Q49" s="123" t="str">
        <f>IF(Laborator!S49&lt;&gt;"a","",Laborator!S49)</f>
        <v/>
      </c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7"/>
      <c r="AG49" s="117"/>
      <c r="AH49" s="114"/>
    </row>
    <row r="50" spans="1:34" ht="19.95" customHeight="1" x14ac:dyDescent="0.3">
      <c r="A50" s="114" t="str">
        <f>Curs!B49</f>
        <v/>
      </c>
      <c r="B50" s="115" t="str">
        <f>IF(NOT(ISBLANK(Curs!C49)),Curs!C49,"")</f>
        <v/>
      </c>
      <c r="C50" s="123" t="str">
        <f>IF(Laborator!E50&lt;&gt;"a","",Laborator!E50)</f>
        <v/>
      </c>
      <c r="D50" s="123" t="str">
        <f>IF(Laborator!F50&lt;&gt;"a","",Laborator!F50)</f>
        <v/>
      </c>
      <c r="E50" s="123" t="str">
        <f>IF(Laborator!G50&lt;&gt;"a","",Laborator!G50)</f>
        <v/>
      </c>
      <c r="F50" s="123" t="str">
        <f>IF(Laborator!H50&lt;&gt;"a","",Laborator!H50)</f>
        <v/>
      </c>
      <c r="G50" s="123" t="str">
        <f>IF(Laborator!I50&lt;&gt;"a","",Laborator!I50)</f>
        <v/>
      </c>
      <c r="H50" s="123" t="str">
        <f>IF(Laborator!J50&lt;&gt;"a","",Laborator!J50)</f>
        <v/>
      </c>
      <c r="I50" s="123" t="str">
        <f>IF(Laborator!K50&lt;&gt;"a","",Laborator!K50)</f>
        <v/>
      </c>
      <c r="J50" s="123" t="str">
        <f>IF(Laborator!L50&lt;&gt;"a","",Laborator!L50)</f>
        <v/>
      </c>
      <c r="K50" s="123" t="str">
        <f>IF(Laborator!M50&lt;&gt;"a","",Laborator!M50)</f>
        <v/>
      </c>
      <c r="L50" s="123" t="str">
        <f>IF(Laborator!N50&lt;&gt;"a","",Laborator!N50)</f>
        <v/>
      </c>
      <c r="M50" s="123" t="str">
        <f>IF(Laborator!O50&lt;&gt;"a","",Laborator!O50)</f>
        <v/>
      </c>
      <c r="N50" s="123" t="str">
        <f>IF(Laborator!P50&lt;&gt;"a","",Laborator!P50)</f>
        <v/>
      </c>
      <c r="O50" s="123" t="str">
        <f>IF(Laborator!Q50&lt;&gt;"a","",Laborator!Q50)</f>
        <v/>
      </c>
      <c r="P50" s="123" t="str">
        <f>IF(Laborator!R50&lt;&gt;"a","",Laborator!R50)</f>
        <v/>
      </c>
      <c r="Q50" s="123" t="str">
        <f>IF(Laborator!S50&lt;&gt;"a","",Laborator!S50)</f>
        <v/>
      </c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7"/>
      <c r="AG50" s="117"/>
      <c r="AH50" s="114"/>
    </row>
    <row r="51" spans="1:34" ht="19.95" customHeight="1" x14ac:dyDescent="0.3">
      <c r="A51" s="114" t="str">
        <f>Curs!B50</f>
        <v/>
      </c>
      <c r="B51" s="115" t="str">
        <f>IF(NOT(ISBLANK(Curs!C50)),Curs!C50,"")</f>
        <v/>
      </c>
      <c r="C51" s="123" t="str">
        <f>IF(Laborator!E51&lt;&gt;"a","",Laborator!E51)</f>
        <v/>
      </c>
      <c r="D51" s="123" t="str">
        <f>IF(Laborator!F51&lt;&gt;"a","",Laborator!F51)</f>
        <v/>
      </c>
      <c r="E51" s="123" t="str">
        <f>IF(Laborator!G51&lt;&gt;"a","",Laborator!G51)</f>
        <v/>
      </c>
      <c r="F51" s="123" t="str">
        <f>IF(Laborator!H51&lt;&gt;"a","",Laborator!H51)</f>
        <v/>
      </c>
      <c r="G51" s="123" t="str">
        <f>IF(Laborator!I51&lt;&gt;"a","",Laborator!I51)</f>
        <v/>
      </c>
      <c r="H51" s="123" t="str">
        <f>IF(Laborator!J51&lt;&gt;"a","",Laborator!J51)</f>
        <v/>
      </c>
      <c r="I51" s="123" t="str">
        <f>IF(Laborator!K51&lt;&gt;"a","",Laborator!K51)</f>
        <v/>
      </c>
      <c r="J51" s="123" t="str">
        <f>IF(Laborator!L51&lt;&gt;"a","",Laborator!L51)</f>
        <v/>
      </c>
      <c r="K51" s="123" t="str">
        <f>IF(Laborator!M51&lt;&gt;"a","",Laborator!M51)</f>
        <v/>
      </c>
      <c r="L51" s="123" t="str">
        <f>IF(Laborator!N51&lt;&gt;"a","",Laborator!N51)</f>
        <v/>
      </c>
      <c r="M51" s="123" t="str">
        <f>IF(Laborator!O51&lt;&gt;"a","",Laborator!O51)</f>
        <v/>
      </c>
      <c r="N51" s="123" t="str">
        <f>IF(Laborator!P51&lt;&gt;"a","",Laborator!P51)</f>
        <v/>
      </c>
      <c r="O51" s="123" t="str">
        <f>IF(Laborator!Q51&lt;&gt;"a","",Laborator!Q51)</f>
        <v/>
      </c>
      <c r="P51" s="123" t="str">
        <f>IF(Laborator!R51&lt;&gt;"a","",Laborator!R51)</f>
        <v/>
      </c>
      <c r="Q51" s="123" t="str">
        <f>IF(Laborator!S51&lt;&gt;"a","",Laborator!S51)</f>
        <v/>
      </c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7"/>
      <c r="AG51" s="117"/>
      <c r="AH51" s="114"/>
    </row>
    <row r="52" spans="1:34" ht="19.95" customHeight="1" x14ac:dyDescent="0.3">
      <c r="A52" s="114" t="str">
        <f>Curs!B51</f>
        <v/>
      </c>
      <c r="B52" s="115" t="str">
        <f>IF(NOT(ISBLANK(Curs!C51)),Curs!C51,"")</f>
        <v/>
      </c>
      <c r="C52" s="123" t="str">
        <f>IF(Laborator!E52&lt;&gt;"a","",Laborator!E52)</f>
        <v/>
      </c>
      <c r="D52" s="123" t="str">
        <f>IF(Laborator!F52&lt;&gt;"a","",Laborator!F52)</f>
        <v/>
      </c>
      <c r="E52" s="123" t="str">
        <f>IF(Laborator!G52&lt;&gt;"a","",Laborator!G52)</f>
        <v/>
      </c>
      <c r="F52" s="123" t="str">
        <f>IF(Laborator!H52&lt;&gt;"a","",Laborator!H52)</f>
        <v/>
      </c>
      <c r="G52" s="123" t="str">
        <f>IF(Laborator!I52&lt;&gt;"a","",Laborator!I52)</f>
        <v/>
      </c>
      <c r="H52" s="123" t="str">
        <f>IF(Laborator!J52&lt;&gt;"a","",Laborator!J52)</f>
        <v/>
      </c>
      <c r="I52" s="123" t="str">
        <f>IF(Laborator!K52&lt;&gt;"a","",Laborator!K52)</f>
        <v/>
      </c>
      <c r="J52" s="123" t="str">
        <f>IF(Laborator!L52&lt;&gt;"a","",Laborator!L52)</f>
        <v/>
      </c>
      <c r="K52" s="123" t="str">
        <f>IF(Laborator!M52&lt;&gt;"a","",Laborator!M52)</f>
        <v/>
      </c>
      <c r="L52" s="123" t="str">
        <f>IF(Laborator!N52&lt;&gt;"a","",Laborator!N52)</f>
        <v/>
      </c>
      <c r="M52" s="123" t="str">
        <f>IF(Laborator!O52&lt;&gt;"a","",Laborator!O52)</f>
        <v/>
      </c>
      <c r="N52" s="123" t="str">
        <f>IF(Laborator!P52&lt;&gt;"a","",Laborator!P52)</f>
        <v/>
      </c>
      <c r="O52" s="123" t="str">
        <f>IF(Laborator!Q52&lt;&gt;"a","",Laborator!Q52)</f>
        <v/>
      </c>
      <c r="P52" s="123" t="str">
        <f>IF(Laborator!R52&lt;&gt;"a","",Laborator!R52)</f>
        <v/>
      </c>
      <c r="Q52" s="123" t="str">
        <f>IF(Laborator!S52&lt;&gt;"a","",Laborator!S52)</f>
        <v/>
      </c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7"/>
      <c r="AG52" s="117"/>
      <c r="AH52" s="114"/>
    </row>
    <row r="53" spans="1:34" ht="19.95" customHeight="1" x14ac:dyDescent="0.3">
      <c r="A53" s="114" t="str">
        <f>Curs!B52</f>
        <v/>
      </c>
      <c r="B53" s="115" t="str">
        <f>IF(NOT(ISBLANK(Curs!C52)),Curs!C52,"")</f>
        <v/>
      </c>
      <c r="C53" s="123" t="str">
        <f>IF(Laborator!E53&lt;&gt;"a","",Laborator!E53)</f>
        <v/>
      </c>
      <c r="D53" s="123" t="str">
        <f>IF(Laborator!F53&lt;&gt;"a","",Laborator!F53)</f>
        <v/>
      </c>
      <c r="E53" s="123" t="str">
        <f>IF(Laborator!G53&lt;&gt;"a","",Laborator!G53)</f>
        <v/>
      </c>
      <c r="F53" s="123" t="str">
        <f>IF(Laborator!H53&lt;&gt;"a","",Laborator!H53)</f>
        <v/>
      </c>
      <c r="G53" s="123" t="str">
        <f>IF(Laborator!I53&lt;&gt;"a","",Laborator!I53)</f>
        <v/>
      </c>
      <c r="H53" s="123" t="str">
        <f>IF(Laborator!J53&lt;&gt;"a","",Laborator!J53)</f>
        <v/>
      </c>
      <c r="I53" s="123" t="str">
        <f>IF(Laborator!K53&lt;&gt;"a","",Laborator!K53)</f>
        <v/>
      </c>
      <c r="J53" s="123" t="str">
        <f>IF(Laborator!L53&lt;&gt;"a","",Laborator!L53)</f>
        <v/>
      </c>
      <c r="K53" s="123" t="str">
        <f>IF(Laborator!M53&lt;&gt;"a","",Laborator!M53)</f>
        <v/>
      </c>
      <c r="L53" s="123" t="str">
        <f>IF(Laborator!N53&lt;&gt;"a","",Laborator!N53)</f>
        <v/>
      </c>
      <c r="M53" s="123" t="str">
        <f>IF(Laborator!O53&lt;&gt;"a","",Laborator!O53)</f>
        <v/>
      </c>
      <c r="N53" s="123" t="str">
        <f>IF(Laborator!P53&lt;&gt;"a","",Laborator!P53)</f>
        <v/>
      </c>
      <c r="O53" s="123" t="str">
        <f>IF(Laborator!Q53&lt;&gt;"a","",Laborator!Q53)</f>
        <v/>
      </c>
      <c r="P53" s="123" t="str">
        <f>IF(Laborator!R53&lt;&gt;"a","",Laborator!R53)</f>
        <v/>
      </c>
      <c r="Q53" s="123" t="str">
        <f>IF(Laborator!S53&lt;&gt;"a","",Laborator!S53)</f>
        <v/>
      </c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7"/>
      <c r="AG53" s="117"/>
      <c r="AH53" s="114"/>
    </row>
    <row r="54" spans="1:34" ht="19.95" customHeight="1" x14ac:dyDescent="0.3">
      <c r="A54" s="114" t="str">
        <f>Curs!B53</f>
        <v/>
      </c>
      <c r="B54" s="115" t="str">
        <f>IF(NOT(ISBLANK(Curs!C53)),Curs!C53,"")</f>
        <v/>
      </c>
      <c r="C54" s="123" t="str">
        <f>IF(Laborator!E54&lt;&gt;"a","",Laborator!E54)</f>
        <v/>
      </c>
      <c r="D54" s="123" t="str">
        <f>IF(Laborator!F54&lt;&gt;"a","",Laborator!F54)</f>
        <v/>
      </c>
      <c r="E54" s="123" t="str">
        <f>IF(Laborator!G54&lt;&gt;"a","",Laborator!G54)</f>
        <v/>
      </c>
      <c r="F54" s="123" t="str">
        <f>IF(Laborator!H54&lt;&gt;"a","",Laborator!H54)</f>
        <v/>
      </c>
      <c r="G54" s="123" t="str">
        <f>IF(Laborator!I54&lt;&gt;"a","",Laborator!I54)</f>
        <v/>
      </c>
      <c r="H54" s="123" t="str">
        <f>IF(Laborator!J54&lt;&gt;"a","",Laborator!J54)</f>
        <v/>
      </c>
      <c r="I54" s="123" t="str">
        <f>IF(Laborator!K54&lt;&gt;"a","",Laborator!K54)</f>
        <v/>
      </c>
      <c r="J54" s="123" t="str">
        <f>IF(Laborator!L54&lt;&gt;"a","",Laborator!L54)</f>
        <v/>
      </c>
      <c r="K54" s="123" t="str">
        <f>IF(Laborator!M54&lt;&gt;"a","",Laborator!M54)</f>
        <v/>
      </c>
      <c r="L54" s="123" t="str">
        <f>IF(Laborator!N54&lt;&gt;"a","",Laborator!N54)</f>
        <v/>
      </c>
      <c r="M54" s="123" t="str">
        <f>IF(Laborator!O54&lt;&gt;"a","",Laborator!O54)</f>
        <v/>
      </c>
      <c r="N54" s="123" t="str">
        <f>IF(Laborator!P54&lt;&gt;"a","",Laborator!P54)</f>
        <v/>
      </c>
      <c r="O54" s="123" t="str">
        <f>IF(Laborator!Q54&lt;&gt;"a","",Laborator!Q54)</f>
        <v/>
      </c>
      <c r="P54" s="123" t="str">
        <f>IF(Laborator!R54&lt;&gt;"a","",Laborator!R54)</f>
        <v/>
      </c>
      <c r="Q54" s="123" t="str">
        <f>IF(Laborator!S54&lt;&gt;"a","",Laborator!S54)</f>
        <v/>
      </c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7"/>
      <c r="AG54" s="117"/>
      <c r="AH54" s="114"/>
    </row>
    <row r="55" spans="1:34" ht="19.95" customHeight="1" x14ac:dyDescent="0.3">
      <c r="A55" s="114" t="str">
        <f>Curs!B54</f>
        <v/>
      </c>
      <c r="B55" s="115" t="str">
        <f>IF(NOT(ISBLANK(Curs!C54)),Curs!C54,"")</f>
        <v/>
      </c>
      <c r="C55" s="123" t="str">
        <f>IF(Laborator!E55&lt;&gt;"a","",Laborator!E55)</f>
        <v/>
      </c>
      <c r="D55" s="123" t="str">
        <f>IF(Laborator!F55&lt;&gt;"a","",Laborator!F55)</f>
        <v/>
      </c>
      <c r="E55" s="123" t="str">
        <f>IF(Laborator!G55&lt;&gt;"a","",Laborator!G55)</f>
        <v/>
      </c>
      <c r="F55" s="123" t="str">
        <f>IF(Laborator!H55&lt;&gt;"a","",Laborator!H55)</f>
        <v/>
      </c>
      <c r="G55" s="123" t="str">
        <f>IF(Laborator!I55&lt;&gt;"a","",Laborator!I55)</f>
        <v/>
      </c>
      <c r="H55" s="123" t="str">
        <f>IF(Laborator!J55&lt;&gt;"a","",Laborator!J55)</f>
        <v/>
      </c>
      <c r="I55" s="123" t="str">
        <f>IF(Laborator!K55&lt;&gt;"a","",Laborator!K55)</f>
        <v/>
      </c>
      <c r="J55" s="123" t="str">
        <f>IF(Laborator!L55&lt;&gt;"a","",Laborator!L55)</f>
        <v/>
      </c>
      <c r="K55" s="123" t="str">
        <f>IF(Laborator!M55&lt;&gt;"a","",Laborator!M55)</f>
        <v/>
      </c>
      <c r="L55" s="123" t="str">
        <f>IF(Laborator!N55&lt;&gt;"a","",Laborator!N55)</f>
        <v/>
      </c>
      <c r="M55" s="123" t="str">
        <f>IF(Laborator!O55&lt;&gt;"a","",Laborator!O55)</f>
        <v/>
      </c>
      <c r="N55" s="123" t="str">
        <f>IF(Laborator!P55&lt;&gt;"a","",Laborator!P55)</f>
        <v/>
      </c>
      <c r="O55" s="123" t="str">
        <f>IF(Laborator!Q55&lt;&gt;"a","",Laborator!Q55)</f>
        <v/>
      </c>
      <c r="P55" s="123" t="str">
        <f>IF(Laborator!R55&lt;&gt;"a","",Laborator!R55)</f>
        <v/>
      </c>
      <c r="Q55" s="123" t="str">
        <f>IF(Laborator!S55&lt;&gt;"a","",Laborator!S55)</f>
        <v/>
      </c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7"/>
      <c r="AG55" s="117"/>
      <c r="AH55" s="114"/>
    </row>
    <row r="56" spans="1:34" ht="19.95" customHeight="1" x14ac:dyDescent="0.3">
      <c r="A56" s="114" t="str">
        <f>Curs!B55</f>
        <v/>
      </c>
      <c r="B56" s="115" t="str">
        <f>IF(NOT(ISBLANK(Curs!C55)),Curs!C55,"")</f>
        <v/>
      </c>
      <c r="C56" s="123" t="str">
        <f>IF(Laborator!E56&lt;&gt;"a","",Laborator!E56)</f>
        <v/>
      </c>
      <c r="D56" s="123" t="str">
        <f>IF(Laborator!F56&lt;&gt;"a","",Laborator!F56)</f>
        <v/>
      </c>
      <c r="E56" s="123" t="str">
        <f>IF(Laborator!G56&lt;&gt;"a","",Laborator!G56)</f>
        <v/>
      </c>
      <c r="F56" s="123" t="str">
        <f>IF(Laborator!H56&lt;&gt;"a","",Laborator!H56)</f>
        <v/>
      </c>
      <c r="G56" s="123" t="str">
        <f>IF(Laborator!I56&lt;&gt;"a","",Laborator!I56)</f>
        <v/>
      </c>
      <c r="H56" s="123" t="str">
        <f>IF(Laborator!J56&lt;&gt;"a","",Laborator!J56)</f>
        <v/>
      </c>
      <c r="I56" s="123" t="str">
        <f>IF(Laborator!K56&lt;&gt;"a","",Laborator!K56)</f>
        <v/>
      </c>
      <c r="J56" s="123" t="str">
        <f>IF(Laborator!L56&lt;&gt;"a","",Laborator!L56)</f>
        <v/>
      </c>
      <c r="K56" s="123" t="str">
        <f>IF(Laborator!M56&lt;&gt;"a","",Laborator!M56)</f>
        <v/>
      </c>
      <c r="L56" s="123" t="str">
        <f>IF(Laborator!N56&lt;&gt;"a","",Laborator!N56)</f>
        <v/>
      </c>
      <c r="M56" s="123" t="str">
        <f>IF(Laborator!O56&lt;&gt;"a","",Laborator!O56)</f>
        <v/>
      </c>
      <c r="N56" s="123" t="str">
        <f>IF(Laborator!P56&lt;&gt;"a","",Laborator!P56)</f>
        <v/>
      </c>
      <c r="O56" s="123" t="str">
        <f>IF(Laborator!Q56&lt;&gt;"a","",Laborator!Q56)</f>
        <v/>
      </c>
      <c r="P56" s="123" t="str">
        <f>IF(Laborator!R56&lt;&gt;"a","",Laborator!R56)</f>
        <v/>
      </c>
      <c r="Q56" s="123" t="str">
        <f>IF(Laborator!S56&lt;&gt;"a","",Laborator!S56)</f>
        <v/>
      </c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7"/>
      <c r="AG56" s="117"/>
      <c r="AH56" s="114"/>
    </row>
    <row r="57" spans="1:34" ht="19.95" customHeight="1" x14ac:dyDescent="0.3">
      <c r="A57" s="114" t="str">
        <f>Curs!B56</f>
        <v/>
      </c>
      <c r="B57" s="115" t="str">
        <f>IF(NOT(ISBLANK(Curs!C56)),Curs!C56,"")</f>
        <v/>
      </c>
      <c r="C57" s="123" t="str">
        <f>IF(Laborator!E57&lt;&gt;"a","",Laborator!E57)</f>
        <v/>
      </c>
      <c r="D57" s="123" t="str">
        <f>IF(Laborator!F57&lt;&gt;"a","",Laborator!F57)</f>
        <v/>
      </c>
      <c r="E57" s="123" t="str">
        <f>IF(Laborator!G57&lt;&gt;"a","",Laborator!G57)</f>
        <v/>
      </c>
      <c r="F57" s="123" t="str">
        <f>IF(Laborator!H57&lt;&gt;"a","",Laborator!H57)</f>
        <v/>
      </c>
      <c r="G57" s="123" t="str">
        <f>IF(Laborator!I57&lt;&gt;"a","",Laborator!I57)</f>
        <v/>
      </c>
      <c r="H57" s="123" t="str">
        <f>IF(Laborator!J57&lt;&gt;"a","",Laborator!J57)</f>
        <v/>
      </c>
      <c r="I57" s="123" t="str">
        <f>IF(Laborator!K57&lt;&gt;"a","",Laborator!K57)</f>
        <v/>
      </c>
      <c r="J57" s="123" t="str">
        <f>IF(Laborator!L57&lt;&gt;"a","",Laborator!L57)</f>
        <v/>
      </c>
      <c r="K57" s="123" t="str">
        <f>IF(Laborator!M57&lt;&gt;"a","",Laborator!M57)</f>
        <v/>
      </c>
      <c r="L57" s="123" t="str">
        <f>IF(Laborator!N57&lt;&gt;"a","",Laborator!N57)</f>
        <v/>
      </c>
      <c r="M57" s="123" t="str">
        <f>IF(Laborator!O57&lt;&gt;"a","",Laborator!O57)</f>
        <v/>
      </c>
      <c r="N57" s="123" t="str">
        <f>IF(Laborator!P57&lt;&gt;"a","",Laborator!P57)</f>
        <v/>
      </c>
      <c r="O57" s="123" t="str">
        <f>IF(Laborator!Q57&lt;&gt;"a","",Laborator!Q57)</f>
        <v/>
      </c>
      <c r="P57" s="123" t="str">
        <f>IF(Laborator!R57&lt;&gt;"a","",Laborator!R57)</f>
        <v/>
      </c>
      <c r="Q57" s="123" t="str">
        <f>IF(Laborator!S57&lt;&gt;"a","",Laborator!S57)</f>
        <v/>
      </c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7"/>
      <c r="AG57" s="117"/>
      <c r="AH57" s="114"/>
    </row>
    <row r="58" spans="1:34" ht="19.95" customHeight="1" x14ac:dyDescent="0.3">
      <c r="A58" s="114" t="str">
        <f>Curs!B57</f>
        <v/>
      </c>
      <c r="B58" s="115" t="str">
        <f>IF(NOT(ISBLANK(Curs!C57)),Curs!C57,"")</f>
        <v/>
      </c>
      <c r="C58" s="123" t="str">
        <f>IF(Laborator!E58&lt;&gt;"a","",Laborator!E58)</f>
        <v/>
      </c>
      <c r="D58" s="123" t="str">
        <f>IF(Laborator!F58&lt;&gt;"a","",Laborator!F58)</f>
        <v/>
      </c>
      <c r="E58" s="123" t="str">
        <f>IF(Laborator!G58&lt;&gt;"a","",Laborator!G58)</f>
        <v/>
      </c>
      <c r="F58" s="123" t="str">
        <f>IF(Laborator!H58&lt;&gt;"a","",Laborator!H58)</f>
        <v/>
      </c>
      <c r="G58" s="123" t="str">
        <f>IF(Laborator!I58&lt;&gt;"a","",Laborator!I58)</f>
        <v/>
      </c>
      <c r="H58" s="123" t="str">
        <f>IF(Laborator!J58&lt;&gt;"a","",Laborator!J58)</f>
        <v/>
      </c>
      <c r="I58" s="123" t="str">
        <f>IF(Laborator!K58&lt;&gt;"a","",Laborator!K58)</f>
        <v/>
      </c>
      <c r="J58" s="123" t="str">
        <f>IF(Laborator!L58&lt;&gt;"a","",Laborator!L58)</f>
        <v/>
      </c>
      <c r="K58" s="123" t="str">
        <f>IF(Laborator!M58&lt;&gt;"a","",Laborator!M58)</f>
        <v/>
      </c>
      <c r="L58" s="123" t="str">
        <f>IF(Laborator!N58&lt;&gt;"a","",Laborator!N58)</f>
        <v/>
      </c>
      <c r="M58" s="123" t="str">
        <f>IF(Laborator!O58&lt;&gt;"a","",Laborator!O58)</f>
        <v/>
      </c>
      <c r="N58" s="123" t="str">
        <f>IF(Laborator!P58&lt;&gt;"a","",Laborator!P58)</f>
        <v/>
      </c>
      <c r="O58" s="123" t="str">
        <f>IF(Laborator!Q58&lt;&gt;"a","",Laborator!Q58)</f>
        <v/>
      </c>
      <c r="P58" s="123" t="str">
        <f>IF(Laborator!R58&lt;&gt;"a","",Laborator!R58)</f>
        <v/>
      </c>
      <c r="Q58" s="123" t="str">
        <f>IF(Laborator!S58&lt;&gt;"a","",Laborator!S58)</f>
        <v/>
      </c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7"/>
      <c r="AG58" s="117"/>
      <c r="AH58" s="114"/>
    </row>
    <row r="59" spans="1:34" ht="19.95" customHeight="1" x14ac:dyDescent="0.3">
      <c r="A59" s="114" t="str">
        <f>Curs!B58</f>
        <v/>
      </c>
      <c r="B59" s="115" t="str">
        <f>IF(NOT(ISBLANK(Curs!C58)),Curs!C58,"")</f>
        <v/>
      </c>
      <c r="C59" s="123" t="str">
        <f>IF(Laborator!E59&lt;&gt;"a","",Laborator!E59)</f>
        <v/>
      </c>
      <c r="D59" s="123" t="str">
        <f>IF(Laborator!F59&lt;&gt;"a","",Laborator!F59)</f>
        <v/>
      </c>
      <c r="E59" s="123" t="str">
        <f>IF(Laborator!G59&lt;&gt;"a","",Laborator!G59)</f>
        <v/>
      </c>
      <c r="F59" s="123" t="str">
        <f>IF(Laborator!H59&lt;&gt;"a","",Laborator!H59)</f>
        <v/>
      </c>
      <c r="G59" s="123" t="str">
        <f>IF(Laborator!I59&lt;&gt;"a","",Laborator!I59)</f>
        <v/>
      </c>
      <c r="H59" s="123" t="str">
        <f>IF(Laborator!J59&lt;&gt;"a","",Laborator!J59)</f>
        <v/>
      </c>
      <c r="I59" s="123" t="str">
        <f>IF(Laborator!K59&lt;&gt;"a","",Laborator!K59)</f>
        <v/>
      </c>
      <c r="J59" s="123" t="str">
        <f>IF(Laborator!L59&lt;&gt;"a","",Laborator!L59)</f>
        <v/>
      </c>
      <c r="K59" s="123" t="str">
        <f>IF(Laborator!M59&lt;&gt;"a","",Laborator!M59)</f>
        <v/>
      </c>
      <c r="L59" s="123" t="str">
        <f>IF(Laborator!N59&lt;&gt;"a","",Laborator!N59)</f>
        <v/>
      </c>
      <c r="M59" s="123" t="str">
        <f>IF(Laborator!O59&lt;&gt;"a","",Laborator!O59)</f>
        <v/>
      </c>
      <c r="N59" s="123" t="str">
        <f>IF(Laborator!P59&lt;&gt;"a","",Laborator!P59)</f>
        <v/>
      </c>
      <c r="O59" s="123" t="str">
        <f>IF(Laborator!Q59&lt;&gt;"a","",Laborator!Q59)</f>
        <v/>
      </c>
      <c r="P59" s="123" t="str">
        <f>IF(Laborator!R59&lt;&gt;"a","",Laborator!R59)</f>
        <v/>
      </c>
      <c r="Q59" s="123" t="str">
        <f>IF(Laborator!S59&lt;&gt;"a","",Laborator!S59)</f>
        <v/>
      </c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7"/>
      <c r="AG59" s="117"/>
      <c r="AH59" s="114"/>
    </row>
    <row r="60" spans="1:34" ht="19.95" customHeight="1" x14ac:dyDescent="0.3">
      <c r="A60" s="114" t="str">
        <f>Curs!B59</f>
        <v/>
      </c>
      <c r="B60" s="115" t="str">
        <f>IF(NOT(ISBLANK(Curs!C59)),Curs!C59,"")</f>
        <v/>
      </c>
      <c r="C60" s="123" t="str">
        <f>IF(Laborator!E60&lt;&gt;"a","",Laborator!E60)</f>
        <v/>
      </c>
      <c r="D60" s="123" t="str">
        <f>IF(Laborator!F60&lt;&gt;"a","",Laborator!F60)</f>
        <v/>
      </c>
      <c r="E60" s="123" t="str">
        <f>IF(Laborator!G60&lt;&gt;"a","",Laborator!G60)</f>
        <v/>
      </c>
      <c r="F60" s="123" t="str">
        <f>IF(Laborator!H60&lt;&gt;"a","",Laborator!H60)</f>
        <v/>
      </c>
      <c r="G60" s="123" t="str">
        <f>IF(Laborator!I60&lt;&gt;"a","",Laborator!I60)</f>
        <v/>
      </c>
      <c r="H60" s="123" t="str">
        <f>IF(Laborator!J60&lt;&gt;"a","",Laborator!J60)</f>
        <v/>
      </c>
      <c r="I60" s="123" t="str">
        <f>IF(Laborator!K60&lt;&gt;"a","",Laborator!K60)</f>
        <v/>
      </c>
      <c r="J60" s="123" t="str">
        <f>IF(Laborator!L60&lt;&gt;"a","",Laborator!L60)</f>
        <v/>
      </c>
      <c r="K60" s="123" t="str">
        <f>IF(Laborator!M60&lt;&gt;"a","",Laborator!M60)</f>
        <v/>
      </c>
      <c r="L60" s="123" t="str">
        <f>IF(Laborator!N60&lt;&gt;"a","",Laborator!N60)</f>
        <v/>
      </c>
      <c r="M60" s="123" t="str">
        <f>IF(Laborator!O60&lt;&gt;"a","",Laborator!O60)</f>
        <v/>
      </c>
      <c r="N60" s="123" t="str">
        <f>IF(Laborator!P60&lt;&gt;"a","",Laborator!P60)</f>
        <v/>
      </c>
      <c r="O60" s="123" t="str">
        <f>IF(Laborator!Q60&lt;&gt;"a","",Laborator!Q60)</f>
        <v/>
      </c>
      <c r="P60" s="123" t="str">
        <f>IF(Laborator!R60&lt;&gt;"a","",Laborator!R60)</f>
        <v/>
      </c>
      <c r="Q60" s="123" t="str">
        <f>IF(Laborator!S60&lt;&gt;"a","",Laborator!S60)</f>
        <v/>
      </c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7"/>
      <c r="AG60" s="117"/>
      <c r="AH60" s="114"/>
    </row>
    <row r="61" spans="1:34" ht="19.95" customHeight="1" x14ac:dyDescent="0.3">
      <c r="A61" s="114" t="str">
        <f>Curs!B60</f>
        <v/>
      </c>
      <c r="B61" s="115" t="str">
        <f>IF(NOT(ISBLANK(Curs!C60)),Curs!C60,"")</f>
        <v/>
      </c>
      <c r="C61" s="123" t="str">
        <f>IF(Laborator!E61&lt;&gt;"a","",Laborator!E61)</f>
        <v/>
      </c>
      <c r="D61" s="123" t="str">
        <f>IF(Laborator!F61&lt;&gt;"a","",Laborator!F61)</f>
        <v/>
      </c>
      <c r="E61" s="123" t="str">
        <f>IF(Laborator!G61&lt;&gt;"a","",Laborator!G61)</f>
        <v/>
      </c>
      <c r="F61" s="123" t="str">
        <f>IF(Laborator!H61&lt;&gt;"a","",Laborator!H61)</f>
        <v/>
      </c>
      <c r="G61" s="123" t="str">
        <f>IF(Laborator!I61&lt;&gt;"a","",Laborator!I61)</f>
        <v/>
      </c>
      <c r="H61" s="123" t="str">
        <f>IF(Laborator!J61&lt;&gt;"a","",Laborator!J61)</f>
        <v/>
      </c>
      <c r="I61" s="123" t="str">
        <f>IF(Laborator!K61&lt;&gt;"a","",Laborator!K61)</f>
        <v/>
      </c>
      <c r="J61" s="123" t="str">
        <f>IF(Laborator!L61&lt;&gt;"a","",Laborator!L61)</f>
        <v/>
      </c>
      <c r="K61" s="123" t="str">
        <f>IF(Laborator!M61&lt;&gt;"a","",Laborator!M61)</f>
        <v/>
      </c>
      <c r="L61" s="123" t="str">
        <f>IF(Laborator!N61&lt;&gt;"a","",Laborator!N61)</f>
        <v/>
      </c>
      <c r="M61" s="123" t="str">
        <f>IF(Laborator!O61&lt;&gt;"a","",Laborator!O61)</f>
        <v/>
      </c>
      <c r="N61" s="123" t="str">
        <f>IF(Laborator!P61&lt;&gt;"a","",Laborator!P61)</f>
        <v/>
      </c>
      <c r="O61" s="123" t="str">
        <f>IF(Laborator!Q61&lt;&gt;"a","",Laborator!Q61)</f>
        <v/>
      </c>
      <c r="P61" s="123" t="str">
        <f>IF(Laborator!R61&lt;&gt;"a","",Laborator!R61)</f>
        <v/>
      </c>
      <c r="Q61" s="123" t="str">
        <f>IF(Laborator!S61&lt;&gt;"a","",Laborator!S61)</f>
        <v/>
      </c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7"/>
      <c r="AG61" s="117"/>
      <c r="AH61" s="114"/>
    </row>
    <row r="62" spans="1:34" ht="19.95" customHeight="1" x14ac:dyDescent="0.3">
      <c r="A62" s="114" t="str">
        <f>Curs!B61</f>
        <v/>
      </c>
      <c r="B62" s="115" t="str">
        <f>IF(NOT(ISBLANK(Curs!C61)),Curs!C61,"")</f>
        <v/>
      </c>
      <c r="C62" s="123" t="str">
        <f>IF(Laborator!E62&lt;&gt;"a","",Laborator!E62)</f>
        <v/>
      </c>
      <c r="D62" s="123" t="str">
        <f>IF(Laborator!F62&lt;&gt;"a","",Laborator!F62)</f>
        <v/>
      </c>
      <c r="E62" s="123" t="str">
        <f>IF(Laborator!G62&lt;&gt;"a","",Laborator!G62)</f>
        <v/>
      </c>
      <c r="F62" s="123" t="str">
        <f>IF(Laborator!H62&lt;&gt;"a","",Laborator!H62)</f>
        <v/>
      </c>
      <c r="G62" s="123" t="str">
        <f>IF(Laborator!I62&lt;&gt;"a","",Laborator!I62)</f>
        <v/>
      </c>
      <c r="H62" s="123" t="str">
        <f>IF(Laborator!J62&lt;&gt;"a","",Laborator!J62)</f>
        <v/>
      </c>
      <c r="I62" s="123" t="str">
        <f>IF(Laborator!K62&lt;&gt;"a","",Laborator!K62)</f>
        <v/>
      </c>
      <c r="J62" s="123" t="str">
        <f>IF(Laborator!L62&lt;&gt;"a","",Laborator!L62)</f>
        <v/>
      </c>
      <c r="K62" s="123" t="str">
        <f>IF(Laborator!M62&lt;&gt;"a","",Laborator!M62)</f>
        <v/>
      </c>
      <c r="L62" s="123" t="str">
        <f>IF(Laborator!N62&lt;&gt;"a","",Laborator!N62)</f>
        <v/>
      </c>
      <c r="M62" s="123" t="str">
        <f>IF(Laborator!O62&lt;&gt;"a","",Laborator!O62)</f>
        <v/>
      </c>
      <c r="N62" s="123" t="str">
        <f>IF(Laborator!P62&lt;&gt;"a","",Laborator!P62)</f>
        <v/>
      </c>
      <c r="O62" s="123" t="str">
        <f>IF(Laborator!Q62&lt;&gt;"a","",Laborator!Q62)</f>
        <v/>
      </c>
      <c r="P62" s="123" t="str">
        <f>IF(Laborator!R62&lt;&gt;"a","",Laborator!R62)</f>
        <v/>
      </c>
      <c r="Q62" s="123" t="str">
        <f>IF(Laborator!S62&lt;&gt;"a","",Laborator!S62)</f>
        <v/>
      </c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7"/>
      <c r="AG62" s="117"/>
      <c r="AH62" s="114"/>
    </row>
    <row r="63" spans="1:34" ht="19.95" customHeight="1" x14ac:dyDescent="0.3">
      <c r="A63" s="114" t="str">
        <f>Curs!B62</f>
        <v/>
      </c>
      <c r="B63" s="115" t="str">
        <f>IF(NOT(ISBLANK(Curs!C62)),Curs!C62,"")</f>
        <v/>
      </c>
      <c r="C63" s="123" t="str">
        <f>IF(Laborator!E63&lt;&gt;"a","",Laborator!E63)</f>
        <v/>
      </c>
      <c r="D63" s="123" t="str">
        <f>IF(Laborator!F63&lt;&gt;"a","",Laborator!F63)</f>
        <v/>
      </c>
      <c r="E63" s="123" t="str">
        <f>IF(Laborator!G63&lt;&gt;"a","",Laborator!G63)</f>
        <v/>
      </c>
      <c r="F63" s="123" t="str">
        <f>IF(Laborator!H63&lt;&gt;"a","",Laborator!H63)</f>
        <v/>
      </c>
      <c r="G63" s="123" t="str">
        <f>IF(Laborator!I63&lt;&gt;"a","",Laborator!I63)</f>
        <v/>
      </c>
      <c r="H63" s="123" t="str">
        <f>IF(Laborator!J63&lt;&gt;"a","",Laborator!J63)</f>
        <v/>
      </c>
      <c r="I63" s="123" t="str">
        <f>IF(Laborator!K63&lt;&gt;"a","",Laborator!K63)</f>
        <v/>
      </c>
      <c r="J63" s="123" t="str">
        <f>IF(Laborator!L63&lt;&gt;"a","",Laborator!L63)</f>
        <v/>
      </c>
      <c r="K63" s="123" t="str">
        <f>IF(Laborator!M63&lt;&gt;"a","",Laborator!M63)</f>
        <v/>
      </c>
      <c r="L63" s="123" t="str">
        <f>IF(Laborator!N63&lt;&gt;"a","",Laborator!N63)</f>
        <v/>
      </c>
      <c r="M63" s="123" t="str">
        <f>IF(Laborator!O63&lt;&gt;"a","",Laborator!O63)</f>
        <v/>
      </c>
      <c r="N63" s="123" t="str">
        <f>IF(Laborator!P63&lt;&gt;"a","",Laborator!P63)</f>
        <v/>
      </c>
      <c r="O63" s="123" t="str">
        <f>IF(Laborator!Q63&lt;&gt;"a","",Laborator!Q63)</f>
        <v/>
      </c>
      <c r="P63" s="123" t="str">
        <f>IF(Laborator!R63&lt;&gt;"a","",Laborator!R63)</f>
        <v/>
      </c>
      <c r="Q63" s="123" t="str">
        <f>IF(Laborator!S63&lt;&gt;"a","",Laborator!S63)</f>
        <v/>
      </c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7"/>
      <c r="AG63" s="117"/>
      <c r="AH63" s="114"/>
    </row>
    <row r="64" spans="1:34" ht="19.95" customHeight="1" x14ac:dyDescent="0.3">
      <c r="A64" s="114" t="str">
        <f>Curs!B63</f>
        <v/>
      </c>
      <c r="B64" s="115" t="str">
        <f>IF(NOT(ISBLANK(Curs!C63)),Curs!C63,"")</f>
        <v/>
      </c>
      <c r="C64" s="123" t="str">
        <f>IF(Laborator!E64&lt;&gt;"a","",Laborator!E64)</f>
        <v/>
      </c>
      <c r="D64" s="123" t="str">
        <f>IF(Laborator!F64&lt;&gt;"a","",Laborator!F64)</f>
        <v/>
      </c>
      <c r="E64" s="123" t="str">
        <f>IF(Laborator!G64&lt;&gt;"a","",Laborator!G64)</f>
        <v/>
      </c>
      <c r="F64" s="123" t="str">
        <f>IF(Laborator!H64&lt;&gt;"a","",Laborator!H64)</f>
        <v/>
      </c>
      <c r="G64" s="123" t="str">
        <f>IF(Laborator!I64&lt;&gt;"a","",Laborator!I64)</f>
        <v/>
      </c>
      <c r="H64" s="123" t="str">
        <f>IF(Laborator!J64&lt;&gt;"a","",Laborator!J64)</f>
        <v/>
      </c>
      <c r="I64" s="123" t="str">
        <f>IF(Laborator!K64&lt;&gt;"a","",Laborator!K64)</f>
        <v/>
      </c>
      <c r="J64" s="123" t="str">
        <f>IF(Laborator!L64&lt;&gt;"a","",Laborator!L64)</f>
        <v/>
      </c>
      <c r="K64" s="123" t="str">
        <f>IF(Laborator!M64&lt;&gt;"a","",Laborator!M64)</f>
        <v/>
      </c>
      <c r="L64" s="123" t="str">
        <f>IF(Laborator!N64&lt;&gt;"a","",Laborator!N64)</f>
        <v/>
      </c>
      <c r="M64" s="123" t="str">
        <f>IF(Laborator!O64&lt;&gt;"a","",Laborator!O64)</f>
        <v/>
      </c>
      <c r="N64" s="123" t="str">
        <f>IF(Laborator!P64&lt;&gt;"a","",Laborator!P64)</f>
        <v/>
      </c>
      <c r="O64" s="123" t="str">
        <f>IF(Laborator!Q64&lt;&gt;"a","",Laborator!Q64)</f>
        <v/>
      </c>
      <c r="P64" s="123" t="str">
        <f>IF(Laborator!R64&lt;&gt;"a","",Laborator!R64)</f>
        <v/>
      </c>
      <c r="Q64" s="123" t="str">
        <f>IF(Laborator!S64&lt;&gt;"a","",Laborator!S64)</f>
        <v/>
      </c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7"/>
      <c r="AG64" s="117"/>
      <c r="AH64" s="114"/>
    </row>
    <row r="65" spans="1:34" ht="19.95" customHeight="1" x14ac:dyDescent="0.3">
      <c r="A65" s="114" t="str">
        <f>Curs!B64</f>
        <v/>
      </c>
      <c r="B65" s="115" t="str">
        <f>IF(NOT(ISBLANK(Curs!C64)),Curs!C64,"")</f>
        <v/>
      </c>
      <c r="C65" s="123" t="str">
        <f>IF(Laborator!E65&lt;&gt;"a","",Laborator!E65)</f>
        <v/>
      </c>
      <c r="D65" s="123" t="str">
        <f>IF(Laborator!F65&lt;&gt;"a","",Laborator!F65)</f>
        <v/>
      </c>
      <c r="E65" s="123" t="str">
        <f>IF(Laborator!G65&lt;&gt;"a","",Laborator!G65)</f>
        <v/>
      </c>
      <c r="F65" s="123" t="str">
        <f>IF(Laborator!H65&lt;&gt;"a","",Laborator!H65)</f>
        <v/>
      </c>
      <c r="G65" s="123" t="str">
        <f>IF(Laborator!I65&lt;&gt;"a","",Laborator!I65)</f>
        <v/>
      </c>
      <c r="H65" s="123" t="str">
        <f>IF(Laborator!J65&lt;&gt;"a","",Laborator!J65)</f>
        <v/>
      </c>
      <c r="I65" s="123" t="str">
        <f>IF(Laborator!K65&lt;&gt;"a","",Laborator!K65)</f>
        <v/>
      </c>
      <c r="J65" s="123" t="str">
        <f>IF(Laborator!L65&lt;&gt;"a","",Laborator!L65)</f>
        <v/>
      </c>
      <c r="K65" s="123" t="str">
        <f>IF(Laborator!M65&lt;&gt;"a","",Laborator!M65)</f>
        <v/>
      </c>
      <c r="L65" s="123" t="str">
        <f>IF(Laborator!N65&lt;&gt;"a","",Laborator!N65)</f>
        <v/>
      </c>
      <c r="M65" s="123" t="str">
        <f>IF(Laborator!O65&lt;&gt;"a","",Laborator!O65)</f>
        <v/>
      </c>
      <c r="N65" s="123" t="str">
        <f>IF(Laborator!P65&lt;&gt;"a","",Laborator!P65)</f>
        <v/>
      </c>
      <c r="O65" s="123" t="str">
        <f>IF(Laborator!Q65&lt;&gt;"a","",Laborator!Q65)</f>
        <v/>
      </c>
      <c r="P65" s="123" t="str">
        <f>IF(Laborator!R65&lt;&gt;"a","",Laborator!R65)</f>
        <v/>
      </c>
      <c r="Q65" s="123" t="str">
        <f>IF(Laborator!S65&lt;&gt;"a","",Laborator!S65)</f>
        <v/>
      </c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7"/>
      <c r="AG65" s="117"/>
      <c r="AH65" s="114"/>
    </row>
    <row r="66" spans="1:34" ht="19.95" customHeight="1" x14ac:dyDescent="0.3">
      <c r="A66" s="114" t="str">
        <f>Curs!B65</f>
        <v/>
      </c>
      <c r="B66" s="115" t="str">
        <f>IF(NOT(ISBLANK(Curs!C65)),Curs!C65,"")</f>
        <v/>
      </c>
      <c r="C66" s="123" t="str">
        <f>IF(Laborator!E66&lt;&gt;"a","",Laborator!E66)</f>
        <v/>
      </c>
      <c r="D66" s="123" t="str">
        <f>IF(Laborator!F66&lt;&gt;"a","",Laborator!F66)</f>
        <v/>
      </c>
      <c r="E66" s="123" t="str">
        <f>IF(Laborator!G66&lt;&gt;"a","",Laborator!G66)</f>
        <v/>
      </c>
      <c r="F66" s="123" t="str">
        <f>IF(Laborator!H66&lt;&gt;"a","",Laborator!H66)</f>
        <v/>
      </c>
      <c r="G66" s="123" t="str">
        <f>IF(Laborator!I66&lt;&gt;"a","",Laborator!I66)</f>
        <v/>
      </c>
      <c r="H66" s="123" t="str">
        <f>IF(Laborator!J66&lt;&gt;"a","",Laborator!J66)</f>
        <v/>
      </c>
      <c r="I66" s="123" t="str">
        <f>IF(Laborator!K66&lt;&gt;"a","",Laborator!K66)</f>
        <v/>
      </c>
      <c r="J66" s="123" t="str">
        <f>IF(Laborator!L66&lt;&gt;"a","",Laborator!L66)</f>
        <v/>
      </c>
      <c r="K66" s="123" t="str">
        <f>IF(Laborator!M66&lt;&gt;"a","",Laborator!M66)</f>
        <v/>
      </c>
      <c r="L66" s="123" t="str">
        <f>IF(Laborator!N66&lt;&gt;"a","",Laborator!N66)</f>
        <v/>
      </c>
      <c r="M66" s="123" t="str">
        <f>IF(Laborator!O66&lt;&gt;"a","",Laborator!O66)</f>
        <v/>
      </c>
      <c r="N66" s="123" t="str">
        <f>IF(Laborator!P66&lt;&gt;"a","",Laborator!P66)</f>
        <v/>
      </c>
      <c r="O66" s="123" t="str">
        <f>IF(Laborator!Q66&lt;&gt;"a","",Laborator!Q66)</f>
        <v/>
      </c>
      <c r="P66" s="123" t="str">
        <f>IF(Laborator!R66&lt;&gt;"a","",Laborator!R66)</f>
        <v/>
      </c>
      <c r="Q66" s="123" t="str">
        <f>IF(Laborator!S66&lt;&gt;"a","",Laborator!S66)</f>
        <v/>
      </c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7"/>
      <c r="AG66" s="117"/>
      <c r="AH66" s="114"/>
    </row>
    <row r="67" spans="1:34" ht="19.95" customHeight="1" x14ac:dyDescent="0.3">
      <c r="A67" s="114" t="str">
        <f>Curs!B66</f>
        <v/>
      </c>
      <c r="B67" s="115" t="str">
        <f>IF(NOT(ISBLANK(Curs!C66)),Curs!C66,"")</f>
        <v/>
      </c>
      <c r="C67" s="123" t="str">
        <f>IF(Laborator!E67&lt;&gt;"a","",Laborator!E67)</f>
        <v/>
      </c>
      <c r="D67" s="123" t="str">
        <f>IF(Laborator!F67&lt;&gt;"a","",Laborator!F67)</f>
        <v/>
      </c>
      <c r="E67" s="123" t="str">
        <f>IF(Laborator!G67&lt;&gt;"a","",Laborator!G67)</f>
        <v/>
      </c>
      <c r="F67" s="123" t="str">
        <f>IF(Laborator!H67&lt;&gt;"a","",Laborator!H67)</f>
        <v/>
      </c>
      <c r="G67" s="123" t="str">
        <f>IF(Laborator!I67&lt;&gt;"a","",Laborator!I67)</f>
        <v/>
      </c>
      <c r="H67" s="123" t="str">
        <f>IF(Laborator!J67&lt;&gt;"a","",Laborator!J67)</f>
        <v/>
      </c>
      <c r="I67" s="123" t="str">
        <f>IF(Laborator!K67&lt;&gt;"a","",Laborator!K67)</f>
        <v/>
      </c>
      <c r="J67" s="123" t="str">
        <f>IF(Laborator!L67&lt;&gt;"a","",Laborator!L67)</f>
        <v/>
      </c>
      <c r="K67" s="123" t="str">
        <f>IF(Laborator!M67&lt;&gt;"a","",Laborator!M67)</f>
        <v/>
      </c>
      <c r="L67" s="123" t="str">
        <f>IF(Laborator!N67&lt;&gt;"a","",Laborator!N67)</f>
        <v/>
      </c>
      <c r="M67" s="123" t="str">
        <f>IF(Laborator!O67&lt;&gt;"a","",Laborator!O67)</f>
        <v/>
      </c>
      <c r="N67" s="123" t="str">
        <f>IF(Laborator!P67&lt;&gt;"a","",Laborator!P67)</f>
        <v/>
      </c>
      <c r="O67" s="123" t="str">
        <f>IF(Laborator!Q67&lt;&gt;"a","",Laborator!Q67)</f>
        <v/>
      </c>
      <c r="P67" s="123" t="str">
        <f>IF(Laborator!R67&lt;&gt;"a","",Laborator!R67)</f>
        <v/>
      </c>
      <c r="Q67" s="123" t="str">
        <f>IF(Laborator!S67&lt;&gt;"a","",Laborator!S67)</f>
        <v/>
      </c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7"/>
      <c r="AG67" s="117"/>
      <c r="AH67" s="114"/>
    </row>
    <row r="68" spans="1:34" ht="19.95" customHeight="1" x14ac:dyDescent="0.3">
      <c r="A68" s="114" t="str">
        <f>Curs!B67</f>
        <v/>
      </c>
      <c r="B68" s="115" t="str">
        <f>IF(NOT(ISBLANK(Curs!C67)),Curs!C67,"")</f>
        <v/>
      </c>
      <c r="C68" s="123" t="str">
        <f>IF(Laborator!E68&lt;&gt;"a","",Laborator!E68)</f>
        <v/>
      </c>
      <c r="D68" s="123" t="str">
        <f>IF(Laborator!F68&lt;&gt;"a","",Laborator!F68)</f>
        <v/>
      </c>
      <c r="E68" s="123" t="str">
        <f>IF(Laborator!G68&lt;&gt;"a","",Laborator!G68)</f>
        <v/>
      </c>
      <c r="F68" s="123" t="str">
        <f>IF(Laborator!H68&lt;&gt;"a","",Laborator!H68)</f>
        <v/>
      </c>
      <c r="G68" s="123" t="str">
        <f>IF(Laborator!I68&lt;&gt;"a","",Laborator!I68)</f>
        <v/>
      </c>
      <c r="H68" s="123" t="str">
        <f>IF(Laborator!J68&lt;&gt;"a","",Laborator!J68)</f>
        <v/>
      </c>
      <c r="I68" s="123" t="str">
        <f>IF(Laborator!K68&lt;&gt;"a","",Laborator!K68)</f>
        <v/>
      </c>
      <c r="J68" s="123" t="str">
        <f>IF(Laborator!L68&lt;&gt;"a","",Laborator!L68)</f>
        <v/>
      </c>
      <c r="K68" s="123" t="str">
        <f>IF(Laborator!M68&lt;&gt;"a","",Laborator!M68)</f>
        <v/>
      </c>
      <c r="L68" s="123" t="str">
        <f>IF(Laborator!N68&lt;&gt;"a","",Laborator!N68)</f>
        <v/>
      </c>
      <c r="M68" s="123" t="str">
        <f>IF(Laborator!O68&lt;&gt;"a","",Laborator!O68)</f>
        <v/>
      </c>
      <c r="N68" s="123" t="str">
        <f>IF(Laborator!P68&lt;&gt;"a","",Laborator!P68)</f>
        <v/>
      </c>
      <c r="O68" s="123" t="str">
        <f>IF(Laborator!Q68&lt;&gt;"a","",Laborator!Q68)</f>
        <v/>
      </c>
      <c r="P68" s="123" t="str">
        <f>IF(Laborator!R68&lt;&gt;"a","",Laborator!R68)</f>
        <v/>
      </c>
      <c r="Q68" s="123" t="str">
        <f>IF(Laborator!S68&lt;&gt;"a","",Laborator!S68)</f>
        <v/>
      </c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7"/>
      <c r="AG68" s="117"/>
      <c r="AH68" s="114"/>
    </row>
    <row r="69" spans="1:34" ht="19.95" customHeight="1" x14ac:dyDescent="0.3">
      <c r="A69" s="114" t="str">
        <f>Curs!B68</f>
        <v/>
      </c>
      <c r="B69" s="115" t="str">
        <f>IF(NOT(ISBLANK(Curs!C68)),Curs!C68,"")</f>
        <v/>
      </c>
      <c r="C69" s="123" t="str">
        <f>IF(Laborator!E69&lt;&gt;"a","",Laborator!E69)</f>
        <v/>
      </c>
      <c r="D69" s="123" t="str">
        <f>IF(Laborator!F69&lt;&gt;"a","",Laborator!F69)</f>
        <v/>
      </c>
      <c r="E69" s="123" t="str">
        <f>IF(Laborator!G69&lt;&gt;"a","",Laborator!G69)</f>
        <v/>
      </c>
      <c r="F69" s="123" t="str">
        <f>IF(Laborator!H69&lt;&gt;"a","",Laborator!H69)</f>
        <v/>
      </c>
      <c r="G69" s="123" t="str">
        <f>IF(Laborator!I69&lt;&gt;"a","",Laborator!I69)</f>
        <v/>
      </c>
      <c r="H69" s="123" t="str">
        <f>IF(Laborator!J69&lt;&gt;"a","",Laborator!J69)</f>
        <v/>
      </c>
      <c r="I69" s="123" t="str">
        <f>IF(Laborator!K69&lt;&gt;"a","",Laborator!K69)</f>
        <v/>
      </c>
      <c r="J69" s="123" t="str">
        <f>IF(Laborator!L69&lt;&gt;"a","",Laborator!L69)</f>
        <v/>
      </c>
      <c r="K69" s="123" t="str">
        <f>IF(Laborator!M69&lt;&gt;"a","",Laborator!M69)</f>
        <v/>
      </c>
      <c r="L69" s="123" t="str">
        <f>IF(Laborator!N69&lt;&gt;"a","",Laborator!N69)</f>
        <v/>
      </c>
      <c r="M69" s="123" t="str">
        <f>IF(Laborator!O69&lt;&gt;"a","",Laborator!O69)</f>
        <v/>
      </c>
      <c r="N69" s="123" t="str">
        <f>IF(Laborator!P69&lt;&gt;"a","",Laborator!P69)</f>
        <v/>
      </c>
      <c r="O69" s="123" t="str">
        <f>IF(Laborator!Q69&lt;&gt;"a","",Laborator!Q69)</f>
        <v/>
      </c>
      <c r="P69" s="123" t="str">
        <f>IF(Laborator!R69&lt;&gt;"a","",Laborator!R69)</f>
        <v/>
      </c>
      <c r="Q69" s="123" t="str">
        <f>IF(Laborator!S69&lt;&gt;"a","",Laborator!S69)</f>
        <v/>
      </c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7"/>
      <c r="AG69" s="117"/>
      <c r="AH69" s="114"/>
    </row>
    <row r="70" spans="1:34" ht="19.95" customHeight="1" x14ac:dyDescent="0.3">
      <c r="A70" s="114" t="str">
        <f>Curs!B69</f>
        <v/>
      </c>
      <c r="B70" s="115" t="str">
        <f>IF(NOT(ISBLANK(Curs!C69)),Curs!C69,"")</f>
        <v/>
      </c>
      <c r="C70" s="123" t="str">
        <f>IF(Laborator!E70&lt;&gt;"a","",Laborator!E70)</f>
        <v/>
      </c>
      <c r="D70" s="123" t="str">
        <f>IF(Laborator!F70&lt;&gt;"a","",Laborator!F70)</f>
        <v/>
      </c>
      <c r="E70" s="123" t="str">
        <f>IF(Laborator!G70&lt;&gt;"a","",Laborator!G70)</f>
        <v/>
      </c>
      <c r="F70" s="123" t="str">
        <f>IF(Laborator!H70&lt;&gt;"a","",Laborator!H70)</f>
        <v/>
      </c>
      <c r="G70" s="123" t="str">
        <f>IF(Laborator!I70&lt;&gt;"a","",Laborator!I70)</f>
        <v/>
      </c>
      <c r="H70" s="123" t="str">
        <f>IF(Laborator!J70&lt;&gt;"a","",Laborator!J70)</f>
        <v/>
      </c>
      <c r="I70" s="123" t="str">
        <f>IF(Laborator!K70&lt;&gt;"a","",Laborator!K70)</f>
        <v/>
      </c>
      <c r="J70" s="123" t="str">
        <f>IF(Laborator!L70&lt;&gt;"a","",Laborator!L70)</f>
        <v/>
      </c>
      <c r="K70" s="123" t="str">
        <f>IF(Laborator!M70&lt;&gt;"a","",Laborator!M70)</f>
        <v/>
      </c>
      <c r="L70" s="123" t="str">
        <f>IF(Laborator!N70&lt;&gt;"a","",Laborator!N70)</f>
        <v/>
      </c>
      <c r="M70" s="123" t="str">
        <f>IF(Laborator!O70&lt;&gt;"a","",Laborator!O70)</f>
        <v/>
      </c>
      <c r="N70" s="123" t="str">
        <f>IF(Laborator!P70&lt;&gt;"a","",Laborator!P70)</f>
        <v/>
      </c>
      <c r="O70" s="123" t="str">
        <f>IF(Laborator!Q70&lt;&gt;"a","",Laborator!Q70)</f>
        <v/>
      </c>
      <c r="P70" s="123" t="str">
        <f>IF(Laborator!R70&lt;&gt;"a","",Laborator!R70)</f>
        <v/>
      </c>
      <c r="Q70" s="123" t="str">
        <f>IF(Laborator!S70&lt;&gt;"a","",Laborator!S70)</f>
        <v/>
      </c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7"/>
      <c r="AG70" s="117"/>
      <c r="AH70" s="114"/>
    </row>
    <row r="71" spans="1:34" ht="19.95" customHeight="1" x14ac:dyDescent="0.3">
      <c r="A71" s="114" t="str">
        <f>Curs!B70</f>
        <v/>
      </c>
      <c r="B71" s="115" t="str">
        <f>IF(NOT(ISBLANK(Curs!C70)),Curs!C70,"")</f>
        <v/>
      </c>
      <c r="C71" s="123" t="str">
        <f>IF(Laborator!E71&lt;&gt;"a","",Laborator!E71)</f>
        <v/>
      </c>
      <c r="D71" s="123" t="str">
        <f>IF(Laborator!F71&lt;&gt;"a","",Laborator!F71)</f>
        <v/>
      </c>
      <c r="E71" s="123" t="str">
        <f>IF(Laborator!G71&lt;&gt;"a","",Laborator!G71)</f>
        <v/>
      </c>
      <c r="F71" s="123" t="str">
        <f>IF(Laborator!H71&lt;&gt;"a","",Laborator!H71)</f>
        <v/>
      </c>
      <c r="G71" s="123" t="str">
        <f>IF(Laborator!I71&lt;&gt;"a","",Laborator!I71)</f>
        <v/>
      </c>
      <c r="H71" s="123" t="str">
        <f>IF(Laborator!J71&lt;&gt;"a","",Laborator!J71)</f>
        <v/>
      </c>
      <c r="I71" s="123" t="str">
        <f>IF(Laborator!K71&lt;&gt;"a","",Laborator!K71)</f>
        <v/>
      </c>
      <c r="J71" s="123" t="str">
        <f>IF(Laborator!L71&lt;&gt;"a","",Laborator!L71)</f>
        <v/>
      </c>
      <c r="K71" s="123" t="str">
        <f>IF(Laborator!M71&lt;&gt;"a","",Laborator!M71)</f>
        <v/>
      </c>
      <c r="L71" s="123" t="str">
        <f>IF(Laborator!N71&lt;&gt;"a","",Laborator!N71)</f>
        <v/>
      </c>
      <c r="M71" s="123" t="str">
        <f>IF(Laborator!O71&lt;&gt;"a","",Laborator!O71)</f>
        <v/>
      </c>
      <c r="N71" s="123" t="str">
        <f>IF(Laborator!P71&lt;&gt;"a","",Laborator!P71)</f>
        <v/>
      </c>
      <c r="O71" s="123" t="str">
        <f>IF(Laborator!Q71&lt;&gt;"a","",Laborator!Q71)</f>
        <v/>
      </c>
      <c r="P71" s="123" t="str">
        <f>IF(Laborator!R71&lt;&gt;"a","",Laborator!R71)</f>
        <v/>
      </c>
      <c r="Q71" s="123" t="str">
        <f>IF(Laborator!S71&lt;&gt;"a","",Laborator!S71)</f>
        <v/>
      </c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7"/>
      <c r="AG71" s="117"/>
      <c r="AH71" s="114"/>
    </row>
    <row r="72" spans="1:34" ht="19.95" customHeight="1" x14ac:dyDescent="0.3">
      <c r="A72" s="114" t="str">
        <f>Curs!B71</f>
        <v/>
      </c>
      <c r="B72" s="115" t="str">
        <f>IF(NOT(ISBLANK(Curs!C71)),Curs!C71,"")</f>
        <v/>
      </c>
      <c r="C72" s="123" t="str">
        <f>IF(Laborator!E72&lt;&gt;"a","",Laborator!E72)</f>
        <v/>
      </c>
      <c r="D72" s="123" t="str">
        <f>IF(Laborator!F72&lt;&gt;"a","",Laborator!F72)</f>
        <v/>
      </c>
      <c r="E72" s="123" t="str">
        <f>IF(Laborator!G72&lt;&gt;"a","",Laborator!G72)</f>
        <v/>
      </c>
      <c r="F72" s="123" t="str">
        <f>IF(Laborator!H72&lt;&gt;"a","",Laborator!H72)</f>
        <v/>
      </c>
      <c r="G72" s="123" t="str">
        <f>IF(Laborator!I72&lt;&gt;"a","",Laborator!I72)</f>
        <v/>
      </c>
      <c r="H72" s="123" t="str">
        <f>IF(Laborator!J72&lt;&gt;"a","",Laborator!J72)</f>
        <v/>
      </c>
      <c r="I72" s="123" t="str">
        <f>IF(Laborator!K72&lt;&gt;"a","",Laborator!K72)</f>
        <v/>
      </c>
      <c r="J72" s="123" t="str">
        <f>IF(Laborator!L72&lt;&gt;"a","",Laborator!L72)</f>
        <v/>
      </c>
      <c r="K72" s="123" t="str">
        <f>IF(Laborator!M72&lt;&gt;"a","",Laborator!M72)</f>
        <v/>
      </c>
      <c r="L72" s="123" t="str">
        <f>IF(Laborator!N72&lt;&gt;"a","",Laborator!N72)</f>
        <v/>
      </c>
      <c r="M72" s="123" t="str">
        <f>IF(Laborator!O72&lt;&gt;"a","",Laborator!O72)</f>
        <v/>
      </c>
      <c r="N72" s="123" t="str">
        <f>IF(Laborator!P72&lt;&gt;"a","",Laborator!P72)</f>
        <v/>
      </c>
      <c r="O72" s="123" t="str">
        <f>IF(Laborator!Q72&lt;&gt;"a","",Laborator!Q72)</f>
        <v/>
      </c>
      <c r="P72" s="123" t="str">
        <f>IF(Laborator!R72&lt;&gt;"a","",Laborator!R72)</f>
        <v/>
      </c>
      <c r="Q72" s="123" t="str">
        <f>IF(Laborator!S72&lt;&gt;"a","",Laborator!S72)</f>
        <v/>
      </c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7"/>
      <c r="AG72" s="117"/>
      <c r="AH72" s="114"/>
    </row>
    <row r="73" spans="1:34" ht="19.95" customHeight="1" x14ac:dyDescent="0.3">
      <c r="A73" s="114" t="str">
        <f>Curs!B72</f>
        <v/>
      </c>
      <c r="B73" s="115" t="str">
        <f>IF(NOT(ISBLANK(Curs!C72)),Curs!C72,"")</f>
        <v/>
      </c>
      <c r="C73" s="123" t="str">
        <f>IF(Laborator!E73&lt;&gt;"a","",Laborator!E73)</f>
        <v/>
      </c>
      <c r="D73" s="123" t="str">
        <f>IF(Laborator!F73&lt;&gt;"a","",Laborator!F73)</f>
        <v/>
      </c>
      <c r="E73" s="123" t="str">
        <f>IF(Laborator!G73&lt;&gt;"a","",Laborator!G73)</f>
        <v/>
      </c>
      <c r="F73" s="123" t="str">
        <f>IF(Laborator!H73&lt;&gt;"a","",Laborator!H73)</f>
        <v/>
      </c>
      <c r="G73" s="123" t="str">
        <f>IF(Laborator!I73&lt;&gt;"a","",Laborator!I73)</f>
        <v/>
      </c>
      <c r="H73" s="123" t="str">
        <f>IF(Laborator!J73&lt;&gt;"a","",Laborator!J73)</f>
        <v/>
      </c>
      <c r="I73" s="123" t="str">
        <f>IF(Laborator!K73&lt;&gt;"a","",Laborator!K73)</f>
        <v/>
      </c>
      <c r="J73" s="123" t="str">
        <f>IF(Laborator!L73&lt;&gt;"a","",Laborator!L73)</f>
        <v/>
      </c>
      <c r="K73" s="123" t="str">
        <f>IF(Laborator!M73&lt;&gt;"a","",Laborator!M73)</f>
        <v/>
      </c>
      <c r="L73" s="123" t="str">
        <f>IF(Laborator!N73&lt;&gt;"a","",Laborator!N73)</f>
        <v/>
      </c>
      <c r="M73" s="123" t="str">
        <f>IF(Laborator!O73&lt;&gt;"a","",Laborator!O73)</f>
        <v/>
      </c>
      <c r="N73" s="123" t="str">
        <f>IF(Laborator!P73&lt;&gt;"a","",Laborator!P73)</f>
        <v/>
      </c>
      <c r="O73" s="123" t="str">
        <f>IF(Laborator!Q73&lt;&gt;"a","",Laborator!Q73)</f>
        <v/>
      </c>
      <c r="P73" s="123" t="str">
        <f>IF(Laborator!R73&lt;&gt;"a","",Laborator!R73)</f>
        <v/>
      </c>
      <c r="Q73" s="123" t="str">
        <f>IF(Laborator!S73&lt;&gt;"a","",Laborator!S73)</f>
        <v/>
      </c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7"/>
      <c r="AG73" s="117"/>
      <c r="AH73" s="114"/>
    </row>
    <row r="74" spans="1:34" ht="19.95" customHeight="1" x14ac:dyDescent="0.3">
      <c r="A74" s="114" t="str">
        <f>Curs!B73</f>
        <v/>
      </c>
      <c r="B74" s="115" t="str">
        <f>IF(NOT(ISBLANK(Curs!C73)),Curs!C73,"")</f>
        <v/>
      </c>
      <c r="C74" s="123" t="str">
        <f>IF(Laborator!E74&lt;&gt;"a","",Laborator!E74)</f>
        <v/>
      </c>
      <c r="D74" s="123" t="str">
        <f>IF(Laborator!F74&lt;&gt;"a","",Laborator!F74)</f>
        <v/>
      </c>
      <c r="E74" s="123" t="str">
        <f>IF(Laborator!G74&lt;&gt;"a","",Laborator!G74)</f>
        <v/>
      </c>
      <c r="F74" s="123" t="str">
        <f>IF(Laborator!H74&lt;&gt;"a","",Laborator!H74)</f>
        <v/>
      </c>
      <c r="G74" s="123" t="str">
        <f>IF(Laborator!I74&lt;&gt;"a","",Laborator!I74)</f>
        <v/>
      </c>
      <c r="H74" s="123" t="str">
        <f>IF(Laborator!J74&lt;&gt;"a","",Laborator!J74)</f>
        <v/>
      </c>
      <c r="I74" s="123" t="str">
        <f>IF(Laborator!K74&lt;&gt;"a","",Laborator!K74)</f>
        <v/>
      </c>
      <c r="J74" s="123" t="str">
        <f>IF(Laborator!L74&lt;&gt;"a","",Laborator!L74)</f>
        <v/>
      </c>
      <c r="K74" s="123" t="str">
        <f>IF(Laborator!M74&lt;&gt;"a","",Laborator!M74)</f>
        <v/>
      </c>
      <c r="L74" s="123" t="str">
        <f>IF(Laborator!N74&lt;&gt;"a","",Laborator!N74)</f>
        <v/>
      </c>
      <c r="M74" s="123" t="str">
        <f>IF(Laborator!O74&lt;&gt;"a","",Laborator!O74)</f>
        <v/>
      </c>
      <c r="N74" s="123" t="str">
        <f>IF(Laborator!P74&lt;&gt;"a","",Laborator!P74)</f>
        <v/>
      </c>
      <c r="O74" s="123" t="str">
        <f>IF(Laborator!Q74&lt;&gt;"a","",Laborator!Q74)</f>
        <v/>
      </c>
      <c r="P74" s="123" t="str">
        <f>IF(Laborator!R74&lt;&gt;"a","",Laborator!R74)</f>
        <v/>
      </c>
      <c r="Q74" s="123" t="str">
        <f>IF(Laborator!S74&lt;&gt;"a","",Laborator!S74)</f>
        <v/>
      </c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7"/>
      <c r="AG74" s="117"/>
      <c r="AH74" s="114"/>
    </row>
    <row r="75" spans="1:34" ht="19.95" customHeight="1" x14ac:dyDescent="0.3">
      <c r="A75" s="114" t="str">
        <f>Curs!B74</f>
        <v/>
      </c>
      <c r="B75" s="115" t="str">
        <f>IF(NOT(ISBLANK(Curs!C74)),Curs!C74,"")</f>
        <v/>
      </c>
      <c r="C75" s="123" t="str">
        <f>IF(Laborator!E75&lt;&gt;"a","",Laborator!E75)</f>
        <v/>
      </c>
      <c r="D75" s="123" t="str">
        <f>IF(Laborator!F75&lt;&gt;"a","",Laborator!F75)</f>
        <v/>
      </c>
      <c r="E75" s="123" t="str">
        <f>IF(Laborator!G75&lt;&gt;"a","",Laborator!G75)</f>
        <v/>
      </c>
      <c r="F75" s="123" t="str">
        <f>IF(Laborator!H75&lt;&gt;"a","",Laborator!H75)</f>
        <v/>
      </c>
      <c r="G75" s="123" t="str">
        <f>IF(Laborator!I75&lt;&gt;"a","",Laborator!I75)</f>
        <v/>
      </c>
      <c r="H75" s="123" t="str">
        <f>IF(Laborator!J75&lt;&gt;"a","",Laborator!J75)</f>
        <v/>
      </c>
      <c r="I75" s="123" t="str">
        <f>IF(Laborator!K75&lt;&gt;"a","",Laborator!K75)</f>
        <v/>
      </c>
      <c r="J75" s="123" t="str">
        <f>IF(Laborator!L75&lt;&gt;"a","",Laborator!L75)</f>
        <v/>
      </c>
      <c r="K75" s="123" t="str">
        <f>IF(Laborator!M75&lt;&gt;"a","",Laborator!M75)</f>
        <v/>
      </c>
      <c r="L75" s="123" t="str">
        <f>IF(Laborator!N75&lt;&gt;"a","",Laborator!N75)</f>
        <v/>
      </c>
      <c r="M75" s="123" t="str">
        <f>IF(Laborator!O75&lt;&gt;"a","",Laborator!O75)</f>
        <v/>
      </c>
      <c r="N75" s="123" t="str">
        <f>IF(Laborator!P75&lt;&gt;"a","",Laborator!P75)</f>
        <v/>
      </c>
      <c r="O75" s="123" t="str">
        <f>IF(Laborator!Q75&lt;&gt;"a","",Laborator!Q75)</f>
        <v/>
      </c>
      <c r="P75" s="123" t="str">
        <f>IF(Laborator!R75&lt;&gt;"a","",Laborator!R75)</f>
        <v/>
      </c>
      <c r="Q75" s="123" t="str">
        <f>IF(Laborator!S75&lt;&gt;"a","",Laborator!S75)</f>
        <v/>
      </c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7"/>
      <c r="AG75" s="117"/>
      <c r="AH75" s="114"/>
    </row>
    <row r="76" spans="1:34" ht="19.95" customHeight="1" x14ac:dyDescent="0.3">
      <c r="A76" s="114" t="str">
        <f>Curs!B75</f>
        <v/>
      </c>
      <c r="B76" s="115" t="str">
        <f>IF(NOT(ISBLANK(Curs!C75)),Curs!C75,"")</f>
        <v/>
      </c>
      <c r="C76" s="123" t="str">
        <f>IF(Laborator!E76&lt;&gt;"a","",Laborator!E76)</f>
        <v/>
      </c>
      <c r="D76" s="123" t="str">
        <f>IF(Laborator!F76&lt;&gt;"a","",Laborator!F76)</f>
        <v/>
      </c>
      <c r="E76" s="123" t="str">
        <f>IF(Laborator!G76&lt;&gt;"a","",Laborator!G76)</f>
        <v/>
      </c>
      <c r="F76" s="123" t="str">
        <f>IF(Laborator!H76&lt;&gt;"a","",Laborator!H76)</f>
        <v/>
      </c>
      <c r="G76" s="123" t="str">
        <f>IF(Laborator!I76&lt;&gt;"a","",Laborator!I76)</f>
        <v/>
      </c>
      <c r="H76" s="123" t="str">
        <f>IF(Laborator!J76&lt;&gt;"a","",Laborator!J76)</f>
        <v/>
      </c>
      <c r="I76" s="123" t="str">
        <f>IF(Laborator!K76&lt;&gt;"a","",Laborator!K76)</f>
        <v/>
      </c>
      <c r="J76" s="123" t="str">
        <f>IF(Laborator!L76&lt;&gt;"a","",Laborator!L76)</f>
        <v/>
      </c>
      <c r="K76" s="123" t="str">
        <f>IF(Laborator!M76&lt;&gt;"a","",Laborator!M76)</f>
        <v/>
      </c>
      <c r="L76" s="123" t="str">
        <f>IF(Laborator!N76&lt;&gt;"a","",Laborator!N76)</f>
        <v/>
      </c>
      <c r="M76" s="123" t="str">
        <f>IF(Laborator!O76&lt;&gt;"a","",Laborator!O76)</f>
        <v/>
      </c>
      <c r="N76" s="123" t="str">
        <f>IF(Laborator!P76&lt;&gt;"a","",Laborator!P76)</f>
        <v/>
      </c>
      <c r="O76" s="123" t="str">
        <f>IF(Laborator!Q76&lt;&gt;"a","",Laborator!Q76)</f>
        <v/>
      </c>
      <c r="P76" s="123" t="str">
        <f>IF(Laborator!R76&lt;&gt;"a","",Laborator!R76)</f>
        <v/>
      </c>
      <c r="Q76" s="123" t="str">
        <f>IF(Laborator!S76&lt;&gt;"a","",Laborator!S76)</f>
        <v/>
      </c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7"/>
      <c r="AG76" s="117"/>
      <c r="AH76" s="114"/>
    </row>
    <row r="77" spans="1:34" ht="19.95" customHeight="1" x14ac:dyDescent="0.3">
      <c r="A77" s="114" t="str">
        <f>Curs!B76</f>
        <v/>
      </c>
      <c r="B77" s="115" t="str">
        <f>IF(NOT(ISBLANK(Curs!C76)),Curs!C76,"")</f>
        <v/>
      </c>
      <c r="C77" s="123" t="str">
        <f>IF(Laborator!E77&lt;&gt;"a","",Laborator!E77)</f>
        <v/>
      </c>
      <c r="D77" s="123" t="str">
        <f>IF(Laborator!F77&lt;&gt;"a","",Laborator!F77)</f>
        <v/>
      </c>
      <c r="E77" s="123" t="str">
        <f>IF(Laborator!G77&lt;&gt;"a","",Laborator!G77)</f>
        <v/>
      </c>
      <c r="F77" s="123" t="str">
        <f>IF(Laborator!H77&lt;&gt;"a","",Laborator!H77)</f>
        <v/>
      </c>
      <c r="G77" s="123" t="str">
        <f>IF(Laborator!I77&lt;&gt;"a","",Laborator!I77)</f>
        <v/>
      </c>
      <c r="H77" s="123" t="str">
        <f>IF(Laborator!J77&lt;&gt;"a","",Laborator!J77)</f>
        <v/>
      </c>
      <c r="I77" s="123" t="str">
        <f>IF(Laborator!K77&lt;&gt;"a","",Laborator!K77)</f>
        <v/>
      </c>
      <c r="J77" s="123" t="str">
        <f>IF(Laborator!L77&lt;&gt;"a","",Laborator!L77)</f>
        <v/>
      </c>
      <c r="K77" s="123" t="str">
        <f>IF(Laborator!M77&lt;&gt;"a","",Laborator!M77)</f>
        <v/>
      </c>
      <c r="L77" s="123" t="str">
        <f>IF(Laborator!N77&lt;&gt;"a","",Laborator!N77)</f>
        <v/>
      </c>
      <c r="M77" s="123" t="str">
        <f>IF(Laborator!O77&lt;&gt;"a","",Laborator!O77)</f>
        <v/>
      </c>
      <c r="N77" s="123" t="str">
        <f>IF(Laborator!P77&lt;&gt;"a","",Laborator!P77)</f>
        <v/>
      </c>
      <c r="O77" s="123" t="str">
        <f>IF(Laborator!Q77&lt;&gt;"a","",Laborator!Q77)</f>
        <v/>
      </c>
      <c r="P77" s="123" t="str">
        <f>IF(Laborator!R77&lt;&gt;"a","",Laborator!R77)</f>
        <v/>
      </c>
      <c r="Q77" s="123" t="str">
        <f>IF(Laborator!S77&lt;&gt;"a","",Laborator!S77)</f>
        <v/>
      </c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7"/>
      <c r="AG77" s="117"/>
      <c r="AH77" s="114"/>
    </row>
    <row r="78" spans="1:34" ht="19.95" customHeight="1" x14ac:dyDescent="0.3">
      <c r="A78" s="114" t="str">
        <f>Curs!B77</f>
        <v/>
      </c>
      <c r="B78" s="115" t="str">
        <f>IF(NOT(ISBLANK(Curs!C77)),Curs!C77,"")</f>
        <v/>
      </c>
      <c r="C78" s="123" t="str">
        <f>IF(Laborator!E78&lt;&gt;"a","",Laborator!E78)</f>
        <v/>
      </c>
      <c r="D78" s="123" t="str">
        <f>IF(Laborator!F78&lt;&gt;"a","",Laborator!F78)</f>
        <v/>
      </c>
      <c r="E78" s="123" t="str">
        <f>IF(Laborator!G78&lt;&gt;"a","",Laborator!G78)</f>
        <v/>
      </c>
      <c r="F78" s="123" t="str">
        <f>IF(Laborator!H78&lt;&gt;"a","",Laborator!H78)</f>
        <v/>
      </c>
      <c r="G78" s="123" t="str">
        <f>IF(Laborator!I78&lt;&gt;"a","",Laborator!I78)</f>
        <v/>
      </c>
      <c r="H78" s="123" t="str">
        <f>IF(Laborator!J78&lt;&gt;"a","",Laborator!J78)</f>
        <v/>
      </c>
      <c r="I78" s="123" t="str">
        <f>IF(Laborator!K78&lt;&gt;"a","",Laborator!K78)</f>
        <v/>
      </c>
      <c r="J78" s="123" t="str">
        <f>IF(Laborator!L78&lt;&gt;"a","",Laborator!L78)</f>
        <v/>
      </c>
      <c r="K78" s="123" t="str">
        <f>IF(Laborator!M78&lt;&gt;"a","",Laborator!M78)</f>
        <v/>
      </c>
      <c r="L78" s="123" t="str">
        <f>IF(Laborator!N78&lt;&gt;"a","",Laborator!N78)</f>
        <v/>
      </c>
      <c r="M78" s="123" t="str">
        <f>IF(Laborator!O78&lt;&gt;"a","",Laborator!O78)</f>
        <v/>
      </c>
      <c r="N78" s="123" t="str">
        <f>IF(Laborator!P78&lt;&gt;"a","",Laborator!P78)</f>
        <v/>
      </c>
      <c r="O78" s="123" t="str">
        <f>IF(Laborator!Q78&lt;&gt;"a","",Laborator!Q78)</f>
        <v/>
      </c>
      <c r="P78" s="123" t="str">
        <f>IF(Laborator!R78&lt;&gt;"a","",Laborator!R78)</f>
        <v/>
      </c>
      <c r="Q78" s="123" t="str">
        <f>IF(Laborator!S78&lt;&gt;"a","",Laborator!S78)</f>
        <v/>
      </c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7"/>
      <c r="AG78" s="117"/>
      <c r="AH78" s="114"/>
    </row>
    <row r="79" spans="1:34" ht="19.95" customHeight="1" x14ac:dyDescent="0.3">
      <c r="A79" s="114" t="str">
        <f>Curs!B78</f>
        <v/>
      </c>
      <c r="B79" s="115" t="str">
        <f>IF(NOT(ISBLANK(Curs!C78)),Curs!C78,"")</f>
        <v/>
      </c>
      <c r="C79" s="123" t="str">
        <f>IF(Laborator!E79&lt;&gt;"a","",Laborator!E79)</f>
        <v/>
      </c>
      <c r="D79" s="123" t="str">
        <f>IF(Laborator!F79&lt;&gt;"a","",Laborator!F79)</f>
        <v/>
      </c>
      <c r="E79" s="123" t="str">
        <f>IF(Laborator!G79&lt;&gt;"a","",Laborator!G79)</f>
        <v/>
      </c>
      <c r="F79" s="123" t="str">
        <f>IF(Laborator!H79&lt;&gt;"a","",Laborator!H79)</f>
        <v/>
      </c>
      <c r="G79" s="123" t="str">
        <f>IF(Laborator!I79&lt;&gt;"a","",Laborator!I79)</f>
        <v/>
      </c>
      <c r="H79" s="123" t="str">
        <f>IF(Laborator!J79&lt;&gt;"a","",Laborator!J79)</f>
        <v/>
      </c>
      <c r="I79" s="123" t="str">
        <f>IF(Laborator!K79&lt;&gt;"a","",Laborator!K79)</f>
        <v/>
      </c>
      <c r="J79" s="123" t="str">
        <f>IF(Laborator!L79&lt;&gt;"a","",Laborator!L79)</f>
        <v/>
      </c>
      <c r="K79" s="123" t="str">
        <f>IF(Laborator!M79&lt;&gt;"a","",Laborator!M79)</f>
        <v/>
      </c>
      <c r="L79" s="123" t="str">
        <f>IF(Laborator!N79&lt;&gt;"a","",Laborator!N79)</f>
        <v/>
      </c>
      <c r="M79" s="123" t="str">
        <f>IF(Laborator!O79&lt;&gt;"a","",Laborator!O79)</f>
        <v/>
      </c>
      <c r="N79" s="123" t="str">
        <f>IF(Laborator!P79&lt;&gt;"a","",Laborator!P79)</f>
        <v/>
      </c>
      <c r="O79" s="123" t="str">
        <f>IF(Laborator!Q79&lt;&gt;"a","",Laborator!Q79)</f>
        <v/>
      </c>
      <c r="P79" s="123" t="str">
        <f>IF(Laborator!R79&lt;&gt;"a","",Laborator!R79)</f>
        <v/>
      </c>
      <c r="Q79" s="123" t="str">
        <f>IF(Laborator!S79&lt;&gt;"a","",Laborator!S79)</f>
        <v/>
      </c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7"/>
      <c r="AG79" s="117"/>
      <c r="AH79" s="114"/>
    </row>
    <row r="80" spans="1:34" ht="19.95" customHeight="1" x14ac:dyDescent="0.3">
      <c r="A80" s="114" t="str">
        <f>Curs!B79</f>
        <v/>
      </c>
      <c r="B80" s="115" t="str">
        <f>IF(NOT(ISBLANK(Curs!C79)),Curs!C79,"")</f>
        <v/>
      </c>
      <c r="C80" s="123" t="str">
        <f>IF(Laborator!E80&lt;&gt;"a","",Laborator!E80)</f>
        <v/>
      </c>
      <c r="D80" s="123" t="str">
        <f>IF(Laborator!F80&lt;&gt;"a","",Laborator!F80)</f>
        <v/>
      </c>
      <c r="E80" s="123" t="str">
        <f>IF(Laborator!G80&lt;&gt;"a","",Laborator!G80)</f>
        <v/>
      </c>
      <c r="F80" s="123" t="str">
        <f>IF(Laborator!H80&lt;&gt;"a","",Laborator!H80)</f>
        <v/>
      </c>
      <c r="G80" s="123" t="str">
        <f>IF(Laborator!I80&lt;&gt;"a","",Laborator!I80)</f>
        <v/>
      </c>
      <c r="H80" s="123" t="str">
        <f>IF(Laborator!J80&lt;&gt;"a","",Laborator!J80)</f>
        <v/>
      </c>
      <c r="I80" s="123" t="str">
        <f>IF(Laborator!K80&lt;&gt;"a","",Laborator!K80)</f>
        <v/>
      </c>
      <c r="J80" s="123" t="str">
        <f>IF(Laborator!L80&lt;&gt;"a","",Laborator!L80)</f>
        <v/>
      </c>
      <c r="K80" s="123" t="str">
        <f>IF(Laborator!M80&lt;&gt;"a","",Laborator!M80)</f>
        <v/>
      </c>
      <c r="L80" s="123" t="str">
        <f>IF(Laborator!N80&lt;&gt;"a","",Laborator!N80)</f>
        <v/>
      </c>
      <c r="M80" s="123" t="str">
        <f>IF(Laborator!O80&lt;&gt;"a","",Laborator!O80)</f>
        <v/>
      </c>
      <c r="N80" s="123" t="str">
        <f>IF(Laborator!P80&lt;&gt;"a","",Laborator!P80)</f>
        <v/>
      </c>
      <c r="O80" s="123" t="str">
        <f>IF(Laborator!Q80&lt;&gt;"a","",Laborator!Q80)</f>
        <v/>
      </c>
      <c r="P80" s="123" t="str">
        <f>IF(Laborator!R80&lt;&gt;"a","",Laborator!R80)</f>
        <v/>
      </c>
      <c r="Q80" s="123" t="str">
        <f>IF(Laborator!S80&lt;&gt;"a","",Laborator!S80)</f>
        <v/>
      </c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7"/>
      <c r="AG80" s="117"/>
      <c r="AH80" s="114"/>
    </row>
    <row r="81" spans="1:34" ht="19.95" customHeight="1" x14ac:dyDescent="0.3">
      <c r="A81" s="114" t="str">
        <f>Curs!B80</f>
        <v/>
      </c>
      <c r="B81" s="115" t="str">
        <f>IF(NOT(ISBLANK(Curs!C80)),Curs!C80,"")</f>
        <v/>
      </c>
      <c r="C81" s="123" t="str">
        <f>IF(Laborator!E81&lt;&gt;"a","",Laborator!E81)</f>
        <v/>
      </c>
      <c r="D81" s="123" t="str">
        <f>IF(Laborator!F81&lt;&gt;"a","",Laborator!F81)</f>
        <v/>
      </c>
      <c r="E81" s="123" t="str">
        <f>IF(Laborator!G81&lt;&gt;"a","",Laborator!G81)</f>
        <v/>
      </c>
      <c r="F81" s="123" t="str">
        <f>IF(Laborator!H81&lt;&gt;"a","",Laborator!H81)</f>
        <v/>
      </c>
      <c r="G81" s="123" t="str">
        <f>IF(Laborator!I81&lt;&gt;"a","",Laborator!I81)</f>
        <v/>
      </c>
      <c r="H81" s="123" t="str">
        <f>IF(Laborator!J81&lt;&gt;"a","",Laborator!J81)</f>
        <v/>
      </c>
      <c r="I81" s="123" t="str">
        <f>IF(Laborator!K81&lt;&gt;"a","",Laborator!K81)</f>
        <v/>
      </c>
      <c r="J81" s="123" t="str">
        <f>IF(Laborator!L81&lt;&gt;"a","",Laborator!L81)</f>
        <v/>
      </c>
      <c r="K81" s="123" t="str">
        <f>IF(Laborator!M81&lt;&gt;"a","",Laborator!M81)</f>
        <v/>
      </c>
      <c r="L81" s="123" t="str">
        <f>IF(Laborator!N81&lt;&gt;"a","",Laborator!N81)</f>
        <v/>
      </c>
      <c r="M81" s="123" t="str">
        <f>IF(Laborator!O81&lt;&gt;"a","",Laborator!O81)</f>
        <v/>
      </c>
      <c r="N81" s="123" t="str">
        <f>IF(Laborator!P81&lt;&gt;"a","",Laborator!P81)</f>
        <v/>
      </c>
      <c r="O81" s="123" t="str">
        <f>IF(Laborator!Q81&lt;&gt;"a","",Laborator!Q81)</f>
        <v/>
      </c>
      <c r="P81" s="123" t="str">
        <f>IF(Laborator!R81&lt;&gt;"a","",Laborator!R81)</f>
        <v/>
      </c>
      <c r="Q81" s="123" t="str">
        <f>IF(Laborator!S81&lt;&gt;"a","",Laborator!S81)</f>
        <v/>
      </c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7"/>
      <c r="AG81" s="117"/>
      <c r="AH81" s="114"/>
    </row>
    <row r="82" spans="1:34" ht="19.95" customHeight="1" x14ac:dyDescent="0.3">
      <c r="A82" s="114" t="str">
        <f>Curs!B81</f>
        <v/>
      </c>
      <c r="B82" s="115" t="str">
        <f>IF(NOT(ISBLANK(Curs!C81)),Curs!C81,"")</f>
        <v/>
      </c>
      <c r="C82" s="123" t="str">
        <f>IF(Laborator!E82&lt;&gt;"a","",Laborator!E82)</f>
        <v/>
      </c>
      <c r="D82" s="123" t="str">
        <f>IF(Laborator!F82&lt;&gt;"a","",Laborator!F82)</f>
        <v/>
      </c>
      <c r="E82" s="123" t="str">
        <f>IF(Laborator!G82&lt;&gt;"a","",Laborator!G82)</f>
        <v/>
      </c>
      <c r="F82" s="123" t="str">
        <f>IF(Laborator!H82&lt;&gt;"a","",Laborator!H82)</f>
        <v/>
      </c>
      <c r="G82" s="123" t="str">
        <f>IF(Laborator!I82&lt;&gt;"a","",Laborator!I82)</f>
        <v/>
      </c>
      <c r="H82" s="123" t="str">
        <f>IF(Laborator!J82&lt;&gt;"a","",Laborator!J82)</f>
        <v/>
      </c>
      <c r="I82" s="123" t="str">
        <f>IF(Laborator!K82&lt;&gt;"a","",Laborator!K82)</f>
        <v/>
      </c>
      <c r="J82" s="123" t="str">
        <f>IF(Laborator!L82&lt;&gt;"a","",Laborator!L82)</f>
        <v/>
      </c>
      <c r="K82" s="123" t="str">
        <f>IF(Laborator!M82&lt;&gt;"a","",Laborator!M82)</f>
        <v/>
      </c>
      <c r="L82" s="123" t="str">
        <f>IF(Laborator!N82&lt;&gt;"a","",Laborator!N82)</f>
        <v/>
      </c>
      <c r="M82" s="123" t="str">
        <f>IF(Laborator!O82&lt;&gt;"a","",Laborator!O82)</f>
        <v/>
      </c>
      <c r="N82" s="123" t="str">
        <f>IF(Laborator!P82&lt;&gt;"a","",Laborator!P82)</f>
        <v/>
      </c>
      <c r="O82" s="123" t="str">
        <f>IF(Laborator!Q82&lt;&gt;"a","",Laborator!Q82)</f>
        <v/>
      </c>
      <c r="P82" s="123" t="str">
        <f>IF(Laborator!R82&lt;&gt;"a","",Laborator!R82)</f>
        <v/>
      </c>
      <c r="Q82" s="123" t="str">
        <f>IF(Laborator!S82&lt;&gt;"a","",Laborator!S82)</f>
        <v/>
      </c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7"/>
      <c r="AG82" s="117"/>
      <c r="AH82" s="114"/>
    </row>
    <row r="83" spans="1:34" ht="19.95" customHeight="1" x14ac:dyDescent="0.3">
      <c r="A83" s="114" t="str">
        <f>Curs!B82</f>
        <v/>
      </c>
      <c r="B83" s="115" t="str">
        <f>IF(NOT(ISBLANK(Curs!C82)),Curs!C82,"")</f>
        <v/>
      </c>
      <c r="C83" s="123" t="str">
        <f>IF(Laborator!E83&lt;&gt;"a","",Laborator!E83)</f>
        <v/>
      </c>
      <c r="D83" s="123" t="str">
        <f>IF(Laborator!F83&lt;&gt;"a","",Laborator!F83)</f>
        <v/>
      </c>
      <c r="E83" s="123" t="str">
        <f>IF(Laborator!G83&lt;&gt;"a","",Laborator!G83)</f>
        <v/>
      </c>
      <c r="F83" s="123" t="str">
        <f>IF(Laborator!H83&lt;&gt;"a","",Laborator!H83)</f>
        <v/>
      </c>
      <c r="G83" s="123" t="str">
        <f>IF(Laborator!I83&lt;&gt;"a","",Laborator!I83)</f>
        <v/>
      </c>
      <c r="H83" s="123" t="str">
        <f>IF(Laborator!J83&lt;&gt;"a","",Laborator!J83)</f>
        <v/>
      </c>
      <c r="I83" s="123" t="str">
        <f>IF(Laborator!K83&lt;&gt;"a","",Laborator!K83)</f>
        <v/>
      </c>
      <c r="J83" s="123" t="str">
        <f>IF(Laborator!L83&lt;&gt;"a","",Laborator!L83)</f>
        <v/>
      </c>
      <c r="K83" s="123" t="str">
        <f>IF(Laborator!M83&lt;&gt;"a","",Laborator!M83)</f>
        <v/>
      </c>
      <c r="L83" s="123" t="str">
        <f>IF(Laborator!N83&lt;&gt;"a","",Laborator!N83)</f>
        <v/>
      </c>
      <c r="M83" s="123" t="str">
        <f>IF(Laborator!O83&lt;&gt;"a","",Laborator!O83)</f>
        <v/>
      </c>
      <c r="N83" s="123" t="str">
        <f>IF(Laborator!P83&lt;&gt;"a","",Laborator!P83)</f>
        <v/>
      </c>
      <c r="O83" s="123" t="str">
        <f>IF(Laborator!Q83&lt;&gt;"a","",Laborator!Q83)</f>
        <v/>
      </c>
      <c r="P83" s="123" t="str">
        <f>IF(Laborator!R83&lt;&gt;"a","",Laborator!R83)</f>
        <v/>
      </c>
      <c r="Q83" s="123" t="str">
        <f>IF(Laborator!S83&lt;&gt;"a","",Laborator!S83)</f>
        <v/>
      </c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7"/>
      <c r="AG83" s="117"/>
      <c r="AH83" s="114"/>
    </row>
    <row r="84" spans="1:34" ht="19.95" customHeight="1" x14ac:dyDescent="0.3">
      <c r="A84" s="114" t="str">
        <f>Curs!B83</f>
        <v/>
      </c>
      <c r="B84" s="115" t="str">
        <f>IF(NOT(ISBLANK(Curs!C83)),Curs!C83,"")</f>
        <v/>
      </c>
      <c r="C84" s="123" t="str">
        <f>IF(Laborator!E84&lt;&gt;"a","",Laborator!E84)</f>
        <v/>
      </c>
      <c r="D84" s="123" t="str">
        <f>IF(Laborator!F84&lt;&gt;"a","",Laborator!F84)</f>
        <v/>
      </c>
      <c r="E84" s="123" t="str">
        <f>IF(Laborator!G84&lt;&gt;"a","",Laborator!G84)</f>
        <v/>
      </c>
      <c r="F84" s="123" t="str">
        <f>IF(Laborator!H84&lt;&gt;"a","",Laborator!H84)</f>
        <v/>
      </c>
      <c r="G84" s="123" t="str">
        <f>IF(Laborator!I84&lt;&gt;"a","",Laborator!I84)</f>
        <v/>
      </c>
      <c r="H84" s="123" t="str">
        <f>IF(Laborator!J84&lt;&gt;"a","",Laborator!J84)</f>
        <v/>
      </c>
      <c r="I84" s="123" t="str">
        <f>IF(Laborator!K84&lt;&gt;"a","",Laborator!K84)</f>
        <v/>
      </c>
      <c r="J84" s="123" t="str">
        <f>IF(Laborator!L84&lt;&gt;"a","",Laborator!L84)</f>
        <v/>
      </c>
      <c r="K84" s="123" t="str">
        <f>IF(Laborator!M84&lt;&gt;"a","",Laborator!M84)</f>
        <v/>
      </c>
      <c r="L84" s="123" t="str">
        <f>IF(Laborator!N84&lt;&gt;"a","",Laborator!N84)</f>
        <v/>
      </c>
      <c r="M84" s="123" t="str">
        <f>IF(Laborator!O84&lt;&gt;"a","",Laborator!O84)</f>
        <v/>
      </c>
      <c r="N84" s="123" t="str">
        <f>IF(Laborator!P84&lt;&gt;"a","",Laborator!P84)</f>
        <v/>
      </c>
      <c r="O84" s="123" t="str">
        <f>IF(Laborator!Q84&lt;&gt;"a","",Laborator!Q84)</f>
        <v/>
      </c>
      <c r="P84" s="123" t="str">
        <f>IF(Laborator!R84&lt;&gt;"a","",Laborator!R84)</f>
        <v/>
      </c>
      <c r="Q84" s="123" t="str">
        <f>IF(Laborator!S84&lt;&gt;"a","",Laborator!S84)</f>
        <v/>
      </c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7"/>
      <c r="AG84" s="117"/>
      <c r="AH84" s="114"/>
    </row>
    <row r="85" spans="1:34" ht="19.95" customHeight="1" x14ac:dyDescent="0.3">
      <c r="A85" s="114" t="str">
        <f>Curs!B84</f>
        <v/>
      </c>
      <c r="B85" s="115" t="str">
        <f>IF(NOT(ISBLANK(Curs!C84)),Curs!C84,"")</f>
        <v/>
      </c>
      <c r="C85" s="123" t="str">
        <f>IF(Laborator!E85&lt;&gt;"a","",Laborator!E85)</f>
        <v/>
      </c>
      <c r="D85" s="123" t="str">
        <f>IF(Laborator!F85&lt;&gt;"a","",Laborator!F85)</f>
        <v/>
      </c>
      <c r="E85" s="123" t="str">
        <f>IF(Laborator!G85&lt;&gt;"a","",Laborator!G85)</f>
        <v/>
      </c>
      <c r="F85" s="123" t="str">
        <f>IF(Laborator!H85&lt;&gt;"a","",Laborator!H85)</f>
        <v/>
      </c>
      <c r="G85" s="123" t="str">
        <f>IF(Laborator!I85&lt;&gt;"a","",Laborator!I85)</f>
        <v/>
      </c>
      <c r="H85" s="123" t="str">
        <f>IF(Laborator!J85&lt;&gt;"a","",Laborator!J85)</f>
        <v/>
      </c>
      <c r="I85" s="123" t="str">
        <f>IF(Laborator!K85&lt;&gt;"a","",Laborator!K85)</f>
        <v/>
      </c>
      <c r="J85" s="123" t="str">
        <f>IF(Laborator!L85&lt;&gt;"a","",Laborator!L85)</f>
        <v/>
      </c>
      <c r="K85" s="123" t="str">
        <f>IF(Laborator!M85&lt;&gt;"a","",Laborator!M85)</f>
        <v/>
      </c>
      <c r="L85" s="123" t="str">
        <f>IF(Laborator!N85&lt;&gt;"a","",Laborator!N85)</f>
        <v/>
      </c>
      <c r="M85" s="123" t="str">
        <f>IF(Laborator!O85&lt;&gt;"a","",Laborator!O85)</f>
        <v/>
      </c>
      <c r="N85" s="123" t="str">
        <f>IF(Laborator!P85&lt;&gt;"a","",Laborator!P85)</f>
        <v/>
      </c>
      <c r="O85" s="123" t="str">
        <f>IF(Laborator!Q85&lt;&gt;"a","",Laborator!Q85)</f>
        <v/>
      </c>
      <c r="P85" s="123" t="str">
        <f>IF(Laborator!R85&lt;&gt;"a","",Laborator!R85)</f>
        <v/>
      </c>
      <c r="Q85" s="123" t="str">
        <f>IF(Laborator!S85&lt;&gt;"a","",Laborator!S85)</f>
        <v/>
      </c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7"/>
      <c r="AG85" s="117"/>
      <c r="AH85" s="114"/>
    </row>
    <row r="86" spans="1:34" ht="19.95" customHeight="1" x14ac:dyDescent="0.3">
      <c r="A86" s="114" t="str">
        <f>Curs!B85</f>
        <v/>
      </c>
      <c r="B86" s="115" t="str">
        <f>IF(NOT(ISBLANK(Curs!C85)),Curs!C85,"")</f>
        <v/>
      </c>
      <c r="C86" s="123" t="str">
        <f>IF(Laborator!E86&lt;&gt;"a","",Laborator!E86)</f>
        <v/>
      </c>
      <c r="D86" s="123" t="str">
        <f>IF(Laborator!F86&lt;&gt;"a","",Laborator!F86)</f>
        <v/>
      </c>
      <c r="E86" s="123" t="str">
        <f>IF(Laborator!G86&lt;&gt;"a","",Laborator!G86)</f>
        <v/>
      </c>
      <c r="F86" s="123" t="str">
        <f>IF(Laborator!H86&lt;&gt;"a","",Laborator!H86)</f>
        <v/>
      </c>
      <c r="G86" s="123" t="str">
        <f>IF(Laborator!I86&lt;&gt;"a","",Laborator!I86)</f>
        <v/>
      </c>
      <c r="H86" s="123" t="str">
        <f>IF(Laborator!J86&lt;&gt;"a","",Laborator!J86)</f>
        <v/>
      </c>
      <c r="I86" s="123" t="str">
        <f>IF(Laborator!K86&lt;&gt;"a","",Laborator!K86)</f>
        <v/>
      </c>
      <c r="J86" s="123" t="str">
        <f>IF(Laborator!L86&lt;&gt;"a","",Laborator!L86)</f>
        <v/>
      </c>
      <c r="K86" s="123" t="str">
        <f>IF(Laborator!M86&lt;&gt;"a","",Laborator!M86)</f>
        <v/>
      </c>
      <c r="L86" s="123" t="str">
        <f>IF(Laborator!N86&lt;&gt;"a","",Laborator!N86)</f>
        <v/>
      </c>
      <c r="M86" s="123" t="str">
        <f>IF(Laborator!O86&lt;&gt;"a","",Laborator!O86)</f>
        <v/>
      </c>
      <c r="N86" s="123" t="str">
        <f>IF(Laborator!P86&lt;&gt;"a","",Laborator!P86)</f>
        <v/>
      </c>
      <c r="O86" s="123" t="str">
        <f>IF(Laborator!Q86&lt;&gt;"a","",Laborator!Q86)</f>
        <v/>
      </c>
      <c r="P86" s="123" t="str">
        <f>IF(Laborator!R86&lt;&gt;"a","",Laborator!R86)</f>
        <v/>
      </c>
      <c r="Q86" s="123" t="str">
        <f>IF(Laborator!S86&lt;&gt;"a","",Laborator!S86)</f>
        <v/>
      </c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7"/>
      <c r="AG86" s="117"/>
      <c r="AH86" s="114"/>
    </row>
    <row r="87" spans="1:34" ht="19.95" customHeight="1" x14ac:dyDescent="0.3">
      <c r="A87" s="114" t="str">
        <f>Curs!B86</f>
        <v/>
      </c>
      <c r="B87" s="115" t="str">
        <f>IF(NOT(ISBLANK(Curs!C86)),Curs!C86,"")</f>
        <v/>
      </c>
      <c r="C87" s="123" t="str">
        <f>IF(Laborator!E87&lt;&gt;"a","",Laborator!E87)</f>
        <v/>
      </c>
      <c r="D87" s="123" t="str">
        <f>IF(Laborator!F87&lt;&gt;"a","",Laborator!F87)</f>
        <v/>
      </c>
      <c r="E87" s="123" t="str">
        <f>IF(Laborator!G87&lt;&gt;"a","",Laborator!G87)</f>
        <v/>
      </c>
      <c r="F87" s="123" t="str">
        <f>IF(Laborator!H87&lt;&gt;"a","",Laborator!H87)</f>
        <v/>
      </c>
      <c r="G87" s="123" t="str">
        <f>IF(Laborator!I87&lt;&gt;"a","",Laborator!I87)</f>
        <v/>
      </c>
      <c r="H87" s="123" t="str">
        <f>IF(Laborator!J87&lt;&gt;"a","",Laborator!J87)</f>
        <v/>
      </c>
      <c r="I87" s="123" t="str">
        <f>IF(Laborator!K87&lt;&gt;"a","",Laborator!K87)</f>
        <v/>
      </c>
      <c r="J87" s="123" t="str">
        <f>IF(Laborator!L87&lt;&gt;"a","",Laborator!L87)</f>
        <v/>
      </c>
      <c r="K87" s="123" t="str">
        <f>IF(Laborator!M87&lt;&gt;"a","",Laborator!M87)</f>
        <v/>
      </c>
      <c r="L87" s="123" t="str">
        <f>IF(Laborator!N87&lt;&gt;"a","",Laborator!N87)</f>
        <v/>
      </c>
      <c r="M87" s="123" t="str">
        <f>IF(Laborator!O87&lt;&gt;"a","",Laborator!O87)</f>
        <v/>
      </c>
      <c r="N87" s="123" t="str">
        <f>IF(Laborator!P87&lt;&gt;"a","",Laborator!P87)</f>
        <v/>
      </c>
      <c r="O87" s="123" t="str">
        <f>IF(Laborator!Q87&lt;&gt;"a","",Laborator!Q87)</f>
        <v/>
      </c>
      <c r="P87" s="123" t="str">
        <f>IF(Laborator!R87&lt;&gt;"a","",Laborator!R87)</f>
        <v/>
      </c>
      <c r="Q87" s="123" t="str">
        <f>IF(Laborator!S87&lt;&gt;"a","",Laborator!S87)</f>
        <v/>
      </c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7"/>
      <c r="AG87" s="117"/>
      <c r="AH87" s="114"/>
    </row>
    <row r="88" spans="1:34" ht="19.95" customHeight="1" x14ac:dyDescent="0.3">
      <c r="A88" s="114" t="str">
        <f>Curs!B87</f>
        <v/>
      </c>
      <c r="B88" s="115" t="str">
        <f>IF(NOT(ISBLANK(Curs!C87)),Curs!C87,"")</f>
        <v/>
      </c>
      <c r="C88" s="123" t="str">
        <f>IF(Laborator!E88&lt;&gt;"a","",Laborator!E88)</f>
        <v/>
      </c>
      <c r="D88" s="123" t="str">
        <f>IF(Laborator!F88&lt;&gt;"a","",Laborator!F88)</f>
        <v/>
      </c>
      <c r="E88" s="123" t="str">
        <f>IF(Laborator!G88&lt;&gt;"a","",Laborator!G88)</f>
        <v/>
      </c>
      <c r="F88" s="123" t="str">
        <f>IF(Laborator!H88&lt;&gt;"a","",Laborator!H88)</f>
        <v/>
      </c>
      <c r="G88" s="123" t="str">
        <f>IF(Laborator!I88&lt;&gt;"a","",Laborator!I88)</f>
        <v/>
      </c>
      <c r="H88" s="123" t="str">
        <f>IF(Laborator!J88&lt;&gt;"a","",Laborator!J88)</f>
        <v/>
      </c>
      <c r="I88" s="123" t="str">
        <f>IF(Laborator!K88&lt;&gt;"a","",Laborator!K88)</f>
        <v/>
      </c>
      <c r="J88" s="123" t="str">
        <f>IF(Laborator!L88&lt;&gt;"a","",Laborator!L88)</f>
        <v/>
      </c>
      <c r="K88" s="123" t="str">
        <f>IF(Laborator!M88&lt;&gt;"a","",Laborator!M88)</f>
        <v/>
      </c>
      <c r="L88" s="123" t="str">
        <f>IF(Laborator!N88&lt;&gt;"a","",Laborator!N88)</f>
        <v/>
      </c>
      <c r="M88" s="123" t="str">
        <f>IF(Laborator!O88&lt;&gt;"a","",Laborator!O88)</f>
        <v/>
      </c>
      <c r="N88" s="123" t="str">
        <f>IF(Laborator!P88&lt;&gt;"a","",Laborator!P88)</f>
        <v/>
      </c>
      <c r="O88" s="123" t="str">
        <f>IF(Laborator!Q88&lt;&gt;"a","",Laborator!Q88)</f>
        <v/>
      </c>
      <c r="P88" s="123" t="str">
        <f>IF(Laborator!R88&lt;&gt;"a","",Laborator!R88)</f>
        <v/>
      </c>
      <c r="Q88" s="123" t="str">
        <f>IF(Laborator!S88&lt;&gt;"a","",Laborator!S88)</f>
        <v/>
      </c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7"/>
      <c r="AG88" s="117"/>
      <c r="AH88" s="114"/>
    </row>
    <row r="89" spans="1:34" ht="19.95" customHeight="1" x14ac:dyDescent="0.3">
      <c r="A89" s="114" t="str">
        <f>Curs!B88</f>
        <v/>
      </c>
      <c r="B89" s="115" t="str">
        <f>IF(NOT(ISBLANK(Curs!C88)),Curs!C88,"")</f>
        <v/>
      </c>
      <c r="C89" s="123" t="str">
        <f>IF(Laborator!E89&lt;&gt;"a","",Laborator!E89)</f>
        <v/>
      </c>
      <c r="D89" s="123" t="str">
        <f>IF(Laborator!F89&lt;&gt;"a","",Laborator!F89)</f>
        <v/>
      </c>
      <c r="E89" s="123" t="str">
        <f>IF(Laborator!G89&lt;&gt;"a","",Laborator!G89)</f>
        <v/>
      </c>
      <c r="F89" s="123" t="str">
        <f>IF(Laborator!H89&lt;&gt;"a","",Laborator!H89)</f>
        <v/>
      </c>
      <c r="G89" s="123" t="str">
        <f>IF(Laborator!I89&lt;&gt;"a","",Laborator!I89)</f>
        <v/>
      </c>
      <c r="H89" s="123" t="str">
        <f>IF(Laborator!J89&lt;&gt;"a","",Laborator!J89)</f>
        <v/>
      </c>
      <c r="I89" s="123" t="str">
        <f>IF(Laborator!K89&lt;&gt;"a","",Laborator!K89)</f>
        <v/>
      </c>
      <c r="J89" s="123" t="str">
        <f>IF(Laborator!L89&lt;&gt;"a","",Laborator!L89)</f>
        <v/>
      </c>
      <c r="K89" s="123" t="str">
        <f>IF(Laborator!M89&lt;&gt;"a","",Laborator!M89)</f>
        <v/>
      </c>
      <c r="L89" s="123" t="str">
        <f>IF(Laborator!N89&lt;&gt;"a","",Laborator!N89)</f>
        <v/>
      </c>
      <c r="M89" s="123" t="str">
        <f>IF(Laborator!O89&lt;&gt;"a","",Laborator!O89)</f>
        <v/>
      </c>
      <c r="N89" s="123" t="str">
        <f>IF(Laborator!P89&lt;&gt;"a","",Laborator!P89)</f>
        <v/>
      </c>
      <c r="O89" s="123" t="str">
        <f>IF(Laborator!Q89&lt;&gt;"a","",Laborator!Q89)</f>
        <v/>
      </c>
      <c r="P89" s="123" t="str">
        <f>IF(Laborator!R89&lt;&gt;"a","",Laborator!R89)</f>
        <v/>
      </c>
      <c r="Q89" s="123" t="str">
        <f>IF(Laborator!S89&lt;&gt;"a","",Laborator!S89)</f>
        <v/>
      </c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7"/>
      <c r="AG89" s="117"/>
      <c r="AH89" s="114"/>
    </row>
    <row r="90" spans="1:34" ht="19.95" customHeight="1" x14ac:dyDescent="0.3">
      <c r="A90" s="114" t="str">
        <f>Curs!B89</f>
        <v/>
      </c>
      <c r="B90" s="115" t="str">
        <f>IF(NOT(ISBLANK(Curs!C89)),Curs!C89,"")</f>
        <v/>
      </c>
      <c r="C90" s="123" t="str">
        <f>IF(Laborator!E90&lt;&gt;"a","",Laborator!E90)</f>
        <v/>
      </c>
      <c r="D90" s="123" t="str">
        <f>IF(Laborator!F90&lt;&gt;"a","",Laborator!F90)</f>
        <v/>
      </c>
      <c r="E90" s="123" t="str">
        <f>IF(Laborator!G90&lt;&gt;"a","",Laborator!G90)</f>
        <v/>
      </c>
      <c r="F90" s="123" t="str">
        <f>IF(Laborator!H90&lt;&gt;"a","",Laborator!H90)</f>
        <v/>
      </c>
      <c r="G90" s="123" t="str">
        <f>IF(Laborator!I90&lt;&gt;"a","",Laborator!I90)</f>
        <v/>
      </c>
      <c r="H90" s="123" t="str">
        <f>IF(Laborator!J90&lt;&gt;"a","",Laborator!J90)</f>
        <v/>
      </c>
      <c r="I90" s="123" t="str">
        <f>IF(Laborator!K90&lt;&gt;"a","",Laborator!K90)</f>
        <v/>
      </c>
      <c r="J90" s="123" t="str">
        <f>IF(Laborator!L90&lt;&gt;"a","",Laborator!L90)</f>
        <v/>
      </c>
      <c r="K90" s="123" t="str">
        <f>IF(Laborator!M90&lt;&gt;"a","",Laborator!M90)</f>
        <v/>
      </c>
      <c r="L90" s="123" t="str">
        <f>IF(Laborator!N90&lt;&gt;"a","",Laborator!N90)</f>
        <v/>
      </c>
      <c r="M90" s="123" t="str">
        <f>IF(Laborator!O90&lt;&gt;"a","",Laborator!O90)</f>
        <v/>
      </c>
      <c r="N90" s="123" t="str">
        <f>IF(Laborator!P90&lt;&gt;"a","",Laborator!P90)</f>
        <v/>
      </c>
      <c r="O90" s="123" t="str">
        <f>IF(Laborator!Q90&lt;&gt;"a","",Laborator!Q90)</f>
        <v/>
      </c>
      <c r="P90" s="123" t="str">
        <f>IF(Laborator!R90&lt;&gt;"a","",Laborator!R90)</f>
        <v/>
      </c>
      <c r="Q90" s="123" t="str">
        <f>IF(Laborator!S90&lt;&gt;"a","",Laborator!S90)</f>
        <v/>
      </c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7"/>
      <c r="AG90" s="117"/>
      <c r="AH90" s="114"/>
    </row>
    <row r="91" spans="1:34" ht="19.95" customHeight="1" x14ac:dyDescent="0.3">
      <c r="A91" s="114" t="str">
        <f>Curs!B90</f>
        <v/>
      </c>
      <c r="B91" s="115" t="str">
        <f>IF(NOT(ISBLANK(Curs!C90)),Curs!C90,"")</f>
        <v/>
      </c>
      <c r="C91" s="123" t="str">
        <f>IF(Laborator!E91&lt;&gt;"a","",Laborator!E91)</f>
        <v/>
      </c>
      <c r="D91" s="123" t="str">
        <f>IF(Laborator!F91&lt;&gt;"a","",Laborator!F91)</f>
        <v/>
      </c>
      <c r="E91" s="123" t="str">
        <f>IF(Laborator!G91&lt;&gt;"a","",Laborator!G91)</f>
        <v/>
      </c>
      <c r="F91" s="123" t="str">
        <f>IF(Laborator!H91&lt;&gt;"a","",Laborator!H91)</f>
        <v/>
      </c>
      <c r="G91" s="123" t="str">
        <f>IF(Laborator!I91&lt;&gt;"a","",Laborator!I91)</f>
        <v/>
      </c>
      <c r="H91" s="123" t="str">
        <f>IF(Laborator!J91&lt;&gt;"a","",Laborator!J91)</f>
        <v/>
      </c>
      <c r="I91" s="123" t="str">
        <f>IF(Laborator!K91&lt;&gt;"a","",Laborator!K91)</f>
        <v/>
      </c>
      <c r="J91" s="123" t="str">
        <f>IF(Laborator!L91&lt;&gt;"a","",Laborator!L91)</f>
        <v/>
      </c>
      <c r="K91" s="123" t="str">
        <f>IF(Laborator!M91&lt;&gt;"a","",Laborator!M91)</f>
        <v/>
      </c>
      <c r="L91" s="123" t="str">
        <f>IF(Laborator!N91&lt;&gt;"a","",Laborator!N91)</f>
        <v/>
      </c>
      <c r="M91" s="123" t="str">
        <f>IF(Laborator!O91&lt;&gt;"a","",Laborator!O91)</f>
        <v/>
      </c>
      <c r="N91" s="123" t="str">
        <f>IF(Laborator!P91&lt;&gt;"a","",Laborator!P91)</f>
        <v/>
      </c>
      <c r="O91" s="123" t="str">
        <f>IF(Laborator!Q91&lt;&gt;"a","",Laborator!Q91)</f>
        <v/>
      </c>
      <c r="P91" s="123" t="str">
        <f>IF(Laborator!R91&lt;&gt;"a","",Laborator!R91)</f>
        <v/>
      </c>
      <c r="Q91" s="123" t="str">
        <f>IF(Laborator!S91&lt;&gt;"a","",Laborator!S91)</f>
        <v/>
      </c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7"/>
      <c r="AG91" s="117"/>
      <c r="AH91" s="114"/>
    </row>
    <row r="92" spans="1:34" ht="19.95" customHeight="1" x14ac:dyDescent="0.3">
      <c r="A92" s="114" t="str">
        <f>Curs!B91</f>
        <v/>
      </c>
      <c r="B92" s="115" t="str">
        <f>IF(NOT(ISBLANK(Curs!C91)),Curs!C91,"")</f>
        <v/>
      </c>
      <c r="C92" s="123" t="str">
        <f>IF(Laborator!E92&lt;&gt;"a","",Laborator!E92)</f>
        <v/>
      </c>
      <c r="D92" s="123" t="str">
        <f>IF(Laborator!F92&lt;&gt;"a","",Laborator!F92)</f>
        <v/>
      </c>
      <c r="E92" s="123" t="str">
        <f>IF(Laborator!G92&lt;&gt;"a","",Laborator!G92)</f>
        <v/>
      </c>
      <c r="F92" s="123" t="str">
        <f>IF(Laborator!H92&lt;&gt;"a","",Laborator!H92)</f>
        <v/>
      </c>
      <c r="G92" s="123" t="str">
        <f>IF(Laborator!I92&lt;&gt;"a","",Laborator!I92)</f>
        <v/>
      </c>
      <c r="H92" s="123" t="str">
        <f>IF(Laborator!J92&lt;&gt;"a","",Laborator!J92)</f>
        <v/>
      </c>
      <c r="I92" s="123" t="str">
        <f>IF(Laborator!K92&lt;&gt;"a","",Laborator!K92)</f>
        <v/>
      </c>
      <c r="J92" s="123" t="str">
        <f>IF(Laborator!L92&lt;&gt;"a","",Laborator!L92)</f>
        <v/>
      </c>
      <c r="K92" s="123" t="str">
        <f>IF(Laborator!M92&lt;&gt;"a","",Laborator!M92)</f>
        <v/>
      </c>
      <c r="L92" s="123" t="str">
        <f>IF(Laborator!N92&lt;&gt;"a","",Laborator!N92)</f>
        <v/>
      </c>
      <c r="M92" s="123" t="str">
        <f>IF(Laborator!O92&lt;&gt;"a","",Laborator!O92)</f>
        <v/>
      </c>
      <c r="N92" s="123" t="str">
        <f>IF(Laborator!P92&lt;&gt;"a","",Laborator!P92)</f>
        <v/>
      </c>
      <c r="O92" s="123" t="str">
        <f>IF(Laborator!Q92&lt;&gt;"a","",Laborator!Q92)</f>
        <v/>
      </c>
      <c r="P92" s="123" t="str">
        <f>IF(Laborator!R92&lt;&gt;"a","",Laborator!R92)</f>
        <v/>
      </c>
      <c r="Q92" s="123" t="str">
        <f>IF(Laborator!S92&lt;&gt;"a","",Laborator!S92)</f>
        <v/>
      </c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7"/>
      <c r="AG92" s="117"/>
      <c r="AH92" s="114"/>
    </row>
    <row r="93" spans="1:34" ht="19.95" customHeight="1" x14ac:dyDescent="0.3">
      <c r="A93" s="114" t="str">
        <f>Curs!B92</f>
        <v/>
      </c>
      <c r="B93" s="115" t="str">
        <f>IF(NOT(ISBLANK(Curs!C92)),Curs!C92,"")</f>
        <v/>
      </c>
      <c r="C93" s="123" t="str">
        <f>IF(Laborator!E93&lt;&gt;"a","",Laborator!E93)</f>
        <v/>
      </c>
      <c r="D93" s="123" t="str">
        <f>IF(Laborator!F93&lt;&gt;"a","",Laborator!F93)</f>
        <v/>
      </c>
      <c r="E93" s="123" t="str">
        <f>IF(Laborator!G93&lt;&gt;"a","",Laborator!G93)</f>
        <v/>
      </c>
      <c r="F93" s="123" t="str">
        <f>IF(Laborator!H93&lt;&gt;"a","",Laborator!H93)</f>
        <v/>
      </c>
      <c r="G93" s="123" t="str">
        <f>IF(Laborator!I93&lt;&gt;"a","",Laborator!I93)</f>
        <v/>
      </c>
      <c r="H93" s="123" t="str">
        <f>IF(Laborator!J93&lt;&gt;"a","",Laborator!J93)</f>
        <v/>
      </c>
      <c r="I93" s="123" t="str">
        <f>IF(Laborator!K93&lt;&gt;"a","",Laborator!K93)</f>
        <v/>
      </c>
      <c r="J93" s="123" t="str">
        <f>IF(Laborator!L93&lt;&gt;"a","",Laborator!L93)</f>
        <v/>
      </c>
      <c r="K93" s="123" t="str">
        <f>IF(Laborator!M93&lt;&gt;"a","",Laborator!M93)</f>
        <v/>
      </c>
      <c r="L93" s="123" t="str">
        <f>IF(Laborator!N93&lt;&gt;"a","",Laborator!N93)</f>
        <v/>
      </c>
      <c r="M93" s="123" t="str">
        <f>IF(Laborator!O93&lt;&gt;"a","",Laborator!O93)</f>
        <v/>
      </c>
      <c r="N93" s="123" t="str">
        <f>IF(Laborator!P93&lt;&gt;"a","",Laborator!P93)</f>
        <v/>
      </c>
      <c r="O93" s="123" t="str">
        <f>IF(Laborator!Q93&lt;&gt;"a","",Laborator!Q93)</f>
        <v/>
      </c>
      <c r="P93" s="123" t="str">
        <f>IF(Laborator!R93&lt;&gt;"a","",Laborator!R93)</f>
        <v/>
      </c>
      <c r="Q93" s="123" t="str">
        <f>IF(Laborator!S93&lt;&gt;"a","",Laborator!S93)</f>
        <v/>
      </c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7"/>
      <c r="AG93" s="117"/>
      <c r="AH93" s="114"/>
    </row>
    <row r="94" spans="1:34" ht="19.95" customHeight="1" x14ac:dyDescent="0.3">
      <c r="A94" s="114" t="str">
        <f>Curs!B93</f>
        <v/>
      </c>
      <c r="B94" s="115" t="str">
        <f>IF(NOT(ISBLANK(Curs!C93)),Curs!C93,"")</f>
        <v/>
      </c>
      <c r="C94" s="123" t="str">
        <f>IF(Laborator!E94&lt;&gt;"a","",Laborator!E94)</f>
        <v/>
      </c>
      <c r="D94" s="123" t="str">
        <f>IF(Laborator!F94&lt;&gt;"a","",Laborator!F94)</f>
        <v/>
      </c>
      <c r="E94" s="123" t="str">
        <f>IF(Laborator!G94&lt;&gt;"a","",Laborator!G94)</f>
        <v/>
      </c>
      <c r="F94" s="123" t="str">
        <f>IF(Laborator!H94&lt;&gt;"a","",Laborator!H94)</f>
        <v/>
      </c>
      <c r="G94" s="123" t="str">
        <f>IF(Laborator!I94&lt;&gt;"a","",Laborator!I94)</f>
        <v/>
      </c>
      <c r="H94" s="123" t="str">
        <f>IF(Laborator!J94&lt;&gt;"a","",Laborator!J94)</f>
        <v/>
      </c>
      <c r="I94" s="123" t="str">
        <f>IF(Laborator!K94&lt;&gt;"a","",Laborator!K94)</f>
        <v/>
      </c>
      <c r="J94" s="123" t="str">
        <f>IF(Laborator!L94&lt;&gt;"a","",Laborator!L94)</f>
        <v/>
      </c>
      <c r="K94" s="123" t="str">
        <f>IF(Laborator!M94&lt;&gt;"a","",Laborator!M94)</f>
        <v/>
      </c>
      <c r="L94" s="123" t="str">
        <f>IF(Laborator!N94&lt;&gt;"a","",Laborator!N94)</f>
        <v/>
      </c>
      <c r="M94" s="123" t="str">
        <f>IF(Laborator!O94&lt;&gt;"a","",Laborator!O94)</f>
        <v/>
      </c>
      <c r="N94" s="123" t="str">
        <f>IF(Laborator!P94&lt;&gt;"a","",Laborator!P94)</f>
        <v/>
      </c>
      <c r="O94" s="123" t="str">
        <f>IF(Laborator!Q94&lt;&gt;"a","",Laborator!Q94)</f>
        <v/>
      </c>
      <c r="P94" s="123" t="str">
        <f>IF(Laborator!R94&lt;&gt;"a","",Laborator!R94)</f>
        <v/>
      </c>
      <c r="Q94" s="123" t="str">
        <f>IF(Laborator!S94&lt;&gt;"a","",Laborator!S94)</f>
        <v/>
      </c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7"/>
      <c r="AG94" s="117"/>
      <c r="AH94" s="114"/>
    </row>
    <row r="95" spans="1:34" ht="19.95" customHeight="1" x14ac:dyDescent="0.3">
      <c r="A95" s="114" t="str">
        <f>Curs!B94</f>
        <v/>
      </c>
      <c r="B95" s="115" t="str">
        <f>IF(NOT(ISBLANK(Curs!C94)),Curs!C94,"")</f>
        <v/>
      </c>
      <c r="C95" s="123" t="str">
        <f>IF(Laborator!E95&lt;&gt;"a","",Laborator!E95)</f>
        <v/>
      </c>
      <c r="D95" s="123" t="str">
        <f>IF(Laborator!F95&lt;&gt;"a","",Laborator!F95)</f>
        <v/>
      </c>
      <c r="E95" s="123" t="str">
        <f>IF(Laborator!G95&lt;&gt;"a","",Laborator!G95)</f>
        <v/>
      </c>
      <c r="F95" s="123" t="str">
        <f>IF(Laborator!H95&lt;&gt;"a","",Laborator!H95)</f>
        <v/>
      </c>
      <c r="G95" s="123" t="str">
        <f>IF(Laborator!I95&lt;&gt;"a","",Laborator!I95)</f>
        <v/>
      </c>
      <c r="H95" s="123" t="str">
        <f>IF(Laborator!J95&lt;&gt;"a","",Laborator!J95)</f>
        <v/>
      </c>
      <c r="I95" s="123" t="str">
        <f>IF(Laborator!K95&lt;&gt;"a","",Laborator!K95)</f>
        <v/>
      </c>
      <c r="J95" s="123" t="str">
        <f>IF(Laborator!L95&lt;&gt;"a","",Laborator!L95)</f>
        <v/>
      </c>
      <c r="K95" s="123" t="str">
        <f>IF(Laborator!M95&lt;&gt;"a","",Laborator!M95)</f>
        <v/>
      </c>
      <c r="L95" s="123" t="str">
        <f>IF(Laborator!N95&lt;&gt;"a","",Laborator!N95)</f>
        <v/>
      </c>
      <c r="M95" s="123" t="str">
        <f>IF(Laborator!O95&lt;&gt;"a","",Laborator!O95)</f>
        <v/>
      </c>
      <c r="N95" s="123" t="str">
        <f>IF(Laborator!P95&lt;&gt;"a","",Laborator!P95)</f>
        <v/>
      </c>
      <c r="O95" s="123" t="str">
        <f>IF(Laborator!Q95&lt;&gt;"a","",Laborator!Q95)</f>
        <v/>
      </c>
      <c r="P95" s="123" t="str">
        <f>IF(Laborator!R95&lt;&gt;"a","",Laborator!R95)</f>
        <v/>
      </c>
      <c r="Q95" s="123" t="str">
        <f>IF(Laborator!S95&lt;&gt;"a","",Laborator!S95)</f>
        <v/>
      </c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7"/>
      <c r="AG95" s="117"/>
      <c r="AH95" s="114"/>
    </row>
    <row r="96" spans="1:34" ht="19.95" customHeight="1" x14ac:dyDescent="0.3">
      <c r="A96" s="114" t="str">
        <f>Curs!B95</f>
        <v/>
      </c>
      <c r="B96" s="115" t="str">
        <f>IF(NOT(ISBLANK(Curs!C95)),Curs!C95,"")</f>
        <v/>
      </c>
      <c r="C96" s="123" t="str">
        <f>IF(Laborator!E96&lt;&gt;"a","",Laborator!E96)</f>
        <v/>
      </c>
      <c r="D96" s="123" t="str">
        <f>IF(Laborator!F96&lt;&gt;"a","",Laborator!F96)</f>
        <v/>
      </c>
      <c r="E96" s="123" t="str">
        <f>IF(Laborator!G96&lt;&gt;"a","",Laborator!G96)</f>
        <v/>
      </c>
      <c r="F96" s="123" t="str">
        <f>IF(Laborator!H96&lt;&gt;"a","",Laborator!H96)</f>
        <v/>
      </c>
      <c r="G96" s="123" t="str">
        <f>IF(Laborator!I96&lt;&gt;"a","",Laborator!I96)</f>
        <v/>
      </c>
      <c r="H96" s="123" t="str">
        <f>IF(Laborator!J96&lt;&gt;"a","",Laborator!J96)</f>
        <v/>
      </c>
      <c r="I96" s="123" t="str">
        <f>IF(Laborator!K96&lt;&gt;"a","",Laborator!K96)</f>
        <v/>
      </c>
      <c r="J96" s="123" t="str">
        <f>IF(Laborator!L96&lt;&gt;"a","",Laborator!L96)</f>
        <v/>
      </c>
      <c r="K96" s="123" t="str">
        <f>IF(Laborator!M96&lt;&gt;"a","",Laborator!M96)</f>
        <v/>
      </c>
      <c r="L96" s="123" t="str">
        <f>IF(Laborator!N96&lt;&gt;"a","",Laborator!N96)</f>
        <v/>
      </c>
      <c r="M96" s="123" t="str">
        <f>IF(Laborator!O96&lt;&gt;"a","",Laborator!O96)</f>
        <v/>
      </c>
      <c r="N96" s="123" t="str">
        <f>IF(Laborator!P96&lt;&gt;"a","",Laborator!P96)</f>
        <v/>
      </c>
      <c r="O96" s="123" t="str">
        <f>IF(Laborator!Q96&lt;&gt;"a","",Laborator!Q96)</f>
        <v/>
      </c>
      <c r="P96" s="123" t="str">
        <f>IF(Laborator!R96&lt;&gt;"a","",Laborator!R96)</f>
        <v/>
      </c>
      <c r="Q96" s="123" t="str">
        <f>IF(Laborator!S96&lt;&gt;"a","",Laborator!S96)</f>
        <v/>
      </c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7"/>
      <c r="AG96" s="117"/>
      <c r="AH96" s="114"/>
    </row>
    <row r="97" spans="1:34" ht="19.95" customHeight="1" x14ac:dyDescent="0.3">
      <c r="A97" s="114" t="str">
        <f>Curs!B96</f>
        <v/>
      </c>
      <c r="B97" s="115" t="str">
        <f>IF(NOT(ISBLANK(Curs!C96)),Curs!C96,"")</f>
        <v/>
      </c>
      <c r="C97" s="123" t="str">
        <f>IF(Laborator!E97&lt;&gt;"a","",Laborator!E97)</f>
        <v/>
      </c>
      <c r="D97" s="123" t="str">
        <f>IF(Laborator!F97&lt;&gt;"a","",Laborator!F97)</f>
        <v/>
      </c>
      <c r="E97" s="123" t="str">
        <f>IF(Laborator!G97&lt;&gt;"a","",Laborator!G97)</f>
        <v/>
      </c>
      <c r="F97" s="123" t="str">
        <f>IF(Laborator!H97&lt;&gt;"a","",Laborator!H97)</f>
        <v/>
      </c>
      <c r="G97" s="123" t="str">
        <f>IF(Laborator!I97&lt;&gt;"a","",Laborator!I97)</f>
        <v/>
      </c>
      <c r="H97" s="123" t="str">
        <f>IF(Laborator!J97&lt;&gt;"a","",Laborator!J97)</f>
        <v/>
      </c>
      <c r="I97" s="123" t="str">
        <f>IF(Laborator!K97&lt;&gt;"a","",Laborator!K97)</f>
        <v/>
      </c>
      <c r="J97" s="123" t="str">
        <f>IF(Laborator!L97&lt;&gt;"a","",Laborator!L97)</f>
        <v/>
      </c>
      <c r="K97" s="123" t="str">
        <f>IF(Laborator!M97&lt;&gt;"a","",Laborator!M97)</f>
        <v/>
      </c>
      <c r="L97" s="123" t="str">
        <f>IF(Laborator!N97&lt;&gt;"a","",Laborator!N97)</f>
        <v/>
      </c>
      <c r="M97" s="123" t="str">
        <f>IF(Laborator!O97&lt;&gt;"a","",Laborator!O97)</f>
        <v/>
      </c>
      <c r="N97" s="123" t="str">
        <f>IF(Laborator!P97&lt;&gt;"a","",Laborator!P97)</f>
        <v/>
      </c>
      <c r="O97" s="123" t="str">
        <f>IF(Laborator!Q97&lt;&gt;"a","",Laborator!Q97)</f>
        <v/>
      </c>
      <c r="P97" s="123" t="str">
        <f>IF(Laborator!R97&lt;&gt;"a","",Laborator!R97)</f>
        <v/>
      </c>
      <c r="Q97" s="123" t="str">
        <f>IF(Laborator!S97&lt;&gt;"a","",Laborator!S97)</f>
        <v/>
      </c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7"/>
      <c r="AG97" s="117"/>
      <c r="AH97" s="114"/>
    </row>
    <row r="98" spans="1:34" ht="19.95" customHeight="1" x14ac:dyDescent="0.3">
      <c r="A98" s="114" t="str">
        <f>Curs!B97</f>
        <v/>
      </c>
      <c r="B98" s="115" t="str">
        <f>IF(NOT(ISBLANK(Curs!C97)),Curs!C97,"")</f>
        <v/>
      </c>
      <c r="C98" s="123" t="str">
        <f>IF(Laborator!E98&lt;&gt;"a","",Laborator!E98)</f>
        <v/>
      </c>
      <c r="D98" s="123" t="str">
        <f>IF(Laborator!F98&lt;&gt;"a","",Laborator!F98)</f>
        <v/>
      </c>
      <c r="E98" s="123" t="str">
        <f>IF(Laborator!G98&lt;&gt;"a","",Laborator!G98)</f>
        <v/>
      </c>
      <c r="F98" s="123" t="str">
        <f>IF(Laborator!H98&lt;&gt;"a","",Laborator!H98)</f>
        <v/>
      </c>
      <c r="G98" s="123" t="str">
        <f>IF(Laborator!I98&lt;&gt;"a","",Laborator!I98)</f>
        <v/>
      </c>
      <c r="H98" s="123" t="str">
        <f>IF(Laborator!J98&lt;&gt;"a","",Laborator!J98)</f>
        <v/>
      </c>
      <c r="I98" s="123" t="str">
        <f>IF(Laborator!K98&lt;&gt;"a","",Laborator!K98)</f>
        <v/>
      </c>
      <c r="J98" s="123" t="str">
        <f>IF(Laborator!L98&lt;&gt;"a","",Laborator!L98)</f>
        <v/>
      </c>
      <c r="K98" s="123" t="str">
        <f>IF(Laborator!M98&lt;&gt;"a","",Laborator!M98)</f>
        <v/>
      </c>
      <c r="L98" s="123" t="str">
        <f>IF(Laborator!N98&lt;&gt;"a","",Laborator!N98)</f>
        <v/>
      </c>
      <c r="M98" s="123" t="str">
        <f>IF(Laborator!O98&lt;&gt;"a","",Laborator!O98)</f>
        <v/>
      </c>
      <c r="N98" s="123" t="str">
        <f>IF(Laborator!P98&lt;&gt;"a","",Laborator!P98)</f>
        <v/>
      </c>
      <c r="O98" s="123" t="str">
        <f>IF(Laborator!Q98&lt;&gt;"a","",Laborator!Q98)</f>
        <v/>
      </c>
      <c r="P98" s="123" t="str">
        <f>IF(Laborator!R98&lt;&gt;"a","",Laborator!R98)</f>
        <v/>
      </c>
      <c r="Q98" s="123" t="str">
        <f>IF(Laborator!S98&lt;&gt;"a","",Laborator!S98)</f>
        <v/>
      </c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7"/>
      <c r="AG98" s="117"/>
      <c r="AH98" s="114"/>
    </row>
    <row r="99" spans="1:34" ht="19.95" customHeight="1" x14ac:dyDescent="0.3">
      <c r="A99" s="114" t="str">
        <f>Curs!B98</f>
        <v/>
      </c>
      <c r="B99" s="115" t="str">
        <f>IF(NOT(ISBLANK(Curs!C98)),Curs!C98,"")</f>
        <v/>
      </c>
      <c r="C99" s="123" t="str">
        <f>IF(Laborator!E99&lt;&gt;"a","",Laborator!E99)</f>
        <v/>
      </c>
      <c r="D99" s="123" t="str">
        <f>IF(Laborator!F99&lt;&gt;"a","",Laborator!F99)</f>
        <v/>
      </c>
      <c r="E99" s="123" t="str">
        <f>IF(Laborator!G99&lt;&gt;"a","",Laborator!G99)</f>
        <v/>
      </c>
      <c r="F99" s="123" t="str">
        <f>IF(Laborator!H99&lt;&gt;"a","",Laborator!H99)</f>
        <v/>
      </c>
      <c r="G99" s="123" t="str">
        <f>IF(Laborator!I99&lt;&gt;"a","",Laborator!I99)</f>
        <v/>
      </c>
      <c r="H99" s="123" t="str">
        <f>IF(Laborator!J99&lt;&gt;"a","",Laborator!J99)</f>
        <v/>
      </c>
      <c r="I99" s="123" t="str">
        <f>IF(Laborator!K99&lt;&gt;"a","",Laborator!K99)</f>
        <v/>
      </c>
      <c r="J99" s="123" t="str">
        <f>IF(Laborator!L99&lt;&gt;"a","",Laborator!L99)</f>
        <v/>
      </c>
      <c r="K99" s="123" t="str">
        <f>IF(Laborator!M99&lt;&gt;"a","",Laborator!M99)</f>
        <v/>
      </c>
      <c r="L99" s="123" t="str">
        <f>IF(Laborator!N99&lt;&gt;"a","",Laborator!N99)</f>
        <v/>
      </c>
      <c r="M99" s="123" t="str">
        <f>IF(Laborator!O99&lt;&gt;"a","",Laborator!O99)</f>
        <v/>
      </c>
      <c r="N99" s="123" t="str">
        <f>IF(Laborator!P99&lt;&gt;"a","",Laborator!P99)</f>
        <v/>
      </c>
      <c r="O99" s="123" t="str">
        <f>IF(Laborator!Q99&lt;&gt;"a","",Laborator!Q99)</f>
        <v/>
      </c>
      <c r="P99" s="123" t="str">
        <f>IF(Laborator!R99&lt;&gt;"a","",Laborator!R99)</f>
        <v/>
      </c>
      <c r="Q99" s="123" t="str">
        <f>IF(Laborator!S99&lt;&gt;"a","",Laborator!S99)</f>
        <v/>
      </c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7"/>
      <c r="AG99" s="117"/>
      <c r="AH99" s="114"/>
    </row>
    <row r="100" spans="1:34" ht="19.95" customHeight="1" x14ac:dyDescent="0.3">
      <c r="A100" s="114" t="str">
        <f>Curs!B99</f>
        <v/>
      </c>
      <c r="B100" s="115" t="str">
        <f>IF(NOT(ISBLANK(Curs!C99)),Curs!C99,"")</f>
        <v/>
      </c>
      <c r="C100" s="123" t="str">
        <f>IF(Laborator!E100&lt;&gt;"a","",Laborator!E100)</f>
        <v/>
      </c>
      <c r="D100" s="123" t="str">
        <f>IF(Laborator!F100&lt;&gt;"a","",Laborator!F100)</f>
        <v/>
      </c>
      <c r="E100" s="123" t="str">
        <f>IF(Laborator!G100&lt;&gt;"a","",Laborator!G100)</f>
        <v/>
      </c>
      <c r="F100" s="123" t="str">
        <f>IF(Laborator!H100&lt;&gt;"a","",Laborator!H100)</f>
        <v/>
      </c>
      <c r="G100" s="123" t="str">
        <f>IF(Laborator!I100&lt;&gt;"a","",Laborator!I100)</f>
        <v/>
      </c>
      <c r="H100" s="123" t="str">
        <f>IF(Laborator!J100&lt;&gt;"a","",Laborator!J100)</f>
        <v/>
      </c>
      <c r="I100" s="123" t="str">
        <f>IF(Laborator!K100&lt;&gt;"a","",Laborator!K100)</f>
        <v/>
      </c>
      <c r="J100" s="123" t="str">
        <f>IF(Laborator!L100&lt;&gt;"a","",Laborator!L100)</f>
        <v/>
      </c>
      <c r="K100" s="123" t="str">
        <f>IF(Laborator!M100&lt;&gt;"a","",Laborator!M100)</f>
        <v/>
      </c>
      <c r="L100" s="123" t="str">
        <f>IF(Laborator!N100&lt;&gt;"a","",Laborator!N100)</f>
        <v/>
      </c>
      <c r="M100" s="123" t="str">
        <f>IF(Laborator!O100&lt;&gt;"a","",Laborator!O100)</f>
        <v/>
      </c>
      <c r="N100" s="123" t="str">
        <f>IF(Laborator!P100&lt;&gt;"a","",Laborator!P100)</f>
        <v/>
      </c>
      <c r="O100" s="123" t="str">
        <f>IF(Laborator!Q100&lt;&gt;"a","",Laborator!Q100)</f>
        <v/>
      </c>
      <c r="P100" s="123" t="str">
        <f>IF(Laborator!R100&lt;&gt;"a","",Laborator!R100)</f>
        <v/>
      </c>
      <c r="Q100" s="123" t="str">
        <f>IF(Laborator!S100&lt;&gt;"a","",Laborator!S100)</f>
        <v/>
      </c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7"/>
      <c r="AG100" s="117"/>
      <c r="AH100" s="114"/>
    </row>
    <row r="101" spans="1:34" ht="19.95" customHeight="1" x14ac:dyDescent="0.3">
      <c r="A101" s="114" t="str">
        <f>Curs!B100</f>
        <v/>
      </c>
      <c r="B101" s="115" t="str">
        <f>IF(NOT(ISBLANK(Curs!C100)),Curs!C100,"")</f>
        <v/>
      </c>
      <c r="C101" s="123" t="str">
        <f>IF(Laborator!E101&lt;&gt;"a","",Laborator!E101)</f>
        <v/>
      </c>
      <c r="D101" s="123" t="str">
        <f>IF(Laborator!F101&lt;&gt;"a","",Laborator!F101)</f>
        <v/>
      </c>
      <c r="E101" s="123" t="str">
        <f>IF(Laborator!G101&lt;&gt;"a","",Laborator!G101)</f>
        <v/>
      </c>
      <c r="F101" s="123" t="str">
        <f>IF(Laborator!H101&lt;&gt;"a","",Laborator!H101)</f>
        <v/>
      </c>
      <c r="G101" s="123" t="str">
        <f>IF(Laborator!I101&lt;&gt;"a","",Laborator!I101)</f>
        <v/>
      </c>
      <c r="H101" s="123" t="str">
        <f>IF(Laborator!J101&lt;&gt;"a","",Laborator!J101)</f>
        <v/>
      </c>
      <c r="I101" s="123" t="str">
        <f>IF(Laborator!K101&lt;&gt;"a","",Laborator!K101)</f>
        <v/>
      </c>
      <c r="J101" s="123" t="str">
        <f>IF(Laborator!L101&lt;&gt;"a","",Laborator!L101)</f>
        <v/>
      </c>
      <c r="K101" s="123" t="str">
        <f>IF(Laborator!M101&lt;&gt;"a","",Laborator!M101)</f>
        <v/>
      </c>
      <c r="L101" s="123" t="str">
        <f>IF(Laborator!N101&lt;&gt;"a","",Laborator!N101)</f>
        <v/>
      </c>
      <c r="M101" s="123" t="str">
        <f>IF(Laborator!O101&lt;&gt;"a","",Laborator!O101)</f>
        <v/>
      </c>
      <c r="N101" s="123" t="str">
        <f>IF(Laborator!P101&lt;&gt;"a","",Laborator!P101)</f>
        <v/>
      </c>
      <c r="O101" s="123" t="str">
        <f>IF(Laborator!Q101&lt;&gt;"a","",Laborator!Q101)</f>
        <v/>
      </c>
      <c r="P101" s="123" t="str">
        <f>IF(Laborator!R101&lt;&gt;"a","",Laborator!R101)</f>
        <v/>
      </c>
      <c r="Q101" s="123" t="str">
        <f>IF(Laborator!S101&lt;&gt;"a","",Laborator!S101)</f>
        <v/>
      </c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7"/>
      <c r="AG101" s="117"/>
      <c r="AH101" s="114"/>
    </row>
    <row r="102" spans="1:34" ht="19.95" customHeight="1" x14ac:dyDescent="0.3">
      <c r="A102" s="114" t="str">
        <f>Curs!B101</f>
        <v/>
      </c>
      <c r="B102" s="115" t="str">
        <f>IF(NOT(ISBLANK(Curs!C101)),Curs!C101,"")</f>
        <v/>
      </c>
      <c r="C102" s="123" t="str">
        <f>IF(Laborator!E102&lt;&gt;"a","",Laborator!E102)</f>
        <v/>
      </c>
      <c r="D102" s="123" t="str">
        <f>IF(Laborator!F102&lt;&gt;"a","",Laborator!F102)</f>
        <v/>
      </c>
      <c r="E102" s="123" t="str">
        <f>IF(Laborator!G102&lt;&gt;"a","",Laborator!G102)</f>
        <v/>
      </c>
      <c r="F102" s="123" t="str">
        <f>IF(Laborator!H102&lt;&gt;"a","",Laborator!H102)</f>
        <v/>
      </c>
      <c r="G102" s="123" t="str">
        <f>IF(Laborator!I102&lt;&gt;"a","",Laborator!I102)</f>
        <v/>
      </c>
      <c r="H102" s="123" t="str">
        <f>IF(Laborator!J102&lt;&gt;"a","",Laborator!J102)</f>
        <v/>
      </c>
      <c r="I102" s="123" t="str">
        <f>IF(Laborator!K102&lt;&gt;"a","",Laborator!K102)</f>
        <v/>
      </c>
      <c r="J102" s="123" t="str">
        <f>IF(Laborator!L102&lt;&gt;"a","",Laborator!L102)</f>
        <v/>
      </c>
      <c r="K102" s="123" t="str">
        <f>IF(Laborator!M102&lt;&gt;"a","",Laborator!M102)</f>
        <v/>
      </c>
      <c r="L102" s="123" t="str">
        <f>IF(Laborator!N102&lt;&gt;"a","",Laborator!N102)</f>
        <v/>
      </c>
      <c r="M102" s="123" t="str">
        <f>IF(Laborator!O102&lt;&gt;"a","",Laborator!O102)</f>
        <v/>
      </c>
      <c r="N102" s="123" t="str">
        <f>IF(Laborator!P102&lt;&gt;"a","",Laborator!P102)</f>
        <v/>
      </c>
      <c r="O102" s="123" t="str">
        <f>IF(Laborator!Q102&lt;&gt;"a","",Laborator!Q102)</f>
        <v/>
      </c>
      <c r="P102" s="123" t="str">
        <f>IF(Laborator!R102&lt;&gt;"a","",Laborator!R102)</f>
        <v/>
      </c>
      <c r="Q102" s="123" t="str">
        <f>IF(Laborator!S102&lt;&gt;"a","",Laborator!S102)</f>
        <v/>
      </c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7"/>
      <c r="AG102" s="117"/>
      <c r="AH102" s="114"/>
    </row>
    <row r="103" spans="1:34" ht="19.95" customHeight="1" x14ac:dyDescent="0.3">
      <c r="A103" s="114" t="str">
        <f>Curs!B102</f>
        <v/>
      </c>
      <c r="B103" s="115" t="str">
        <f>IF(NOT(ISBLANK(Curs!C102)),Curs!C102,"")</f>
        <v/>
      </c>
      <c r="C103" s="123" t="str">
        <f>IF(Laborator!E103&lt;&gt;"a","",Laborator!E103)</f>
        <v/>
      </c>
      <c r="D103" s="123" t="str">
        <f>IF(Laborator!F103&lt;&gt;"a","",Laborator!F103)</f>
        <v/>
      </c>
      <c r="E103" s="123" t="str">
        <f>IF(Laborator!G103&lt;&gt;"a","",Laborator!G103)</f>
        <v/>
      </c>
      <c r="F103" s="123" t="str">
        <f>IF(Laborator!H103&lt;&gt;"a","",Laborator!H103)</f>
        <v/>
      </c>
      <c r="G103" s="123" t="str">
        <f>IF(Laborator!I103&lt;&gt;"a","",Laborator!I103)</f>
        <v/>
      </c>
      <c r="H103" s="123" t="str">
        <f>IF(Laborator!J103&lt;&gt;"a","",Laborator!J103)</f>
        <v/>
      </c>
      <c r="I103" s="123" t="str">
        <f>IF(Laborator!K103&lt;&gt;"a","",Laborator!K103)</f>
        <v/>
      </c>
      <c r="J103" s="123" t="str">
        <f>IF(Laborator!L103&lt;&gt;"a","",Laborator!L103)</f>
        <v/>
      </c>
      <c r="K103" s="123" t="str">
        <f>IF(Laborator!M103&lt;&gt;"a","",Laborator!M103)</f>
        <v/>
      </c>
      <c r="L103" s="123" t="str">
        <f>IF(Laborator!N103&lt;&gt;"a","",Laborator!N103)</f>
        <v/>
      </c>
      <c r="M103" s="123" t="str">
        <f>IF(Laborator!O103&lt;&gt;"a","",Laborator!O103)</f>
        <v/>
      </c>
      <c r="N103" s="123" t="str">
        <f>IF(Laborator!P103&lt;&gt;"a","",Laborator!P103)</f>
        <v/>
      </c>
      <c r="O103" s="123" t="str">
        <f>IF(Laborator!Q103&lt;&gt;"a","",Laborator!Q103)</f>
        <v/>
      </c>
      <c r="P103" s="123" t="str">
        <f>IF(Laborator!R103&lt;&gt;"a","",Laborator!R103)</f>
        <v/>
      </c>
      <c r="Q103" s="123" t="str">
        <f>IF(Laborator!S103&lt;&gt;"a","",Laborator!S103)</f>
        <v/>
      </c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7"/>
      <c r="AG103" s="117"/>
      <c r="AH103" s="114"/>
    </row>
    <row r="104" spans="1:34" ht="19.95" customHeight="1" x14ac:dyDescent="0.3">
      <c r="A104" s="114" t="str">
        <f>Curs!B103</f>
        <v/>
      </c>
      <c r="B104" s="115" t="str">
        <f>IF(NOT(ISBLANK(Curs!C103)),Curs!C103,"")</f>
        <v/>
      </c>
      <c r="C104" s="123" t="str">
        <f>IF(Laborator!E104&lt;&gt;"a","",Laborator!E104)</f>
        <v/>
      </c>
      <c r="D104" s="123" t="str">
        <f>IF(Laborator!F104&lt;&gt;"a","",Laborator!F104)</f>
        <v/>
      </c>
      <c r="E104" s="123" t="str">
        <f>IF(Laborator!G104&lt;&gt;"a","",Laborator!G104)</f>
        <v/>
      </c>
      <c r="F104" s="123" t="str">
        <f>IF(Laborator!H104&lt;&gt;"a","",Laborator!H104)</f>
        <v/>
      </c>
      <c r="G104" s="123" t="str">
        <f>IF(Laborator!I104&lt;&gt;"a","",Laborator!I104)</f>
        <v/>
      </c>
      <c r="H104" s="123" t="str">
        <f>IF(Laborator!J104&lt;&gt;"a","",Laborator!J104)</f>
        <v/>
      </c>
      <c r="I104" s="123" t="str">
        <f>IF(Laborator!K104&lt;&gt;"a","",Laborator!K104)</f>
        <v/>
      </c>
      <c r="J104" s="123" t="str">
        <f>IF(Laborator!L104&lt;&gt;"a","",Laborator!L104)</f>
        <v/>
      </c>
      <c r="K104" s="123" t="str">
        <f>IF(Laborator!M104&lt;&gt;"a","",Laborator!M104)</f>
        <v/>
      </c>
      <c r="L104" s="123" t="str">
        <f>IF(Laborator!N104&lt;&gt;"a","",Laborator!N104)</f>
        <v/>
      </c>
      <c r="M104" s="123" t="str">
        <f>IF(Laborator!O104&lt;&gt;"a","",Laborator!O104)</f>
        <v/>
      </c>
      <c r="N104" s="123" t="str">
        <f>IF(Laborator!P104&lt;&gt;"a","",Laborator!P104)</f>
        <v/>
      </c>
      <c r="O104" s="123" t="str">
        <f>IF(Laborator!Q104&lt;&gt;"a","",Laborator!Q104)</f>
        <v/>
      </c>
      <c r="P104" s="123" t="str">
        <f>IF(Laborator!R104&lt;&gt;"a","",Laborator!R104)</f>
        <v/>
      </c>
      <c r="Q104" s="123" t="str">
        <f>IF(Laborator!S104&lt;&gt;"a","",Laborator!S104)</f>
        <v/>
      </c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7"/>
      <c r="AG104" s="117"/>
      <c r="AH104" s="114"/>
    </row>
    <row r="105" spans="1:34" ht="19.95" customHeight="1" x14ac:dyDescent="0.3">
      <c r="A105" s="114" t="str">
        <f>Curs!B104</f>
        <v/>
      </c>
      <c r="B105" s="115" t="str">
        <f>IF(NOT(ISBLANK(Curs!C104)),Curs!C104,"")</f>
        <v/>
      </c>
      <c r="C105" s="123" t="str">
        <f>IF(Laborator!E105&lt;&gt;"a","",Laborator!E105)</f>
        <v/>
      </c>
      <c r="D105" s="123" t="str">
        <f>IF(Laborator!F105&lt;&gt;"a","",Laborator!F105)</f>
        <v/>
      </c>
      <c r="E105" s="123" t="str">
        <f>IF(Laborator!G105&lt;&gt;"a","",Laborator!G105)</f>
        <v/>
      </c>
      <c r="F105" s="123" t="str">
        <f>IF(Laborator!H105&lt;&gt;"a","",Laborator!H105)</f>
        <v/>
      </c>
      <c r="G105" s="123" t="str">
        <f>IF(Laborator!I105&lt;&gt;"a","",Laborator!I105)</f>
        <v/>
      </c>
      <c r="H105" s="123" t="str">
        <f>IF(Laborator!J105&lt;&gt;"a","",Laborator!J105)</f>
        <v/>
      </c>
      <c r="I105" s="123" t="str">
        <f>IF(Laborator!K105&lt;&gt;"a","",Laborator!K105)</f>
        <v/>
      </c>
      <c r="J105" s="123" t="str">
        <f>IF(Laborator!L105&lt;&gt;"a","",Laborator!L105)</f>
        <v/>
      </c>
      <c r="K105" s="123" t="str">
        <f>IF(Laborator!M105&lt;&gt;"a","",Laborator!M105)</f>
        <v/>
      </c>
      <c r="L105" s="123" t="str">
        <f>IF(Laborator!N105&lt;&gt;"a","",Laborator!N105)</f>
        <v/>
      </c>
      <c r="M105" s="123" t="str">
        <f>IF(Laborator!O105&lt;&gt;"a","",Laborator!O105)</f>
        <v/>
      </c>
      <c r="N105" s="123" t="str">
        <f>IF(Laborator!P105&lt;&gt;"a","",Laborator!P105)</f>
        <v/>
      </c>
      <c r="O105" s="123" t="str">
        <f>IF(Laborator!Q105&lt;&gt;"a","",Laborator!Q105)</f>
        <v/>
      </c>
      <c r="P105" s="123" t="str">
        <f>IF(Laborator!R105&lt;&gt;"a","",Laborator!R105)</f>
        <v/>
      </c>
      <c r="Q105" s="123" t="str">
        <f>IF(Laborator!S105&lt;&gt;"a","",Laborator!S105)</f>
        <v/>
      </c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7"/>
      <c r="AG105" s="117"/>
      <c r="AH105" s="114"/>
    </row>
    <row r="106" spans="1:34" ht="19.95" customHeight="1" x14ac:dyDescent="0.3">
      <c r="A106" s="114" t="str">
        <f>Curs!B105</f>
        <v/>
      </c>
      <c r="B106" s="115" t="str">
        <f>IF(NOT(ISBLANK(Curs!C105)),Curs!C105,"")</f>
        <v/>
      </c>
      <c r="C106" s="123" t="str">
        <f>IF(Laborator!E106&lt;&gt;"a","",Laborator!E106)</f>
        <v/>
      </c>
      <c r="D106" s="123" t="str">
        <f>IF(Laborator!F106&lt;&gt;"a","",Laborator!F106)</f>
        <v/>
      </c>
      <c r="E106" s="123" t="str">
        <f>IF(Laborator!G106&lt;&gt;"a","",Laborator!G106)</f>
        <v/>
      </c>
      <c r="F106" s="123" t="str">
        <f>IF(Laborator!H106&lt;&gt;"a","",Laborator!H106)</f>
        <v/>
      </c>
      <c r="G106" s="123" t="str">
        <f>IF(Laborator!I106&lt;&gt;"a","",Laborator!I106)</f>
        <v/>
      </c>
      <c r="H106" s="123" t="str">
        <f>IF(Laborator!J106&lt;&gt;"a","",Laborator!J106)</f>
        <v/>
      </c>
      <c r="I106" s="123" t="str">
        <f>IF(Laborator!K106&lt;&gt;"a","",Laborator!K106)</f>
        <v/>
      </c>
      <c r="J106" s="123" t="str">
        <f>IF(Laborator!L106&lt;&gt;"a","",Laborator!L106)</f>
        <v/>
      </c>
      <c r="K106" s="123" t="str">
        <f>IF(Laborator!M106&lt;&gt;"a","",Laborator!M106)</f>
        <v/>
      </c>
      <c r="L106" s="123" t="str">
        <f>IF(Laborator!N106&lt;&gt;"a","",Laborator!N106)</f>
        <v/>
      </c>
      <c r="M106" s="123" t="str">
        <f>IF(Laborator!O106&lt;&gt;"a","",Laborator!O106)</f>
        <v/>
      </c>
      <c r="N106" s="123" t="str">
        <f>IF(Laborator!P106&lt;&gt;"a","",Laborator!P106)</f>
        <v/>
      </c>
      <c r="O106" s="123" t="str">
        <f>IF(Laborator!Q106&lt;&gt;"a","",Laborator!Q106)</f>
        <v/>
      </c>
      <c r="P106" s="123" t="str">
        <f>IF(Laborator!R106&lt;&gt;"a","",Laborator!R106)</f>
        <v/>
      </c>
      <c r="Q106" s="123" t="str">
        <f>IF(Laborator!S106&lt;&gt;"a","",Laborator!S106)</f>
        <v/>
      </c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7"/>
      <c r="AG106" s="117"/>
      <c r="AH106" s="114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Curs</vt:lpstr>
      <vt:lpstr>Laborator</vt:lpstr>
      <vt:lpstr>Lucrari grafice</vt:lpstr>
      <vt:lpstr>Atest. Nr.1_1</vt:lpstr>
      <vt:lpstr>Atest. Nr.1_2</vt:lpstr>
      <vt:lpstr>Atest. Nr.1_3</vt:lpstr>
      <vt:lpstr>Atest. Nr.2_1</vt:lpstr>
      <vt:lpstr>Atest. Nr.2_2</vt:lpstr>
      <vt:lpstr>Atest. Nr.2_3</vt:lpstr>
      <vt:lpstr>Examen</vt:lpstr>
      <vt:lpstr>ReExaminare</vt:lpstr>
      <vt:lpstr>Registru_Curs</vt:lpstr>
      <vt:lpstr>Registru_Lab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2024-06-28T08:36:14Z</dcterms:modified>
</cp:coreProperties>
</file>