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tivitatea Didactica\Metodica\Excel_registru_electronic\Modificate 22.01.24\Cu delete\"/>
    </mc:Choice>
  </mc:AlternateContent>
  <xr:revisionPtr revIDLastSave="0" documentId="13_ncr:1_{55D90142-7BA2-4D9E-B7B2-9AFA5AF66C1E}" xr6:coauthVersionLast="47" xr6:coauthVersionMax="47" xr10:uidLastSave="{00000000-0000-0000-0000-000000000000}"/>
  <bookViews>
    <workbookView xWindow="-28920" yWindow="-120" windowWidth="29040" windowHeight="15840" tabRatio="759" xr2:uid="{00000000-000D-0000-FFFF-FFFF00000000}"/>
  </bookViews>
  <sheets>
    <sheet name="Curs" sheetId="1" r:id="rId1"/>
    <sheet name="Laborator" sheetId="9" r:id="rId2"/>
    <sheet name="Lucru Individual" sheetId="10" r:id="rId3"/>
    <sheet name="Examen" sheetId="4" r:id="rId4"/>
    <sheet name="Registru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7" i="9" l="1"/>
  <c r="G2" i="10"/>
  <c r="B6" i="1"/>
  <c r="AK22" i="11" l="1"/>
  <c r="AK14" i="11"/>
  <c r="L5" i="11"/>
  <c r="M5" i="11"/>
  <c r="AI18" i="11" s="1"/>
  <c r="N5" i="11"/>
  <c r="O5" i="11"/>
  <c r="AI20" i="11" s="1"/>
  <c r="P5" i="11"/>
  <c r="AI21" i="11" s="1"/>
  <c r="AI19" i="11"/>
  <c r="AI17" i="11"/>
  <c r="K8" i="11"/>
  <c r="L8" i="11"/>
  <c r="M8" i="11"/>
  <c r="N8" i="11"/>
  <c r="O8" i="11"/>
  <c r="P8" i="11"/>
  <c r="K9" i="11"/>
  <c r="L9" i="11"/>
  <c r="M9" i="11"/>
  <c r="N9" i="11"/>
  <c r="O9" i="11"/>
  <c r="P9" i="11"/>
  <c r="K10" i="11"/>
  <c r="L10" i="11"/>
  <c r="M10" i="11"/>
  <c r="N10" i="11"/>
  <c r="O10" i="11"/>
  <c r="P10" i="11"/>
  <c r="K11" i="11"/>
  <c r="L11" i="11"/>
  <c r="M11" i="11"/>
  <c r="N11" i="11"/>
  <c r="O11" i="11"/>
  <c r="P11" i="11"/>
  <c r="K12" i="11"/>
  <c r="L12" i="11"/>
  <c r="M12" i="11"/>
  <c r="N12" i="11"/>
  <c r="O12" i="11"/>
  <c r="P12" i="11"/>
  <c r="K13" i="11"/>
  <c r="L13" i="11"/>
  <c r="M13" i="11"/>
  <c r="N13" i="11"/>
  <c r="O13" i="11"/>
  <c r="P13" i="11"/>
  <c r="K14" i="11"/>
  <c r="L14" i="11"/>
  <c r="M14" i="11"/>
  <c r="N14" i="11"/>
  <c r="O14" i="11"/>
  <c r="P14" i="11"/>
  <c r="K15" i="11"/>
  <c r="L15" i="11"/>
  <c r="M15" i="11"/>
  <c r="N15" i="11"/>
  <c r="O15" i="11"/>
  <c r="P15" i="11"/>
  <c r="K16" i="11"/>
  <c r="L16" i="11"/>
  <c r="M16" i="11"/>
  <c r="N16" i="11"/>
  <c r="O16" i="11"/>
  <c r="P16" i="11"/>
  <c r="K17" i="11"/>
  <c r="L17" i="11"/>
  <c r="M17" i="11"/>
  <c r="N17" i="11"/>
  <c r="O17" i="11"/>
  <c r="P17" i="11"/>
  <c r="K18" i="11"/>
  <c r="L18" i="11"/>
  <c r="M18" i="11"/>
  <c r="N18" i="11"/>
  <c r="O18" i="11"/>
  <c r="P18" i="11"/>
  <c r="K19" i="11"/>
  <c r="L19" i="11"/>
  <c r="M19" i="11"/>
  <c r="N19" i="11"/>
  <c r="O19" i="11"/>
  <c r="P19" i="11"/>
  <c r="K20" i="11"/>
  <c r="L20" i="11"/>
  <c r="M20" i="11"/>
  <c r="N20" i="11"/>
  <c r="O20" i="11"/>
  <c r="P20" i="11"/>
  <c r="K21" i="11"/>
  <c r="L21" i="11"/>
  <c r="M21" i="11"/>
  <c r="N21" i="11"/>
  <c r="O21" i="11"/>
  <c r="P21" i="11"/>
  <c r="K22" i="11"/>
  <c r="L22" i="11"/>
  <c r="M22" i="11"/>
  <c r="N22" i="11"/>
  <c r="O22" i="11"/>
  <c r="P22" i="11"/>
  <c r="K23" i="11"/>
  <c r="L23" i="11"/>
  <c r="M23" i="11"/>
  <c r="N23" i="11"/>
  <c r="O23" i="11"/>
  <c r="P23" i="11"/>
  <c r="K24" i="11"/>
  <c r="L24" i="11"/>
  <c r="M24" i="11"/>
  <c r="N24" i="11"/>
  <c r="O24" i="11"/>
  <c r="P24" i="11"/>
  <c r="K25" i="11"/>
  <c r="L25" i="11"/>
  <c r="M25" i="11"/>
  <c r="N25" i="11"/>
  <c r="O25" i="11"/>
  <c r="P25" i="11"/>
  <c r="K26" i="11"/>
  <c r="L26" i="11"/>
  <c r="M26" i="11"/>
  <c r="N26" i="11"/>
  <c r="O26" i="11"/>
  <c r="P26" i="11"/>
  <c r="K27" i="11"/>
  <c r="L27" i="11"/>
  <c r="M27" i="11"/>
  <c r="N27" i="11"/>
  <c r="O27" i="11"/>
  <c r="P27" i="11"/>
  <c r="K28" i="11"/>
  <c r="L28" i="11"/>
  <c r="M28" i="11"/>
  <c r="N28" i="11"/>
  <c r="O28" i="11"/>
  <c r="P28" i="11"/>
  <c r="K29" i="11"/>
  <c r="L29" i="11"/>
  <c r="M29" i="11"/>
  <c r="N29" i="11"/>
  <c r="O29" i="11"/>
  <c r="P29" i="11"/>
  <c r="K30" i="11"/>
  <c r="L30" i="11"/>
  <c r="M30" i="11"/>
  <c r="N30" i="11"/>
  <c r="O30" i="11"/>
  <c r="P30" i="11"/>
  <c r="K31" i="11"/>
  <c r="L31" i="11"/>
  <c r="M31" i="11"/>
  <c r="N31" i="11"/>
  <c r="O31" i="11"/>
  <c r="P31" i="11"/>
  <c r="K32" i="11"/>
  <c r="L32" i="11"/>
  <c r="M32" i="11"/>
  <c r="N32" i="11"/>
  <c r="O32" i="11"/>
  <c r="P32" i="11"/>
  <c r="K33" i="11"/>
  <c r="L33" i="11"/>
  <c r="M33" i="11"/>
  <c r="N33" i="11"/>
  <c r="O33" i="11"/>
  <c r="P33" i="11"/>
  <c r="K34" i="11"/>
  <c r="L34" i="11"/>
  <c r="M34" i="11"/>
  <c r="N34" i="11"/>
  <c r="O34" i="11"/>
  <c r="P34" i="11"/>
  <c r="K35" i="11"/>
  <c r="L35" i="11"/>
  <c r="M35" i="11"/>
  <c r="N35" i="11"/>
  <c r="O35" i="11"/>
  <c r="P35" i="11"/>
  <c r="K36" i="11"/>
  <c r="L36" i="11"/>
  <c r="M36" i="11"/>
  <c r="N36" i="11"/>
  <c r="O36" i="11"/>
  <c r="P36" i="11"/>
  <c r="K37" i="11"/>
  <c r="L37" i="11"/>
  <c r="M37" i="11"/>
  <c r="N37" i="11"/>
  <c r="O37" i="11"/>
  <c r="P37" i="11"/>
  <c r="K38" i="11"/>
  <c r="L38" i="11"/>
  <c r="M38" i="11"/>
  <c r="N38" i="11"/>
  <c r="O38" i="11"/>
  <c r="P38" i="11"/>
  <c r="K39" i="11"/>
  <c r="L39" i="11"/>
  <c r="M39" i="11"/>
  <c r="N39" i="11"/>
  <c r="O39" i="11"/>
  <c r="P39" i="11"/>
  <c r="K40" i="11"/>
  <c r="L40" i="11"/>
  <c r="M40" i="11"/>
  <c r="N40" i="11"/>
  <c r="O40" i="11"/>
  <c r="P40" i="11"/>
  <c r="K41" i="11"/>
  <c r="L41" i="11"/>
  <c r="M41" i="11"/>
  <c r="N41" i="11"/>
  <c r="O41" i="11"/>
  <c r="P41" i="11"/>
  <c r="K42" i="11"/>
  <c r="L42" i="11"/>
  <c r="M42" i="11"/>
  <c r="N42" i="11"/>
  <c r="O42" i="11"/>
  <c r="P42" i="11"/>
  <c r="K43" i="11"/>
  <c r="L43" i="11"/>
  <c r="M43" i="11"/>
  <c r="N43" i="11"/>
  <c r="O43" i="11"/>
  <c r="P43" i="11"/>
  <c r="K44" i="11"/>
  <c r="L44" i="11"/>
  <c r="M44" i="11"/>
  <c r="N44" i="11"/>
  <c r="O44" i="11"/>
  <c r="P44" i="11"/>
  <c r="K45" i="11"/>
  <c r="L45" i="11"/>
  <c r="M45" i="11"/>
  <c r="N45" i="11"/>
  <c r="O45" i="11"/>
  <c r="P45" i="11"/>
  <c r="K46" i="11"/>
  <c r="L46" i="11"/>
  <c r="M46" i="11"/>
  <c r="N46" i="11"/>
  <c r="O46" i="11"/>
  <c r="P46" i="11"/>
  <c r="K47" i="11"/>
  <c r="L47" i="11"/>
  <c r="M47" i="11"/>
  <c r="N47" i="11"/>
  <c r="O47" i="11"/>
  <c r="P47" i="11"/>
  <c r="K48" i="11"/>
  <c r="L48" i="11"/>
  <c r="M48" i="11"/>
  <c r="N48" i="11"/>
  <c r="O48" i="11"/>
  <c r="P48" i="11"/>
  <c r="K49" i="11"/>
  <c r="L49" i="11"/>
  <c r="M49" i="11"/>
  <c r="N49" i="11"/>
  <c r="O49" i="11"/>
  <c r="P49" i="11"/>
  <c r="K50" i="11"/>
  <c r="L50" i="11"/>
  <c r="M50" i="11"/>
  <c r="N50" i="11"/>
  <c r="O50" i="11"/>
  <c r="P50" i="11"/>
  <c r="K51" i="11"/>
  <c r="L51" i="11"/>
  <c r="M51" i="11"/>
  <c r="N51" i="11"/>
  <c r="O51" i="11"/>
  <c r="P51" i="11"/>
  <c r="K52" i="11"/>
  <c r="L52" i="11"/>
  <c r="M52" i="11"/>
  <c r="N52" i="11"/>
  <c r="O52" i="11"/>
  <c r="P52" i="11"/>
  <c r="K53" i="11"/>
  <c r="L53" i="11"/>
  <c r="M53" i="11"/>
  <c r="N53" i="11"/>
  <c r="O53" i="11"/>
  <c r="P53" i="11"/>
  <c r="K54" i="11"/>
  <c r="L54" i="11"/>
  <c r="M54" i="11"/>
  <c r="N54" i="11"/>
  <c r="O54" i="11"/>
  <c r="P54" i="11"/>
  <c r="K55" i="11"/>
  <c r="L55" i="11"/>
  <c r="M55" i="11"/>
  <c r="N55" i="11"/>
  <c r="O55" i="11"/>
  <c r="P55" i="11"/>
  <c r="K56" i="11"/>
  <c r="L56" i="11"/>
  <c r="M56" i="11"/>
  <c r="N56" i="11"/>
  <c r="O56" i="11"/>
  <c r="P56" i="11"/>
  <c r="K57" i="11"/>
  <c r="L57" i="11"/>
  <c r="M57" i="11"/>
  <c r="N57" i="11"/>
  <c r="O57" i="11"/>
  <c r="P57" i="11"/>
  <c r="K58" i="11"/>
  <c r="L58" i="11"/>
  <c r="M58" i="11"/>
  <c r="N58" i="11"/>
  <c r="O58" i="11"/>
  <c r="P58" i="11"/>
  <c r="K59" i="11"/>
  <c r="L59" i="11"/>
  <c r="M59" i="11"/>
  <c r="N59" i="11"/>
  <c r="O59" i="11"/>
  <c r="P59" i="11"/>
  <c r="K60" i="11"/>
  <c r="L60" i="11"/>
  <c r="M60" i="11"/>
  <c r="N60" i="11"/>
  <c r="O60" i="11"/>
  <c r="P60" i="11"/>
  <c r="K61" i="11"/>
  <c r="L61" i="11"/>
  <c r="M61" i="11"/>
  <c r="N61" i="11"/>
  <c r="O61" i="11"/>
  <c r="P61" i="11"/>
  <c r="K62" i="11"/>
  <c r="L62" i="11"/>
  <c r="M62" i="11"/>
  <c r="N62" i="11"/>
  <c r="O62" i="11"/>
  <c r="P62" i="11"/>
  <c r="K63" i="11"/>
  <c r="L63" i="11"/>
  <c r="M63" i="11"/>
  <c r="N63" i="11"/>
  <c r="O63" i="11"/>
  <c r="P63" i="11"/>
  <c r="K64" i="11"/>
  <c r="L64" i="11"/>
  <c r="M64" i="11"/>
  <c r="N64" i="11"/>
  <c r="O64" i="11"/>
  <c r="P64" i="11"/>
  <c r="K65" i="11"/>
  <c r="L65" i="11"/>
  <c r="M65" i="11"/>
  <c r="N65" i="11"/>
  <c r="O65" i="11"/>
  <c r="P65" i="11"/>
  <c r="K66" i="11"/>
  <c r="L66" i="11"/>
  <c r="M66" i="11"/>
  <c r="N66" i="11"/>
  <c r="O66" i="11"/>
  <c r="P66" i="11"/>
  <c r="K67" i="11"/>
  <c r="L67" i="11"/>
  <c r="M67" i="11"/>
  <c r="N67" i="11"/>
  <c r="O67" i="11"/>
  <c r="P67" i="11"/>
  <c r="K68" i="11"/>
  <c r="L68" i="11"/>
  <c r="M68" i="11"/>
  <c r="N68" i="11"/>
  <c r="O68" i="11"/>
  <c r="P68" i="11"/>
  <c r="K69" i="11"/>
  <c r="L69" i="11"/>
  <c r="M69" i="11"/>
  <c r="N69" i="11"/>
  <c r="O69" i="11"/>
  <c r="P69" i="11"/>
  <c r="K70" i="11"/>
  <c r="L70" i="11"/>
  <c r="M70" i="11"/>
  <c r="N70" i="11"/>
  <c r="O70" i="11"/>
  <c r="P70" i="11"/>
  <c r="K71" i="11"/>
  <c r="L71" i="11"/>
  <c r="M71" i="11"/>
  <c r="N71" i="11"/>
  <c r="O71" i="11"/>
  <c r="P71" i="11"/>
  <c r="K72" i="11"/>
  <c r="L72" i="11"/>
  <c r="M72" i="11"/>
  <c r="N72" i="11"/>
  <c r="O72" i="11"/>
  <c r="P72" i="11"/>
  <c r="K73" i="11"/>
  <c r="L73" i="11"/>
  <c r="M73" i="11"/>
  <c r="N73" i="11"/>
  <c r="O73" i="11"/>
  <c r="P73" i="11"/>
  <c r="K74" i="11"/>
  <c r="L74" i="11"/>
  <c r="M74" i="11"/>
  <c r="N74" i="11"/>
  <c r="O74" i="11"/>
  <c r="P74" i="11"/>
  <c r="K75" i="11"/>
  <c r="L75" i="11"/>
  <c r="M75" i="11"/>
  <c r="N75" i="11"/>
  <c r="O75" i="11"/>
  <c r="P75" i="11"/>
  <c r="K76" i="11"/>
  <c r="L76" i="11"/>
  <c r="M76" i="11"/>
  <c r="N76" i="11"/>
  <c r="O76" i="11"/>
  <c r="P76" i="11"/>
  <c r="K77" i="11"/>
  <c r="L77" i="11"/>
  <c r="M77" i="11"/>
  <c r="N77" i="11"/>
  <c r="O77" i="11"/>
  <c r="P77" i="11"/>
  <c r="K78" i="11"/>
  <c r="L78" i="11"/>
  <c r="M78" i="11"/>
  <c r="N78" i="11"/>
  <c r="O78" i="11"/>
  <c r="P78" i="11"/>
  <c r="K79" i="11"/>
  <c r="L79" i="11"/>
  <c r="M79" i="11"/>
  <c r="N79" i="11"/>
  <c r="O79" i="11"/>
  <c r="P79" i="11"/>
  <c r="K80" i="11"/>
  <c r="L80" i="11"/>
  <c r="M80" i="11"/>
  <c r="N80" i="11"/>
  <c r="O80" i="11"/>
  <c r="P80" i="11"/>
  <c r="K81" i="11"/>
  <c r="L81" i="11"/>
  <c r="M81" i="11"/>
  <c r="N81" i="11"/>
  <c r="O81" i="11"/>
  <c r="P81" i="11"/>
  <c r="K82" i="11"/>
  <c r="L82" i="11"/>
  <c r="M82" i="11"/>
  <c r="N82" i="11"/>
  <c r="O82" i="11"/>
  <c r="P82" i="11"/>
  <c r="K83" i="11"/>
  <c r="L83" i="11"/>
  <c r="M83" i="11"/>
  <c r="N83" i="11"/>
  <c r="O83" i="11"/>
  <c r="P83" i="11"/>
  <c r="K84" i="11"/>
  <c r="L84" i="11"/>
  <c r="M84" i="11"/>
  <c r="N84" i="11"/>
  <c r="O84" i="11"/>
  <c r="P84" i="11"/>
  <c r="K85" i="11"/>
  <c r="L85" i="11"/>
  <c r="M85" i="11"/>
  <c r="N85" i="11"/>
  <c r="O85" i="11"/>
  <c r="P85" i="11"/>
  <c r="K86" i="11"/>
  <c r="L86" i="11"/>
  <c r="M86" i="11"/>
  <c r="N86" i="11"/>
  <c r="O86" i="11"/>
  <c r="P86" i="11"/>
  <c r="K87" i="11"/>
  <c r="L87" i="11"/>
  <c r="M87" i="11"/>
  <c r="N87" i="11"/>
  <c r="O87" i="11"/>
  <c r="P87" i="11"/>
  <c r="K88" i="11"/>
  <c r="L88" i="11"/>
  <c r="M88" i="11"/>
  <c r="N88" i="11"/>
  <c r="O88" i="11"/>
  <c r="P88" i="11"/>
  <c r="K89" i="11"/>
  <c r="L89" i="11"/>
  <c r="M89" i="11"/>
  <c r="N89" i="11"/>
  <c r="O89" i="11"/>
  <c r="P89" i="11"/>
  <c r="K90" i="11"/>
  <c r="L90" i="11"/>
  <c r="M90" i="11"/>
  <c r="N90" i="11"/>
  <c r="O90" i="11"/>
  <c r="P90" i="11"/>
  <c r="K91" i="11"/>
  <c r="L91" i="11"/>
  <c r="M91" i="11"/>
  <c r="N91" i="11"/>
  <c r="O91" i="11"/>
  <c r="P91" i="11"/>
  <c r="K92" i="11"/>
  <c r="L92" i="11"/>
  <c r="M92" i="11"/>
  <c r="N92" i="11"/>
  <c r="O92" i="11"/>
  <c r="P92" i="11"/>
  <c r="K93" i="11"/>
  <c r="L93" i="11"/>
  <c r="M93" i="11"/>
  <c r="N93" i="11"/>
  <c r="O93" i="11"/>
  <c r="P93" i="11"/>
  <c r="K94" i="11"/>
  <c r="L94" i="11"/>
  <c r="M94" i="11"/>
  <c r="N94" i="11"/>
  <c r="O94" i="11"/>
  <c r="P94" i="11"/>
  <c r="K95" i="11"/>
  <c r="L95" i="11"/>
  <c r="M95" i="11"/>
  <c r="N95" i="11"/>
  <c r="O95" i="11"/>
  <c r="P95" i="11"/>
  <c r="K96" i="11"/>
  <c r="L96" i="11"/>
  <c r="M96" i="11"/>
  <c r="N96" i="11"/>
  <c r="O96" i="11"/>
  <c r="P96" i="11"/>
  <c r="K97" i="11"/>
  <c r="L97" i="11"/>
  <c r="M97" i="11"/>
  <c r="N97" i="11"/>
  <c r="O97" i="11"/>
  <c r="P97" i="11"/>
  <c r="K98" i="11"/>
  <c r="L98" i="11"/>
  <c r="M98" i="11"/>
  <c r="N98" i="11"/>
  <c r="O98" i="11"/>
  <c r="P98" i="11"/>
  <c r="K99" i="11"/>
  <c r="L99" i="11"/>
  <c r="M99" i="11"/>
  <c r="N99" i="11"/>
  <c r="O99" i="11"/>
  <c r="P99" i="11"/>
  <c r="K100" i="11"/>
  <c r="L100" i="11"/>
  <c r="M100" i="11"/>
  <c r="N100" i="11"/>
  <c r="O100" i="11"/>
  <c r="P100" i="11"/>
  <c r="K101" i="11"/>
  <c r="L101" i="11"/>
  <c r="M101" i="11"/>
  <c r="N101" i="11"/>
  <c r="O101" i="11"/>
  <c r="P101" i="11"/>
  <c r="K102" i="11"/>
  <c r="L102" i="11"/>
  <c r="M102" i="11"/>
  <c r="N102" i="11"/>
  <c r="O102" i="11"/>
  <c r="P102" i="11"/>
  <c r="K103" i="11"/>
  <c r="L103" i="11"/>
  <c r="M103" i="11"/>
  <c r="N103" i="11"/>
  <c r="O103" i="11"/>
  <c r="P103" i="11"/>
  <c r="K104" i="11"/>
  <c r="L104" i="11"/>
  <c r="M104" i="11"/>
  <c r="N104" i="11"/>
  <c r="O104" i="11"/>
  <c r="P104" i="11"/>
  <c r="K105" i="11"/>
  <c r="L105" i="11"/>
  <c r="M105" i="11"/>
  <c r="N105" i="11"/>
  <c r="O105" i="11"/>
  <c r="P105" i="11"/>
  <c r="K106" i="11"/>
  <c r="L106" i="11"/>
  <c r="M106" i="11"/>
  <c r="N106" i="11"/>
  <c r="O106" i="11"/>
  <c r="P106" i="11"/>
  <c r="L7" i="11"/>
  <c r="M7" i="11"/>
  <c r="N7" i="11"/>
  <c r="O7" i="11"/>
  <c r="P7" i="11"/>
  <c r="K7" i="11"/>
  <c r="K5" i="11"/>
  <c r="AI16" i="11" s="1"/>
  <c r="S6" i="1"/>
  <c r="AD8" i="9"/>
  <c r="S7" i="1" s="1"/>
  <c r="AD9" i="9"/>
  <c r="S8" i="1" s="1"/>
  <c r="AD10" i="9"/>
  <c r="S9" i="1" s="1"/>
  <c r="AD11" i="9"/>
  <c r="S10" i="1" s="1"/>
  <c r="AD12" i="9"/>
  <c r="S11" i="1" s="1"/>
  <c r="AD13" i="9"/>
  <c r="S12" i="1" s="1"/>
  <c r="AD14" i="9"/>
  <c r="S13" i="1" s="1"/>
  <c r="AD15" i="9"/>
  <c r="S14" i="1" s="1"/>
  <c r="AD16" i="9"/>
  <c r="S15" i="1" s="1"/>
  <c r="AD17" i="9"/>
  <c r="S16" i="1" s="1"/>
  <c r="AD18" i="9"/>
  <c r="S17" i="1" s="1"/>
  <c r="AD19" i="9"/>
  <c r="S18" i="1" s="1"/>
  <c r="AD20" i="9"/>
  <c r="S19" i="1" s="1"/>
  <c r="AD21" i="9"/>
  <c r="S20" i="1" s="1"/>
  <c r="AD22" i="9"/>
  <c r="S21" i="1" s="1"/>
  <c r="AD23" i="9"/>
  <c r="S22" i="1" s="1"/>
  <c r="AD24" i="9"/>
  <c r="S23" i="1" s="1"/>
  <c r="AD25" i="9"/>
  <c r="S24" i="1" s="1"/>
  <c r="AD26" i="9"/>
  <c r="S25" i="1" s="1"/>
  <c r="AD27" i="9"/>
  <c r="S26" i="1" s="1"/>
  <c r="AD28" i="9"/>
  <c r="S27" i="1" s="1"/>
  <c r="AD29" i="9"/>
  <c r="S28" i="1" s="1"/>
  <c r="AD30" i="9"/>
  <c r="S29" i="1" s="1"/>
  <c r="AD31" i="9"/>
  <c r="S30" i="1" s="1"/>
  <c r="AD32" i="9"/>
  <c r="S31" i="1" s="1"/>
  <c r="AD33" i="9"/>
  <c r="S32" i="1" s="1"/>
  <c r="AD34" i="9"/>
  <c r="S33" i="1" s="1"/>
  <c r="AD35" i="9"/>
  <c r="S34" i="1" s="1"/>
  <c r="AD36" i="9"/>
  <c r="S35" i="1" s="1"/>
  <c r="AD37" i="9"/>
  <c r="S36" i="1" s="1"/>
  <c r="AD38" i="9"/>
  <c r="S37" i="1" s="1"/>
  <c r="AD39" i="9"/>
  <c r="S38" i="1" s="1"/>
  <c r="AD40" i="9"/>
  <c r="S39" i="1" s="1"/>
  <c r="AD41" i="9"/>
  <c r="S40" i="1" s="1"/>
  <c r="AD42" i="9"/>
  <c r="S41" i="1" s="1"/>
  <c r="AD43" i="9"/>
  <c r="S42" i="1" s="1"/>
  <c r="AD44" i="9"/>
  <c r="S43" i="1" s="1"/>
  <c r="AD45" i="9"/>
  <c r="S44" i="1" s="1"/>
  <c r="AD46" i="9"/>
  <c r="S45" i="1" s="1"/>
  <c r="AD47" i="9"/>
  <c r="S46" i="1" s="1"/>
  <c r="AD48" i="9"/>
  <c r="S47" i="1" s="1"/>
  <c r="AD49" i="9"/>
  <c r="S48" i="1" s="1"/>
  <c r="AD50" i="9"/>
  <c r="S49" i="1" s="1"/>
  <c r="AD51" i="9"/>
  <c r="S50" i="1" s="1"/>
  <c r="AD52" i="9"/>
  <c r="S51" i="1" s="1"/>
  <c r="AD53" i="9"/>
  <c r="S52" i="1" s="1"/>
  <c r="AD54" i="9"/>
  <c r="S53" i="1" s="1"/>
  <c r="AD55" i="9"/>
  <c r="S54" i="1" s="1"/>
  <c r="AD56" i="9"/>
  <c r="S55" i="1" s="1"/>
  <c r="AD57" i="9"/>
  <c r="S56" i="1" s="1"/>
  <c r="AD58" i="9"/>
  <c r="S57" i="1" s="1"/>
  <c r="AD59" i="9"/>
  <c r="S58" i="1" s="1"/>
  <c r="AD60" i="9"/>
  <c r="S59" i="1" s="1"/>
  <c r="AD61" i="9"/>
  <c r="S60" i="1" s="1"/>
  <c r="AD62" i="9"/>
  <c r="S61" i="1" s="1"/>
  <c r="AD63" i="9"/>
  <c r="S62" i="1" s="1"/>
  <c r="AD64" i="9"/>
  <c r="S63" i="1" s="1"/>
  <c r="AD65" i="9"/>
  <c r="S64" i="1" s="1"/>
  <c r="AD66" i="9"/>
  <c r="S65" i="1" s="1"/>
  <c r="AD67" i="9"/>
  <c r="S66" i="1" s="1"/>
  <c r="AD68" i="9"/>
  <c r="S67" i="1" s="1"/>
  <c r="AD69" i="9"/>
  <c r="S68" i="1" s="1"/>
  <c r="AD70" i="9"/>
  <c r="S69" i="1" s="1"/>
  <c r="AD71" i="9"/>
  <c r="S70" i="1" s="1"/>
  <c r="AD72" i="9"/>
  <c r="S71" i="1" s="1"/>
  <c r="AD73" i="9"/>
  <c r="S72" i="1" s="1"/>
  <c r="AD74" i="9"/>
  <c r="S73" i="1" s="1"/>
  <c r="AD75" i="9"/>
  <c r="S74" i="1" s="1"/>
  <c r="AD76" i="9"/>
  <c r="S75" i="1" s="1"/>
  <c r="AD77" i="9"/>
  <c r="S76" i="1" s="1"/>
  <c r="AD78" i="9"/>
  <c r="S77" i="1" s="1"/>
  <c r="AD79" i="9"/>
  <c r="S78" i="1" s="1"/>
  <c r="AD80" i="9"/>
  <c r="S79" i="1" s="1"/>
  <c r="AD81" i="9"/>
  <c r="S80" i="1" s="1"/>
  <c r="AD82" i="9"/>
  <c r="S81" i="1" s="1"/>
  <c r="AD83" i="9"/>
  <c r="S82" i="1" s="1"/>
  <c r="AD84" i="9"/>
  <c r="S83" i="1" s="1"/>
  <c r="AD85" i="9"/>
  <c r="S84" i="1" s="1"/>
  <c r="AD86" i="9"/>
  <c r="S85" i="1" s="1"/>
  <c r="AD87" i="9"/>
  <c r="S86" i="1" s="1"/>
  <c r="AD88" i="9"/>
  <c r="S87" i="1" s="1"/>
  <c r="AD89" i="9"/>
  <c r="S88" i="1" s="1"/>
  <c r="AD90" i="9"/>
  <c r="S89" i="1" s="1"/>
  <c r="AD91" i="9"/>
  <c r="S90" i="1" s="1"/>
  <c r="AD92" i="9"/>
  <c r="S91" i="1" s="1"/>
  <c r="AD93" i="9"/>
  <c r="S92" i="1" s="1"/>
  <c r="AD94" i="9"/>
  <c r="S93" i="1" s="1"/>
  <c r="AD95" i="9"/>
  <c r="S94" i="1" s="1"/>
  <c r="AD96" i="9"/>
  <c r="S95" i="1" s="1"/>
  <c r="AD97" i="9"/>
  <c r="S96" i="1" s="1"/>
  <c r="AD98" i="9"/>
  <c r="S97" i="1" s="1"/>
  <c r="AD99" i="9"/>
  <c r="S98" i="1" s="1"/>
  <c r="AD100" i="9"/>
  <c r="S99" i="1" s="1"/>
  <c r="AD101" i="9"/>
  <c r="S100" i="1" s="1"/>
  <c r="AD102" i="9"/>
  <c r="S101" i="1" s="1"/>
  <c r="AD103" i="9"/>
  <c r="S102" i="1" s="1"/>
  <c r="AD104" i="9"/>
  <c r="S103" i="1" s="1"/>
  <c r="AD105" i="9"/>
  <c r="S104" i="1" s="1"/>
  <c r="Y106" i="1" l="1"/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F3" i="4" l="1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2" i="4"/>
  <c r="G2" i="4" s="1"/>
  <c r="O6" i="1"/>
  <c r="D7" i="11" l="1"/>
  <c r="E7" i="11"/>
  <c r="F7" i="11"/>
  <c r="G7" i="11"/>
  <c r="H7" i="11"/>
  <c r="D8" i="11"/>
  <c r="E8" i="11"/>
  <c r="F8" i="11"/>
  <c r="G8" i="11"/>
  <c r="H8" i="11"/>
  <c r="D9" i="11"/>
  <c r="E9" i="11"/>
  <c r="F9" i="11"/>
  <c r="G9" i="11"/>
  <c r="H9" i="11"/>
  <c r="D10" i="11"/>
  <c r="E10" i="11"/>
  <c r="F10" i="11"/>
  <c r="G10" i="11"/>
  <c r="H10" i="11"/>
  <c r="D11" i="11"/>
  <c r="E11" i="11"/>
  <c r="F11" i="11"/>
  <c r="G11" i="11"/>
  <c r="H11" i="11"/>
  <c r="D12" i="11"/>
  <c r="E12" i="11"/>
  <c r="F12" i="11"/>
  <c r="G12" i="11"/>
  <c r="H12" i="11"/>
  <c r="D13" i="11"/>
  <c r="E13" i="11"/>
  <c r="F13" i="11"/>
  <c r="G13" i="11"/>
  <c r="H13" i="11"/>
  <c r="D14" i="11"/>
  <c r="E14" i="11"/>
  <c r="F14" i="11"/>
  <c r="G14" i="11"/>
  <c r="H14" i="11"/>
  <c r="D15" i="11"/>
  <c r="E15" i="11"/>
  <c r="F15" i="11"/>
  <c r="G15" i="11"/>
  <c r="H15" i="11"/>
  <c r="D16" i="11"/>
  <c r="E16" i="11"/>
  <c r="F16" i="11"/>
  <c r="G16" i="11"/>
  <c r="H16" i="11"/>
  <c r="D17" i="11"/>
  <c r="E17" i="11"/>
  <c r="F17" i="11"/>
  <c r="G17" i="11"/>
  <c r="H17" i="11"/>
  <c r="D18" i="11"/>
  <c r="E18" i="11"/>
  <c r="F18" i="11"/>
  <c r="G18" i="11"/>
  <c r="H18" i="11"/>
  <c r="D19" i="11"/>
  <c r="E19" i="11"/>
  <c r="F19" i="11"/>
  <c r="G19" i="11"/>
  <c r="H19" i="11"/>
  <c r="D20" i="11"/>
  <c r="E20" i="11"/>
  <c r="F20" i="11"/>
  <c r="G20" i="11"/>
  <c r="H20" i="11"/>
  <c r="D21" i="11"/>
  <c r="E21" i="11"/>
  <c r="F21" i="11"/>
  <c r="G21" i="11"/>
  <c r="H21" i="11"/>
  <c r="D22" i="11"/>
  <c r="E22" i="11"/>
  <c r="F22" i="11"/>
  <c r="G22" i="11"/>
  <c r="H22" i="11"/>
  <c r="D23" i="11"/>
  <c r="E23" i="11"/>
  <c r="F23" i="11"/>
  <c r="G23" i="11"/>
  <c r="H23" i="11"/>
  <c r="D24" i="11"/>
  <c r="E24" i="11"/>
  <c r="F24" i="11"/>
  <c r="G24" i="11"/>
  <c r="H24" i="11"/>
  <c r="D25" i="11"/>
  <c r="E25" i="11"/>
  <c r="F25" i="11"/>
  <c r="G25" i="11"/>
  <c r="H25" i="11"/>
  <c r="D26" i="11"/>
  <c r="E26" i="11"/>
  <c r="F26" i="11"/>
  <c r="G26" i="11"/>
  <c r="H26" i="11"/>
  <c r="D27" i="11"/>
  <c r="E27" i="11"/>
  <c r="F27" i="11"/>
  <c r="G27" i="11"/>
  <c r="H27" i="11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D32" i="11"/>
  <c r="E32" i="11"/>
  <c r="F32" i="11"/>
  <c r="G32" i="11"/>
  <c r="H32" i="11"/>
  <c r="D33" i="11"/>
  <c r="E33" i="11"/>
  <c r="F33" i="11"/>
  <c r="G33" i="11"/>
  <c r="H33" i="11"/>
  <c r="D34" i="11"/>
  <c r="E34" i="11"/>
  <c r="F34" i="11"/>
  <c r="G34" i="11"/>
  <c r="H34" i="11"/>
  <c r="D35" i="11"/>
  <c r="E35" i="11"/>
  <c r="F35" i="11"/>
  <c r="G35" i="11"/>
  <c r="H35" i="11"/>
  <c r="D36" i="11"/>
  <c r="E36" i="11"/>
  <c r="F36" i="11"/>
  <c r="G36" i="11"/>
  <c r="H36" i="11"/>
  <c r="D37" i="11"/>
  <c r="E37" i="11"/>
  <c r="F37" i="11"/>
  <c r="G37" i="11"/>
  <c r="H37" i="11"/>
  <c r="D38" i="11"/>
  <c r="E38" i="11"/>
  <c r="F38" i="11"/>
  <c r="G38" i="11"/>
  <c r="H38" i="11"/>
  <c r="D39" i="11"/>
  <c r="E39" i="11"/>
  <c r="F39" i="11"/>
  <c r="G39" i="11"/>
  <c r="H39" i="11"/>
  <c r="D40" i="11"/>
  <c r="E40" i="11"/>
  <c r="F40" i="11"/>
  <c r="G40" i="11"/>
  <c r="H40" i="11"/>
  <c r="D41" i="11"/>
  <c r="E41" i="11"/>
  <c r="F41" i="11"/>
  <c r="G41" i="11"/>
  <c r="H41" i="11"/>
  <c r="D42" i="11"/>
  <c r="E42" i="11"/>
  <c r="F42" i="11"/>
  <c r="G42" i="11"/>
  <c r="H42" i="11"/>
  <c r="D43" i="11"/>
  <c r="E43" i="11"/>
  <c r="F43" i="11"/>
  <c r="G43" i="11"/>
  <c r="H43" i="11"/>
  <c r="D44" i="11"/>
  <c r="E44" i="11"/>
  <c r="F44" i="11"/>
  <c r="G44" i="11"/>
  <c r="H44" i="11"/>
  <c r="D45" i="11"/>
  <c r="E45" i="11"/>
  <c r="F45" i="11"/>
  <c r="G45" i="11"/>
  <c r="H45" i="11"/>
  <c r="D46" i="11"/>
  <c r="E46" i="11"/>
  <c r="F46" i="11"/>
  <c r="G46" i="11"/>
  <c r="H46" i="11"/>
  <c r="D47" i="11"/>
  <c r="E47" i="11"/>
  <c r="F47" i="11"/>
  <c r="G47" i="11"/>
  <c r="H47" i="11"/>
  <c r="D48" i="11"/>
  <c r="E48" i="11"/>
  <c r="F48" i="11"/>
  <c r="G48" i="11"/>
  <c r="H48" i="11"/>
  <c r="D49" i="11"/>
  <c r="E49" i="11"/>
  <c r="F49" i="11"/>
  <c r="G49" i="11"/>
  <c r="H49" i="11"/>
  <c r="D50" i="11"/>
  <c r="E50" i="11"/>
  <c r="F50" i="11"/>
  <c r="G50" i="11"/>
  <c r="H50" i="11"/>
  <c r="D51" i="11"/>
  <c r="E51" i="11"/>
  <c r="F51" i="11"/>
  <c r="G51" i="11"/>
  <c r="H51" i="11"/>
  <c r="D52" i="11"/>
  <c r="E52" i="11"/>
  <c r="F52" i="11"/>
  <c r="G52" i="11"/>
  <c r="H52" i="11"/>
  <c r="D53" i="11"/>
  <c r="E53" i="11"/>
  <c r="F53" i="11"/>
  <c r="G53" i="11"/>
  <c r="H53" i="11"/>
  <c r="D54" i="11"/>
  <c r="E54" i="11"/>
  <c r="F54" i="11"/>
  <c r="G54" i="11"/>
  <c r="H54" i="11"/>
  <c r="D55" i="11"/>
  <c r="E55" i="11"/>
  <c r="F55" i="11"/>
  <c r="G55" i="11"/>
  <c r="H55" i="11"/>
  <c r="D56" i="11"/>
  <c r="E56" i="11"/>
  <c r="F56" i="11"/>
  <c r="G56" i="11"/>
  <c r="H56" i="11"/>
  <c r="D57" i="11"/>
  <c r="E57" i="11"/>
  <c r="F57" i="11"/>
  <c r="G57" i="11"/>
  <c r="H57" i="11"/>
  <c r="D58" i="11"/>
  <c r="E58" i="11"/>
  <c r="F58" i="11"/>
  <c r="G58" i="11"/>
  <c r="H58" i="11"/>
  <c r="D59" i="11"/>
  <c r="E59" i="11"/>
  <c r="F59" i="11"/>
  <c r="G59" i="11"/>
  <c r="H59" i="11"/>
  <c r="D60" i="11"/>
  <c r="E60" i="11"/>
  <c r="F60" i="11"/>
  <c r="G60" i="11"/>
  <c r="H60" i="11"/>
  <c r="D61" i="11"/>
  <c r="E61" i="11"/>
  <c r="F61" i="11"/>
  <c r="G61" i="11"/>
  <c r="H61" i="11"/>
  <c r="D62" i="11"/>
  <c r="E62" i="11"/>
  <c r="F62" i="11"/>
  <c r="G62" i="11"/>
  <c r="H62" i="11"/>
  <c r="D63" i="11"/>
  <c r="E63" i="11"/>
  <c r="F63" i="11"/>
  <c r="G63" i="11"/>
  <c r="H63" i="11"/>
  <c r="D64" i="11"/>
  <c r="E64" i="11"/>
  <c r="F64" i="11"/>
  <c r="G64" i="11"/>
  <c r="H64" i="11"/>
  <c r="D65" i="11"/>
  <c r="E65" i="11"/>
  <c r="F65" i="11"/>
  <c r="G65" i="11"/>
  <c r="H65" i="11"/>
  <c r="D66" i="11"/>
  <c r="E66" i="11"/>
  <c r="F66" i="11"/>
  <c r="G66" i="11"/>
  <c r="H66" i="11"/>
  <c r="D67" i="11"/>
  <c r="E67" i="11"/>
  <c r="F67" i="11"/>
  <c r="G67" i="11"/>
  <c r="H67" i="11"/>
  <c r="D68" i="11"/>
  <c r="E68" i="11"/>
  <c r="F68" i="11"/>
  <c r="G68" i="11"/>
  <c r="H68" i="11"/>
  <c r="D69" i="11"/>
  <c r="E69" i="11"/>
  <c r="F69" i="11"/>
  <c r="G69" i="11"/>
  <c r="H69" i="11"/>
  <c r="D70" i="11"/>
  <c r="E70" i="11"/>
  <c r="F70" i="11"/>
  <c r="G70" i="11"/>
  <c r="H70" i="11"/>
  <c r="D71" i="11"/>
  <c r="E71" i="11"/>
  <c r="F71" i="11"/>
  <c r="G71" i="11"/>
  <c r="H71" i="11"/>
  <c r="D72" i="11"/>
  <c r="E72" i="11"/>
  <c r="F72" i="11"/>
  <c r="G72" i="11"/>
  <c r="H72" i="11"/>
  <c r="D73" i="11"/>
  <c r="E73" i="11"/>
  <c r="F73" i="11"/>
  <c r="G73" i="11"/>
  <c r="H73" i="11"/>
  <c r="D74" i="11"/>
  <c r="E74" i="11"/>
  <c r="F74" i="11"/>
  <c r="G74" i="11"/>
  <c r="H74" i="11"/>
  <c r="D75" i="11"/>
  <c r="E75" i="11"/>
  <c r="F75" i="11"/>
  <c r="G75" i="11"/>
  <c r="H75" i="11"/>
  <c r="D76" i="11"/>
  <c r="E76" i="11"/>
  <c r="F76" i="11"/>
  <c r="G76" i="11"/>
  <c r="H76" i="11"/>
  <c r="D77" i="11"/>
  <c r="E77" i="11"/>
  <c r="F77" i="11"/>
  <c r="G77" i="11"/>
  <c r="H77" i="11"/>
  <c r="D78" i="11"/>
  <c r="E78" i="11"/>
  <c r="F78" i="11"/>
  <c r="G78" i="11"/>
  <c r="H78" i="11"/>
  <c r="D79" i="11"/>
  <c r="E79" i="11"/>
  <c r="F79" i="11"/>
  <c r="G79" i="11"/>
  <c r="H79" i="11"/>
  <c r="D80" i="11"/>
  <c r="E80" i="11"/>
  <c r="F80" i="11"/>
  <c r="G80" i="11"/>
  <c r="H80" i="11"/>
  <c r="D81" i="11"/>
  <c r="E81" i="11"/>
  <c r="F81" i="11"/>
  <c r="G81" i="11"/>
  <c r="H81" i="11"/>
  <c r="D82" i="11"/>
  <c r="E82" i="11"/>
  <c r="F82" i="11"/>
  <c r="G82" i="11"/>
  <c r="H82" i="11"/>
  <c r="D83" i="11"/>
  <c r="E83" i="11"/>
  <c r="F83" i="11"/>
  <c r="G83" i="11"/>
  <c r="H83" i="11"/>
  <c r="D84" i="11"/>
  <c r="E84" i="11"/>
  <c r="F84" i="11"/>
  <c r="G84" i="11"/>
  <c r="H84" i="11"/>
  <c r="D85" i="11"/>
  <c r="E85" i="11"/>
  <c r="F85" i="11"/>
  <c r="G85" i="11"/>
  <c r="H85" i="11"/>
  <c r="D86" i="11"/>
  <c r="E86" i="11"/>
  <c r="F86" i="11"/>
  <c r="G86" i="11"/>
  <c r="H86" i="11"/>
  <c r="D87" i="11"/>
  <c r="E87" i="11"/>
  <c r="F87" i="11"/>
  <c r="G87" i="11"/>
  <c r="H87" i="11"/>
  <c r="D88" i="11"/>
  <c r="E88" i="11"/>
  <c r="F88" i="11"/>
  <c r="G88" i="11"/>
  <c r="H88" i="11"/>
  <c r="D89" i="11"/>
  <c r="E89" i="11"/>
  <c r="F89" i="11"/>
  <c r="G89" i="11"/>
  <c r="H89" i="11"/>
  <c r="D90" i="11"/>
  <c r="E90" i="11"/>
  <c r="F90" i="11"/>
  <c r="G90" i="11"/>
  <c r="H90" i="11"/>
  <c r="D91" i="11"/>
  <c r="E91" i="11"/>
  <c r="F91" i="11"/>
  <c r="G91" i="11"/>
  <c r="H91" i="11"/>
  <c r="D92" i="11"/>
  <c r="E92" i="11"/>
  <c r="F92" i="11"/>
  <c r="G92" i="11"/>
  <c r="H92" i="11"/>
  <c r="D93" i="11"/>
  <c r="E93" i="11"/>
  <c r="F93" i="11"/>
  <c r="G93" i="11"/>
  <c r="H93" i="11"/>
  <c r="D94" i="11"/>
  <c r="E94" i="11"/>
  <c r="F94" i="11"/>
  <c r="G94" i="11"/>
  <c r="H94" i="11"/>
  <c r="D95" i="11"/>
  <c r="E95" i="11"/>
  <c r="F95" i="11"/>
  <c r="G95" i="11"/>
  <c r="H95" i="11"/>
  <c r="D96" i="11"/>
  <c r="E96" i="11"/>
  <c r="F96" i="11"/>
  <c r="G96" i="11"/>
  <c r="H96" i="11"/>
  <c r="D97" i="11"/>
  <c r="E97" i="11"/>
  <c r="F97" i="11"/>
  <c r="G97" i="11"/>
  <c r="H97" i="11"/>
  <c r="D98" i="11"/>
  <c r="E98" i="11"/>
  <c r="F98" i="11"/>
  <c r="G98" i="11"/>
  <c r="H98" i="11"/>
  <c r="D99" i="11"/>
  <c r="E99" i="11"/>
  <c r="F99" i="11"/>
  <c r="G99" i="11"/>
  <c r="H99" i="11"/>
  <c r="D100" i="11"/>
  <c r="E100" i="11"/>
  <c r="F100" i="11"/>
  <c r="G100" i="11"/>
  <c r="H100" i="11"/>
  <c r="D101" i="11"/>
  <c r="E101" i="11"/>
  <c r="F101" i="11"/>
  <c r="G101" i="11"/>
  <c r="H101" i="11"/>
  <c r="D102" i="11"/>
  <c r="E102" i="11"/>
  <c r="F102" i="11"/>
  <c r="G102" i="11"/>
  <c r="H102" i="11"/>
  <c r="D103" i="11"/>
  <c r="E103" i="11"/>
  <c r="F103" i="11"/>
  <c r="G103" i="11"/>
  <c r="H103" i="11"/>
  <c r="D104" i="11"/>
  <c r="E104" i="11"/>
  <c r="F104" i="11"/>
  <c r="G104" i="11"/>
  <c r="H104" i="11"/>
  <c r="D105" i="11"/>
  <c r="E105" i="11"/>
  <c r="F105" i="11"/>
  <c r="G105" i="11"/>
  <c r="H105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7" i="11"/>
  <c r="D5" i="11"/>
  <c r="AI8" i="11" s="1"/>
  <c r="E5" i="11"/>
  <c r="AI9" i="11" s="1"/>
  <c r="F5" i="11"/>
  <c r="AI10" i="11" s="1"/>
  <c r="G5" i="11"/>
  <c r="AI11" i="11" s="1"/>
  <c r="H5" i="11"/>
  <c r="AI12" i="11" s="1"/>
  <c r="C5" i="11"/>
  <c r="AI7" i="11" s="1"/>
  <c r="A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7" i="11"/>
  <c r="C4" i="11"/>
  <c r="AC101" i="9"/>
  <c r="AC102" i="9"/>
  <c r="AC103" i="9"/>
  <c r="AC104" i="9"/>
  <c r="AC105" i="9"/>
  <c r="AC106" i="9"/>
  <c r="K6" i="1"/>
  <c r="B7" i="1" l="1"/>
  <c r="O7" i="1" s="1"/>
  <c r="AD5" i="1"/>
  <c r="AA5" i="1"/>
  <c r="AB5" i="1" s="1"/>
  <c r="O8" i="1"/>
  <c r="O9" i="1"/>
  <c r="O10" i="1"/>
  <c r="O11" i="1"/>
  <c r="O12" i="1"/>
  <c r="O13" i="1"/>
  <c r="A8" i="11" l="1"/>
  <c r="A11" i="11"/>
  <c r="A12" i="11"/>
  <c r="A14" i="11"/>
  <c r="A10" i="11"/>
  <c r="A13" i="11"/>
  <c r="A9" i="11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D106" i="9" l="1"/>
  <c r="S105" i="1" s="1"/>
  <c r="T6" i="1" l="1"/>
  <c r="U6" i="1" s="1"/>
  <c r="V6" i="1" s="1"/>
  <c r="W6" i="1" s="1"/>
  <c r="G3" i="10"/>
  <c r="T7" i="1" s="1"/>
  <c r="U7" i="1" s="1"/>
  <c r="V7" i="1" s="1"/>
  <c r="W7" i="1" s="1"/>
  <c r="G4" i="10"/>
  <c r="T8" i="1" s="1"/>
  <c r="U8" i="1" s="1"/>
  <c r="V8" i="1" s="1"/>
  <c r="W8" i="1" s="1"/>
  <c r="G5" i="10"/>
  <c r="T9" i="1" s="1"/>
  <c r="U9" i="1" s="1"/>
  <c r="V9" i="1" s="1"/>
  <c r="W9" i="1" s="1"/>
  <c r="G6" i="10"/>
  <c r="T10" i="1" s="1"/>
  <c r="U10" i="1" s="1"/>
  <c r="V10" i="1" s="1"/>
  <c r="W10" i="1" s="1"/>
  <c r="G7" i="10"/>
  <c r="T11" i="1" s="1"/>
  <c r="U11" i="1" s="1"/>
  <c r="V11" i="1" s="1"/>
  <c r="W11" i="1" s="1"/>
  <c r="G8" i="10"/>
  <c r="T12" i="1" s="1"/>
  <c r="U12" i="1" s="1"/>
  <c r="V12" i="1" s="1"/>
  <c r="W12" i="1" s="1"/>
  <c r="G9" i="10"/>
  <c r="T13" i="1" s="1"/>
  <c r="U13" i="1" s="1"/>
  <c r="V13" i="1" s="1"/>
  <c r="W13" i="1" s="1"/>
  <c r="G10" i="10"/>
  <c r="T14" i="1" s="1"/>
  <c r="U14" i="1" s="1"/>
  <c r="V14" i="1" s="1"/>
  <c r="W14" i="1" s="1"/>
  <c r="G11" i="10"/>
  <c r="T15" i="1" s="1"/>
  <c r="U15" i="1" s="1"/>
  <c r="V15" i="1" s="1"/>
  <c r="W15" i="1" s="1"/>
  <c r="G12" i="10"/>
  <c r="T16" i="1" s="1"/>
  <c r="U16" i="1" s="1"/>
  <c r="V16" i="1" s="1"/>
  <c r="W16" i="1" s="1"/>
  <c r="G13" i="10"/>
  <c r="T17" i="1" s="1"/>
  <c r="U17" i="1" s="1"/>
  <c r="V17" i="1" s="1"/>
  <c r="W17" i="1" s="1"/>
  <c r="G14" i="10"/>
  <c r="T18" i="1" s="1"/>
  <c r="U18" i="1" s="1"/>
  <c r="V18" i="1" s="1"/>
  <c r="W18" i="1" s="1"/>
  <c r="G15" i="10"/>
  <c r="T19" i="1" s="1"/>
  <c r="U19" i="1" s="1"/>
  <c r="V19" i="1" s="1"/>
  <c r="W19" i="1" s="1"/>
  <c r="G16" i="10"/>
  <c r="T20" i="1" s="1"/>
  <c r="U20" i="1" s="1"/>
  <c r="V20" i="1" s="1"/>
  <c r="W20" i="1" s="1"/>
  <c r="G17" i="10"/>
  <c r="T21" i="1" s="1"/>
  <c r="U21" i="1" s="1"/>
  <c r="V21" i="1" s="1"/>
  <c r="W21" i="1" s="1"/>
  <c r="G18" i="10"/>
  <c r="T22" i="1" s="1"/>
  <c r="U22" i="1" s="1"/>
  <c r="V22" i="1" s="1"/>
  <c r="W22" i="1" s="1"/>
  <c r="G19" i="10"/>
  <c r="T23" i="1" s="1"/>
  <c r="U23" i="1" s="1"/>
  <c r="V23" i="1" s="1"/>
  <c r="W23" i="1" s="1"/>
  <c r="G20" i="10"/>
  <c r="T24" i="1" s="1"/>
  <c r="U24" i="1" s="1"/>
  <c r="V24" i="1" s="1"/>
  <c r="W24" i="1" s="1"/>
  <c r="G21" i="10"/>
  <c r="T25" i="1" s="1"/>
  <c r="U25" i="1" s="1"/>
  <c r="V25" i="1" s="1"/>
  <c r="W25" i="1" s="1"/>
  <c r="G22" i="10"/>
  <c r="T26" i="1" s="1"/>
  <c r="U26" i="1" s="1"/>
  <c r="V26" i="1" s="1"/>
  <c r="W26" i="1" s="1"/>
  <c r="G23" i="10"/>
  <c r="T27" i="1" s="1"/>
  <c r="U27" i="1" s="1"/>
  <c r="V27" i="1" s="1"/>
  <c r="W27" i="1" s="1"/>
  <c r="G24" i="10"/>
  <c r="T28" i="1" s="1"/>
  <c r="U28" i="1" s="1"/>
  <c r="V28" i="1" s="1"/>
  <c r="W28" i="1" s="1"/>
  <c r="G25" i="10"/>
  <c r="T29" i="1" s="1"/>
  <c r="U29" i="1" s="1"/>
  <c r="V29" i="1" s="1"/>
  <c r="W29" i="1" s="1"/>
  <c r="G26" i="10"/>
  <c r="T30" i="1" s="1"/>
  <c r="U30" i="1" s="1"/>
  <c r="V30" i="1" s="1"/>
  <c r="W30" i="1" s="1"/>
  <c r="G27" i="10"/>
  <c r="T31" i="1" s="1"/>
  <c r="U31" i="1" s="1"/>
  <c r="V31" i="1" s="1"/>
  <c r="W31" i="1" s="1"/>
  <c r="G28" i="10"/>
  <c r="T32" i="1" s="1"/>
  <c r="U32" i="1" s="1"/>
  <c r="V32" i="1" s="1"/>
  <c r="W32" i="1" s="1"/>
  <c r="G29" i="10"/>
  <c r="T33" i="1" s="1"/>
  <c r="U33" i="1" s="1"/>
  <c r="V33" i="1" s="1"/>
  <c r="W33" i="1" s="1"/>
  <c r="G30" i="10"/>
  <c r="T34" i="1" s="1"/>
  <c r="U34" i="1" s="1"/>
  <c r="V34" i="1" s="1"/>
  <c r="W34" i="1" s="1"/>
  <c r="G31" i="10"/>
  <c r="T35" i="1" s="1"/>
  <c r="U35" i="1" s="1"/>
  <c r="V35" i="1" s="1"/>
  <c r="W35" i="1" s="1"/>
  <c r="G32" i="10"/>
  <c r="T36" i="1" s="1"/>
  <c r="U36" i="1" s="1"/>
  <c r="V36" i="1" s="1"/>
  <c r="W36" i="1" s="1"/>
  <c r="G33" i="10"/>
  <c r="T37" i="1" s="1"/>
  <c r="U37" i="1" s="1"/>
  <c r="V37" i="1" s="1"/>
  <c r="W37" i="1" s="1"/>
  <c r="G34" i="10"/>
  <c r="T38" i="1" s="1"/>
  <c r="U38" i="1" s="1"/>
  <c r="V38" i="1" s="1"/>
  <c r="W38" i="1" s="1"/>
  <c r="G35" i="10"/>
  <c r="T39" i="1" s="1"/>
  <c r="U39" i="1" s="1"/>
  <c r="V39" i="1" s="1"/>
  <c r="W39" i="1" s="1"/>
  <c r="G36" i="10"/>
  <c r="T40" i="1" s="1"/>
  <c r="U40" i="1" s="1"/>
  <c r="V40" i="1" s="1"/>
  <c r="W40" i="1" s="1"/>
  <c r="G37" i="10"/>
  <c r="T41" i="1" s="1"/>
  <c r="U41" i="1" s="1"/>
  <c r="V41" i="1" s="1"/>
  <c r="W41" i="1" s="1"/>
  <c r="G38" i="10"/>
  <c r="T42" i="1" s="1"/>
  <c r="U42" i="1" s="1"/>
  <c r="V42" i="1" s="1"/>
  <c r="W42" i="1" s="1"/>
  <c r="G39" i="10"/>
  <c r="T43" i="1" s="1"/>
  <c r="U43" i="1" s="1"/>
  <c r="V43" i="1" s="1"/>
  <c r="W43" i="1" s="1"/>
  <c r="G40" i="10"/>
  <c r="T44" i="1" s="1"/>
  <c r="U44" i="1" s="1"/>
  <c r="V44" i="1" s="1"/>
  <c r="W44" i="1" s="1"/>
  <c r="G41" i="10"/>
  <c r="T45" i="1" s="1"/>
  <c r="U45" i="1" s="1"/>
  <c r="V45" i="1" s="1"/>
  <c r="W45" i="1" s="1"/>
  <c r="G42" i="10"/>
  <c r="T46" i="1" s="1"/>
  <c r="U46" i="1" s="1"/>
  <c r="V46" i="1" s="1"/>
  <c r="W46" i="1" s="1"/>
  <c r="G43" i="10"/>
  <c r="T47" i="1" s="1"/>
  <c r="U47" i="1" s="1"/>
  <c r="V47" i="1" s="1"/>
  <c r="W47" i="1" s="1"/>
  <c r="G44" i="10"/>
  <c r="T48" i="1" s="1"/>
  <c r="U48" i="1" s="1"/>
  <c r="V48" i="1" s="1"/>
  <c r="W48" i="1" s="1"/>
  <c r="G45" i="10"/>
  <c r="T49" i="1" s="1"/>
  <c r="U49" i="1" s="1"/>
  <c r="V49" i="1" s="1"/>
  <c r="W49" i="1" s="1"/>
  <c r="G46" i="10"/>
  <c r="T50" i="1" s="1"/>
  <c r="U50" i="1" s="1"/>
  <c r="V50" i="1" s="1"/>
  <c r="W50" i="1" s="1"/>
  <c r="G47" i="10"/>
  <c r="T51" i="1" s="1"/>
  <c r="U51" i="1" s="1"/>
  <c r="V51" i="1" s="1"/>
  <c r="W51" i="1" s="1"/>
  <c r="G48" i="10"/>
  <c r="T52" i="1" s="1"/>
  <c r="U52" i="1" s="1"/>
  <c r="V52" i="1" s="1"/>
  <c r="W52" i="1" s="1"/>
  <c r="G49" i="10"/>
  <c r="T53" i="1" s="1"/>
  <c r="U53" i="1" s="1"/>
  <c r="V53" i="1" s="1"/>
  <c r="W53" i="1" s="1"/>
  <c r="G50" i="10"/>
  <c r="T54" i="1" s="1"/>
  <c r="U54" i="1" s="1"/>
  <c r="V54" i="1" s="1"/>
  <c r="W54" i="1" s="1"/>
  <c r="G51" i="10"/>
  <c r="T55" i="1" s="1"/>
  <c r="U55" i="1" s="1"/>
  <c r="V55" i="1" s="1"/>
  <c r="W55" i="1" s="1"/>
  <c r="G52" i="10"/>
  <c r="T56" i="1" s="1"/>
  <c r="U56" i="1" s="1"/>
  <c r="V56" i="1" s="1"/>
  <c r="W56" i="1" s="1"/>
  <c r="G53" i="10"/>
  <c r="T57" i="1" s="1"/>
  <c r="U57" i="1" s="1"/>
  <c r="V57" i="1" s="1"/>
  <c r="W57" i="1" s="1"/>
  <c r="G54" i="10"/>
  <c r="T58" i="1" s="1"/>
  <c r="U58" i="1" s="1"/>
  <c r="V58" i="1" s="1"/>
  <c r="W58" i="1" s="1"/>
  <c r="G55" i="10"/>
  <c r="T59" i="1" s="1"/>
  <c r="U59" i="1" s="1"/>
  <c r="V59" i="1" s="1"/>
  <c r="W59" i="1" s="1"/>
  <c r="G56" i="10"/>
  <c r="T60" i="1" s="1"/>
  <c r="U60" i="1" s="1"/>
  <c r="V60" i="1" s="1"/>
  <c r="W60" i="1" s="1"/>
  <c r="G57" i="10"/>
  <c r="T61" i="1" s="1"/>
  <c r="U61" i="1" s="1"/>
  <c r="V61" i="1" s="1"/>
  <c r="W61" i="1" s="1"/>
  <c r="G58" i="10"/>
  <c r="T62" i="1" s="1"/>
  <c r="U62" i="1" s="1"/>
  <c r="V62" i="1" s="1"/>
  <c r="W62" i="1" s="1"/>
  <c r="G59" i="10"/>
  <c r="T63" i="1" s="1"/>
  <c r="U63" i="1" s="1"/>
  <c r="V63" i="1" s="1"/>
  <c r="W63" i="1" s="1"/>
  <c r="G60" i="10"/>
  <c r="T64" i="1" s="1"/>
  <c r="U64" i="1" s="1"/>
  <c r="V64" i="1" s="1"/>
  <c r="W64" i="1" s="1"/>
  <c r="G61" i="10"/>
  <c r="T65" i="1" s="1"/>
  <c r="U65" i="1" s="1"/>
  <c r="V65" i="1" s="1"/>
  <c r="W65" i="1" s="1"/>
  <c r="G62" i="10"/>
  <c r="T66" i="1" s="1"/>
  <c r="U66" i="1" s="1"/>
  <c r="V66" i="1" s="1"/>
  <c r="W66" i="1" s="1"/>
  <c r="G63" i="10"/>
  <c r="T67" i="1" s="1"/>
  <c r="U67" i="1" s="1"/>
  <c r="V67" i="1" s="1"/>
  <c r="W67" i="1" s="1"/>
  <c r="G64" i="10"/>
  <c r="T68" i="1" s="1"/>
  <c r="U68" i="1" s="1"/>
  <c r="V68" i="1" s="1"/>
  <c r="W68" i="1" s="1"/>
  <c r="G65" i="10"/>
  <c r="T69" i="1" s="1"/>
  <c r="U69" i="1" s="1"/>
  <c r="V69" i="1" s="1"/>
  <c r="W69" i="1" s="1"/>
  <c r="G66" i="10"/>
  <c r="T70" i="1" s="1"/>
  <c r="U70" i="1" s="1"/>
  <c r="V70" i="1" s="1"/>
  <c r="W70" i="1" s="1"/>
  <c r="G67" i="10"/>
  <c r="T71" i="1" s="1"/>
  <c r="U71" i="1" s="1"/>
  <c r="V71" i="1" s="1"/>
  <c r="W71" i="1" s="1"/>
  <c r="G68" i="10"/>
  <c r="T72" i="1" s="1"/>
  <c r="U72" i="1" s="1"/>
  <c r="V72" i="1" s="1"/>
  <c r="W72" i="1" s="1"/>
  <c r="G69" i="10"/>
  <c r="T73" i="1" s="1"/>
  <c r="U73" i="1" s="1"/>
  <c r="V73" i="1" s="1"/>
  <c r="W73" i="1" s="1"/>
  <c r="G70" i="10"/>
  <c r="T74" i="1" s="1"/>
  <c r="U74" i="1" s="1"/>
  <c r="V74" i="1" s="1"/>
  <c r="W74" i="1" s="1"/>
  <c r="G71" i="10"/>
  <c r="T75" i="1" s="1"/>
  <c r="U75" i="1" s="1"/>
  <c r="V75" i="1" s="1"/>
  <c r="W75" i="1" s="1"/>
  <c r="G72" i="10"/>
  <c r="T76" i="1" s="1"/>
  <c r="U76" i="1" s="1"/>
  <c r="V76" i="1" s="1"/>
  <c r="W76" i="1" s="1"/>
  <c r="G73" i="10"/>
  <c r="T77" i="1" s="1"/>
  <c r="U77" i="1" s="1"/>
  <c r="V77" i="1" s="1"/>
  <c r="W77" i="1" s="1"/>
  <c r="G74" i="10"/>
  <c r="T78" i="1" s="1"/>
  <c r="U78" i="1" s="1"/>
  <c r="V78" i="1" s="1"/>
  <c r="W78" i="1" s="1"/>
  <c r="G75" i="10"/>
  <c r="T79" i="1" s="1"/>
  <c r="U79" i="1" s="1"/>
  <c r="V79" i="1" s="1"/>
  <c r="W79" i="1" s="1"/>
  <c r="G76" i="10"/>
  <c r="T80" i="1" s="1"/>
  <c r="U80" i="1" s="1"/>
  <c r="V80" i="1" s="1"/>
  <c r="W80" i="1" s="1"/>
  <c r="G77" i="10"/>
  <c r="T81" i="1" s="1"/>
  <c r="U81" i="1" s="1"/>
  <c r="V81" i="1" s="1"/>
  <c r="W81" i="1" s="1"/>
  <c r="G78" i="10"/>
  <c r="T82" i="1" s="1"/>
  <c r="U82" i="1" s="1"/>
  <c r="V82" i="1" s="1"/>
  <c r="W82" i="1" s="1"/>
  <c r="G79" i="10"/>
  <c r="T83" i="1" s="1"/>
  <c r="U83" i="1" s="1"/>
  <c r="V83" i="1" s="1"/>
  <c r="W83" i="1" s="1"/>
  <c r="G80" i="10"/>
  <c r="T84" i="1" s="1"/>
  <c r="U84" i="1" s="1"/>
  <c r="V84" i="1" s="1"/>
  <c r="W84" i="1" s="1"/>
  <c r="G81" i="10"/>
  <c r="T85" i="1" s="1"/>
  <c r="U85" i="1" s="1"/>
  <c r="V85" i="1" s="1"/>
  <c r="W85" i="1" s="1"/>
  <c r="G82" i="10"/>
  <c r="T86" i="1" s="1"/>
  <c r="U86" i="1" s="1"/>
  <c r="V86" i="1" s="1"/>
  <c r="W86" i="1" s="1"/>
  <c r="G83" i="10"/>
  <c r="T87" i="1" s="1"/>
  <c r="U87" i="1" s="1"/>
  <c r="V87" i="1" s="1"/>
  <c r="W87" i="1" s="1"/>
  <c r="G84" i="10"/>
  <c r="T88" i="1" s="1"/>
  <c r="U88" i="1" s="1"/>
  <c r="V88" i="1" s="1"/>
  <c r="W88" i="1" s="1"/>
  <c r="G85" i="10"/>
  <c r="T89" i="1" s="1"/>
  <c r="U89" i="1" s="1"/>
  <c r="V89" i="1" s="1"/>
  <c r="W89" i="1" s="1"/>
  <c r="G86" i="10"/>
  <c r="T90" i="1" s="1"/>
  <c r="U90" i="1" s="1"/>
  <c r="V90" i="1" s="1"/>
  <c r="W90" i="1" s="1"/>
  <c r="G87" i="10"/>
  <c r="T91" i="1" s="1"/>
  <c r="U91" i="1" s="1"/>
  <c r="V91" i="1" s="1"/>
  <c r="W91" i="1" s="1"/>
  <c r="G88" i="10"/>
  <c r="T92" i="1" s="1"/>
  <c r="U92" i="1" s="1"/>
  <c r="V92" i="1" s="1"/>
  <c r="W92" i="1" s="1"/>
  <c r="G89" i="10"/>
  <c r="T93" i="1" s="1"/>
  <c r="U93" i="1" s="1"/>
  <c r="V93" i="1" s="1"/>
  <c r="W93" i="1" s="1"/>
  <c r="G90" i="10"/>
  <c r="T94" i="1" s="1"/>
  <c r="U94" i="1" s="1"/>
  <c r="V94" i="1" s="1"/>
  <c r="W94" i="1" s="1"/>
  <c r="G91" i="10"/>
  <c r="T95" i="1" s="1"/>
  <c r="U95" i="1" s="1"/>
  <c r="V95" i="1" s="1"/>
  <c r="W95" i="1" s="1"/>
  <c r="G92" i="10"/>
  <c r="T96" i="1" s="1"/>
  <c r="U96" i="1" s="1"/>
  <c r="V96" i="1" s="1"/>
  <c r="W96" i="1" s="1"/>
  <c r="G93" i="10"/>
  <c r="T97" i="1" s="1"/>
  <c r="U97" i="1" s="1"/>
  <c r="V97" i="1" s="1"/>
  <c r="W97" i="1" s="1"/>
  <c r="G94" i="10"/>
  <c r="T98" i="1" s="1"/>
  <c r="U98" i="1" s="1"/>
  <c r="V98" i="1" s="1"/>
  <c r="W98" i="1" s="1"/>
  <c r="G95" i="10"/>
  <c r="T99" i="1" s="1"/>
  <c r="U99" i="1" s="1"/>
  <c r="V99" i="1" s="1"/>
  <c r="W99" i="1" s="1"/>
  <c r="G96" i="10"/>
  <c r="T100" i="1" s="1"/>
  <c r="U100" i="1" s="1"/>
  <c r="V100" i="1" s="1"/>
  <c r="W100" i="1" s="1"/>
  <c r="G97" i="10"/>
  <c r="T101" i="1" s="1"/>
  <c r="U101" i="1" s="1"/>
  <c r="V101" i="1" s="1"/>
  <c r="W101" i="1" s="1"/>
  <c r="G98" i="10"/>
  <c r="T102" i="1" s="1"/>
  <c r="U102" i="1" s="1"/>
  <c r="V102" i="1" s="1"/>
  <c r="W102" i="1" s="1"/>
  <c r="G99" i="10"/>
  <c r="T103" i="1" s="1"/>
  <c r="U103" i="1" s="1"/>
  <c r="V103" i="1" s="1"/>
  <c r="W103" i="1" s="1"/>
  <c r="G100" i="10"/>
  <c r="T104" i="1" s="1"/>
  <c r="U104" i="1" s="1"/>
  <c r="V104" i="1" s="1"/>
  <c r="W104" i="1" s="1"/>
  <c r="G101" i="10"/>
  <c r="T105" i="1" s="1"/>
  <c r="U105" i="1" s="1"/>
  <c r="V105" i="1" s="1"/>
  <c r="W105" i="1" s="1"/>
  <c r="C15" i="9"/>
  <c r="K15" i="9" s="1"/>
  <c r="C16" i="9"/>
  <c r="K16" i="9" s="1"/>
  <c r="C17" i="9"/>
  <c r="K17" i="9" s="1"/>
  <c r="C18" i="9"/>
  <c r="K18" i="9" s="1"/>
  <c r="C19" i="9"/>
  <c r="K19" i="9" s="1"/>
  <c r="C20" i="9"/>
  <c r="K20" i="9" s="1"/>
  <c r="C21" i="9"/>
  <c r="K21" i="9" s="1"/>
  <c r="C22" i="9"/>
  <c r="K22" i="9" s="1"/>
  <c r="C23" i="9"/>
  <c r="K23" i="9" s="1"/>
  <c r="C24" i="9"/>
  <c r="K24" i="9" s="1"/>
  <c r="C25" i="9"/>
  <c r="K25" i="9" s="1"/>
  <c r="C26" i="9"/>
  <c r="K26" i="9" s="1"/>
  <c r="C27" i="9"/>
  <c r="K27" i="9" s="1"/>
  <c r="C28" i="9"/>
  <c r="K28" i="9" s="1"/>
  <c r="C29" i="9"/>
  <c r="K29" i="9" s="1"/>
  <c r="C30" i="9"/>
  <c r="K30" i="9" s="1"/>
  <c r="C31" i="9"/>
  <c r="K31" i="9" s="1"/>
  <c r="C32" i="9"/>
  <c r="K32" i="9" s="1"/>
  <c r="C33" i="9"/>
  <c r="K33" i="9" s="1"/>
  <c r="C34" i="9"/>
  <c r="K34" i="9" s="1"/>
  <c r="C35" i="9"/>
  <c r="K35" i="9" s="1"/>
  <c r="C36" i="9"/>
  <c r="K36" i="9" s="1"/>
  <c r="C37" i="9"/>
  <c r="K37" i="9" s="1"/>
  <c r="C38" i="9"/>
  <c r="K38" i="9" s="1"/>
  <c r="C39" i="9"/>
  <c r="K39" i="9" s="1"/>
  <c r="C40" i="9"/>
  <c r="K40" i="9" s="1"/>
  <c r="C41" i="9"/>
  <c r="K41" i="9" s="1"/>
  <c r="C42" i="9"/>
  <c r="K42" i="9" s="1"/>
  <c r="C43" i="9"/>
  <c r="K43" i="9" s="1"/>
  <c r="C44" i="9"/>
  <c r="K44" i="9" s="1"/>
  <c r="C45" i="9"/>
  <c r="K45" i="9" s="1"/>
  <c r="C46" i="9"/>
  <c r="K46" i="9" s="1"/>
  <c r="C47" i="9"/>
  <c r="K47" i="9" s="1"/>
  <c r="C48" i="9"/>
  <c r="K48" i="9" s="1"/>
  <c r="C49" i="9"/>
  <c r="K49" i="9" s="1"/>
  <c r="C50" i="9"/>
  <c r="K50" i="9" s="1"/>
  <c r="C51" i="9"/>
  <c r="K51" i="9" s="1"/>
  <c r="C52" i="9"/>
  <c r="K52" i="9" s="1"/>
  <c r="C53" i="9"/>
  <c r="K53" i="9" s="1"/>
  <c r="C54" i="9"/>
  <c r="K54" i="9" s="1"/>
  <c r="C55" i="9"/>
  <c r="K55" i="9" s="1"/>
  <c r="C56" i="9"/>
  <c r="K56" i="9" s="1"/>
  <c r="C57" i="9"/>
  <c r="K57" i="9" s="1"/>
  <c r="C58" i="9"/>
  <c r="K58" i="9" s="1"/>
  <c r="C59" i="9"/>
  <c r="K59" i="9" s="1"/>
  <c r="C60" i="9"/>
  <c r="K60" i="9" s="1"/>
  <c r="C61" i="9"/>
  <c r="K61" i="9" s="1"/>
  <c r="C62" i="9"/>
  <c r="K62" i="9" s="1"/>
  <c r="C63" i="9"/>
  <c r="K63" i="9" s="1"/>
  <c r="C64" i="9"/>
  <c r="K64" i="9" s="1"/>
  <c r="C65" i="9"/>
  <c r="K65" i="9" s="1"/>
  <c r="C66" i="9"/>
  <c r="K66" i="9" s="1"/>
  <c r="C67" i="9"/>
  <c r="K67" i="9" s="1"/>
  <c r="C68" i="9"/>
  <c r="K68" i="9" s="1"/>
  <c r="C69" i="9"/>
  <c r="K69" i="9" s="1"/>
  <c r="C70" i="9"/>
  <c r="K70" i="9" s="1"/>
  <c r="C71" i="9"/>
  <c r="K71" i="9" s="1"/>
  <c r="C72" i="9"/>
  <c r="K72" i="9" s="1"/>
  <c r="C73" i="9"/>
  <c r="K73" i="9" s="1"/>
  <c r="C74" i="9"/>
  <c r="K74" i="9" s="1"/>
  <c r="C75" i="9"/>
  <c r="K75" i="9" s="1"/>
  <c r="C76" i="9"/>
  <c r="K76" i="9" s="1"/>
  <c r="C77" i="9"/>
  <c r="K77" i="9" s="1"/>
  <c r="C78" i="9"/>
  <c r="K78" i="9" s="1"/>
  <c r="C79" i="9"/>
  <c r="K79" i="9" s="1"/>
  <c r="C80" i="9"/>
  <c r="K80" i="9" s="1"/>
  <c r="C81" i="9"/>
  <c r="K81" i="9" s="1"/>
  <c r="C82" i="9"/>
  <c r="K82" i="9" s="1"/>
  <c r="C83" i="9"/>
  <c r="K83" i="9" s="1"/>
  <c r="C84" i="9"/>
  <c r="K84" i="9" s="1"/>
  <c r="C85" i="9"/>
  <c r="K85" i="9" s="1"/>
  <c r="C86" i="9"/>
  <c r="K86" i="9" s="1"/>
  <c r="C87" i="9"/>
  <c r="K87" i="9" s="1"/>
  <c r="C88" i="9"/>
  <c r="K88" i="9" s="1"/>
  <c r="C89" i="9"/>
  <c r="K89" i="9" s="1"/>
  <c r="C90" i="9"/>
  <c r="K90" i="9" s="1"/>
  <c r="C91" i="9"/>
  <c r="K91" i="9" s="1"/>
  <c r="C92" i="9"/>
  <c r="K92" i="9" s="1"/>
  <c r="C93" i="9"/>
  <c r="K93" i="9" s="1"/>
  <c r="C94" i="9"/>
  <c r="K94" i="9" s="1"/>
  <c r="C95" i="9"/>
  <c r="K95" i="9" s="1"/>
  <c r="C96" i="9"/>
  <c r="K96" i="9" s="1"/>
  <c r="C97" i="9"/>
  <c r="K97" i="9" s="1"/>
  <c r="C98" i="9"/>
  <c r="K98" i="9" s="1"/>
  <c r="C99" i="9"/>
  <c r="K99" i="9" s="1"/>
  <c r="C100" i="9"/>
  <c r="K100" i="9" s="1"/>
  <c r="C101" i="9"/>
  <c r="K101" i="9" s="1"/>
  <c r="C102" i="9"/>
  <c r="K102" i="9" s="1"/>
  <c r="C103" i="9"/>
  <c r="K103" i="9" s="1"/>
  <c r="C104" i="9"/>
  <c r="K104" i="9" s="1"/>
  <c r="C8" i="9"/>
  <c r="K8" i="9" s="1"/>
  <c r="C9" i="9"/>
  <c r="K9" i="9" s="1"/>
  <c r="C10" i="9"/>
  <c r="K10" i="9" s="1"/>
  <c r="C11" i="9"/>
  <c r="K11" i="9" s="1"/>
  <c r="C12" i="9"/>
  <c r="K12" i="9" s="1"/>
  <c r="C13" i="9"/>
  <c r="K13" i="9" s="1"/>
  <c r="C14" i="9"/>
  <c r="K14" i="9" s="1"/>
  <c r="X105" i="1" l="1"/>
  <c r="Y105" i="1"/>
  <c r="X104" i="1"/>
  <c r="Y104" i="1"/>
  <c r="X100" i="1"/>
  <c r="Y100" i="1"/>
  <c r="X96" i="1"/>
  <c r="Y96" i="1"/>
  <c r="X92" i="1"/>
  <c r="Y92" i="1"/>
  <c r="X88" i="1"/>
  <c r="Y88" i="1"/>
  <c r="X84" i="1"/>
  <c r="Y84" i="1"/>
  <c r="X80" i="1"/>
  <c r="Y80" i="1"/>
  <c r="X76" i="1"/>
  <c r="Y76" i="1"/>
  <c r="X72" i="1"/>
  <c r="Y72" i="1"/>
  <c r="X68" i="1"/>
  <c r="Y68" i="1"/>
  <c r="X64" i="1"/>
  <c r="Y64" i="1"/>
  <c r="X60" i="1"/>
  <c r="Y60" i="1"/>
  <c r="X56" i="1"/>
  <c r="Y56" i="1"/>
  <c r="X52" i="1"/>
  <c r="Y52" i="1"/>
  <c r="X48" i="1"/>
  <c r="Y48" i="1"/>
  <c r="X44" i="1"/>
  <c r="Y44" i="1"/>
  <c r="X40" i="1"/>
  <c r="Y40" i="1"/>
  <c r="X36" i="1"/>
  <c r="Y36" i="1"/>
  <c r="X32" i="1"/>
  <c r="Y32" i="1"/>
  <c r="X28" i="1"/>
  <c r="Y28" i="1"/>
  <c r="X24" i="1"/>
  <c r="Y24" i="1"/>
  <c r="X20" i="1"/>
  <c r="Y20" i="1"/>
  <c r="X16" i="1"/>
  <c r="Y16" i="1"/>
  <c r="X12" i="1"/>
  <c r="Y12" i="1"/>
  <c r="X8" i="1"/>
  <c r="Y8" i="1"/>
  <c r="Y103" i="1"/>
  <c r="X103" i="1"/>
  <c r="Y99" i="1"/>
  <c r="X99" i="1"/>
  <c r="Y95" i="1"/>
  <c r="X95" i="1"/>
  <c r="Y91" i="1"/>
  <c r="X91" i="1"/>
  <c r="Y87" i="1"/>
  <c r="X87" i="1"/>
  <c r="Y83" i="1"/>
  <c r="X83" i="1"/>
  <c r="Y79" i="1"/>
  <c r="X79" i="1"/>
  <c r="Y75" i="1"/>
  <c r="X75" i="1"/>
  <c r="Y71" i="1"/>
  <c r="X71" i="1"/>
  <c r="Y67" i="1"/>
  <c r="X67" i="1"/>
  <c r="Y63" i="1"/>
  <c r="X63" i="1"/>
  <c r="X59" i="1"/>
  <c r="Y59" i="1"/>
  <c r="X55" i="1"/>
  <c r="Y55" i="1"/>
  <c r="X51" i="1"/>
  <c r="Y51" i="1"/>
  <c r="X47" i="1"/>
  <c r="Y47" i="1"/>
  <c r="X43" i="1"/>
  <c r="Y43" i="1"/>
  <c r="X39" i="1"/>
  <c r="Y39" i="1"/>
  <c r="X35" i="1"/>
  <c r="Y35" i="1"/>
  <c r="X31" i="1"/>
  <c r="Y31" i="1"/>
  <c r="X27" i="1"/>
  <c r="Y27" i="1"/>
  <c r="X23" i="1"/>
  <c r="Y23" i="1"/>
  <c r="X19" i="1"/>
  <c r="Y19" i="1"/>
  <c r="X15" i="1"/>
  <c r="Y15" i="1"/>
  <c r="X11" i="1"/>
  <c r="Y11" i="1"/>
  <c r="X7" i="1"/>
  <c r="Y7" i="1"/>
  <c r="X102" i="1"/>
  <c r="Y102" i="1"/>
  <c r="X98" i="1"/>
  <c r="Y98" i="1"/>
  <c r="X94" i="1"/>
  <c r="Y94" i="1"/>
  <c r="X90" i="1"/>
  <c r="Y90" i="1"/>
  <c r="X86" i="1"/>
  <c r="Y86" i="1"/>
  <c r="X82" i="1"/>
  <c r="Y82" i="1"/>
  <c r="X78" i="1"/>
  <c r="Y78" i="1"/>
  <c r="X74" i="1"/>
  <c r="Y74" i="1"/>
  <c r="X70" i="1"/>
  <c r="Y70" i="1"/>
  <c r="X66" i="1"/>
  <c r="Y66" i="1"/>
  <c r="X62" i="1"/>
  <c r="Y62" i="1"/>
  <c r="X58" i="1"/>
  <c r="Y58" i="1"/>
  <c r="X54" i="1"/>
  <c r="Y54" i="1"/>
  <c r="X50" i="1"/>
  <c r="Y50" i="1"/>
  <c r="X46" i="1"/>
  <c r="Y46" i="1"/>
  <c r="X42" i="1"/>
  <c r="Y42" i="1"/>
  <c r="X38" i="1"/>
  <c r="Y38" i="1"/>
  <c r="X34" i="1"/>
  <c r="Y34" i="1"/>
  <c r="X30" i="1"/>
  <c r="Y30" i="1"/>
  <c r="X26" i="1"/>
  <c r="Y26" i="1"/>
  <c r="X22" i="1"/>
  <c r="Y22" i="1"/>
  <c r="X18" i="1"/>
  <c r="Y18" i="1"/>
  <c r="X14" i="1"/>
  <c r="Y14" i="1"/>
  <c r="X10" i="1"/>
  <c r="Y10" i="1"/>
  <c r="X101" i="1"/>
  <c r="Y101" i="1"/>
  <c r="X97" i="1"/>
  <c r="Y97" i="1"/>
  <c r="X93" i="1"/>
  <c r="Y93" i="1"/>
  <c r="X89" i="1"/>
  <c r="Y89" i="1"/>
  <c r="X85" i="1"/>
  <c r="Y85" i="1"/>
  <c r="X81" i="1"/>
  <c r="Y81" i="1"/>
  <c r="X77" i="1"/>
  <c r="Y77" i="1"/>
  <c r="X73" i="1"/>
  <c r="Y73" i="1"/>
  <c r="X69" i="1"/>
  <c r="Y69" i="1"/>
  <c r="X65" i="1"/>
  <c r="Y65" i="1"/>
  <c r="X61" i="1"/>
  <c r="Y61" i="1"/>
  <c r="X57" i="1"/>
  <c r="Y57" i="1"/>
  <c r="X53" i="1"/>
  <c r="Y53" i="1"/>
  <c r="X49" i="1"/>
  <c r="Y49" i="1"/>
  <c r="X45" i="1"/>
  <c r="Y45" i="1"/>
  <c r="X41" i="1"/>
  <c r="Y41" i="1"/>
  <c r="X37" i="1"/>
  <c r="Y37" i="1"/>
  <c r="X33" i="1"/>
  <c r="Y33" i="1"/>
  <c r="X29" i="1"/>
  <c r="Y29" i="1"/>
  <c r="X25" i="1"/>
  <c r="Y25" i="1"/>
  <c r="X21" i="1"/>
  <c r="Y21" i="1"/>
  <c r="X17" i="1"/>
  <c r="Y17" i="1"/>
  <c r="X13" i="1"/>
  <c r="Y13" i="1"/>
  <c r="X9" i="1"/>
  <c r="Y9" i="1"/>
  <c r="G102" i="10"/>
  <c r="G103" i="10"/>
  <c r="G104" i="10"/>
  <c r="A2" i="4"/>
  <c r="A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J13" i="10" l="1"/>
  <c r="J3" i="10"/>
  <c r="J4" i="10"/>
  <c r="J5" i="10"/>
  <c r="J6" i="10"/>
  <c r="J7" i="10"/>
  <c r="J8" i="10"/>
  <c r="J9" i="10"/>
  <c r="J10" i="10"/>
  <c r="J11" i="10"/>
  <c r="J12" i="10"/>
  <c r="C106" i="9" l="1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C105" i="9"/>
  <c r="N8" i="9"/>
  <c r="N9" i="9"/>
  <c r="N10" i="9"/>
  <c r="N11" i="9"/>
  <c r="N12" i="9"/>
  <c r="N13" i="9"/>
  <c r="N14" i="9"/>
  <c r="N15" i="9"/>
  <c r="N16" i="9"/>
  <c r="C7" i="9"/>
  <c r="B7" i="9"/>
  <c r="M7" i="9" s="1"/>
  <c r="N7" i="9" l="1"/>
  <c r="K7" i="9"/>
  <c r="N105" i="9"/>
  <c r="K105" i="9"/>
  <c r="N106" i="9"/>
  <c r="K106" i="9"/>
  <c r="A3" i="4"/>
  <c r="A3" i="10"/>
  <c r="B8" i="9"/>
  <c r="M8" i="9" s="1"/>
  <c r="A4" i="4" l="1"/>
  <c r="A4" i="10"/>
  <c r="B9" i="9"/>
  <c r="M9" i="9" s="1"/>
  <c r="A5" i="4" l="1"/>
  <c r="A5" i="10"/>
  <c r="B10" i="9"/>
  <c r="M10" i="9" s="1"/>
  <c r="A6" i="4" l="1"/>
  <c r="A6" i="10"/>
  <c r="B11" i="9"/>
  <c r="M11" i="9" s="1"/>
  <c r="A7" i="4" l="1"/>
  <c r="A7" i="10"/>
  <c r="B12" i="9"/>
  <c r="M12" i="9" s="1"/>
  <c r="A8" i="4" l="1"/>
  <c r="A8" i="10"/>
  <c r="B13" i="9"/>
  <c r="M13" i="9" s="1"/>
  <c r="A9" i="4" l="1"/>
  <c r="A9" i="10"/>
  <c r="B14" i="9"/>
  <c r="M14" i="9" s="1"/>
  <c r="O14" i="1"/>
  <c r="B52" i="4"/>
  <c r="M56" i="1"/>
  <c r="B53" i="4"/>
  <c r="M57" i="1"/>
  <c r="B54" i="4"/>
  <c r="M58" i="1"/>
  <c r="B55" i="4"/>
  <c r="M59" i="1"/>
  <c r="B56" i="4"/>
  <c r="M60" i="1"/>
  <c r="B57" i="4"/>
  <c r="M61" i="1"/>
  <c r="B58" i="4"/>
  <c r="M62" i="1"/>
  <c r="B59" i="4"/>
  <c r="M63" i="1"/>
  <c r="B60" i="4"/>
  <c r="M64" i="1"/>
  <c r="B61" i="4"/>
  <c r="M65" i="1"/>
  <c r="B62" i="4"/>
  <c r="M66" i="1"/>
  <c r="B63" i="4"/>
  <c r="M67" i="1"/>
  <c r="B64" i="4"/>
  <c r="M68" i="1"/>
  <c r="B65" i="4"/>
  <c r="M69" i="1"/>
  <c r="B66" i="4"/>
  <c r="M70" i="1"/>
  <c r="B67" i="4"/>
  <c r="M71" i="1"/>
  <c r="B68" i="4"/>
  <c r="M72" i="1"/>
  <c r="B69" i="4"/>
  <c r="M73" i="1"/>
  <c r="B70" i="4"/>
  <c r="M74" i="1"/>
  <c r="B71" i="4"/>
  <c r="M75" i="1"/>
  <c r="B72" i="4"/>
  <c r="M76" i="1"/>
  <c r="B73" i="4"/>
  <c r="M77" i="1"/>
  <c r="B74" i="4"/>
  <c r="M78" i="1"/>
  <c r="B75" i="4"/>
  <c r="M79" i="1"/>
  <c r="B76" i="4"/>
  <c r="M80" i="1"/>
  <c r="B77" i="4"/>
  <c r="M81" i="1"/>
  <c r="B78" i="4"/>
  <c r="M82" i="1"/>
  <c r="B79" i="4"/>
  <c r="M83" i="1"/>
  <c r="B80" i="4"/>
  <c r="M84" i="1"/>
  <c r="B81" i="4"/>
  <c r="M85" i="1"/>
  <c r="B82" i="4"/>
  <c r="M86" i="1"/>
  <c r="B83" i="4"/>
  <c r="M87" i="1"/>
  <c r="B84" i="4"/>
  <c r="M88" i="1"/>
  <c r="B85" i="4"/>
  <c r="M89" i="1"/>
  <c r="B86" i="4"/>
  <c r="M90" i="1"/>
  <c r="B87" i="4"/>
  <c r="M91" i="1"/>
  <c r="B88" i="4"/>
  <c r="M92" i="1"/>
  <c r="B89" i="4"/>
  <c r="M93" i="1"/>
  <c r="B90" i="4"/>
  <c r="M94" i="1"/>
  <c r="B91" i="4"/>
  <c r="M95" i="1"/>
  <c r="B92" i="4"/>
  <c r="M96" i="1"/>
  <c r="B93" i="4"/>
  <c r="M97" i="1"/>
  <c r="B94" i="4"/>
  <c r="M98" i="1"/>
  <c r="B95" i="4"/>
  <c r="M99" i="1"/>
  <c r="B96" i="4"/>
  <c r="M100" i="1"/>
  <c r="B97" i="4"/>
  <c r="M101" i="1"/>
  <c r="B98" i="4"/>
  <c r="M102" i="1"/>
  <c r="B99" i="4"/>
  <c r="M103" i="1"/>
  <c r="B100" i="4"/>
  <c r="M104" i="1"/>
  <c r="B101" i="4"/>
  <c r="M105" i="1"/>
  <c r="A15" i="11" l="1"/>
  <c r="A10" i="4"/>
  <c r="A10" i="10"/>
  <c r="B15" i="9"/>
  <c r="M15" i="9" s="1"/>
  <c r="O15" i="1"/>
  <c r="B51" i="4"/>
  <c r="M55" i="1"/>
  <c r="A16" i="11" l="1"/>
  <c r="A11" i="4"/>
  <c r="A11" i="10"/>
  <c r="B16" i="9"/>
  <c r="M16" i="9" s="1"/>
  <c r="O16" i="1"/>
  <c r="B32" i="4"/>
  <c r="M36" i="1"/>
  <c r="B33" i="4"/>
  <c r="M37" i="1"/>
  <c r="B34" i="4"/>
  <c r="M38" i="1"/>
  <c r="B35" i="4"/>
  <c r="M39" i="1"/>
  <c r="B36" i="4"/>
  <c r="M40" i="1"/>
  <c r="B37" i="4"/>
  <c r="M41" i="1"/>
  <c r="B38" i="4"/>
  <c r="M42" i="1"/>
  <c r="B39" i="4"/>
  <c r="M43" i="1"/>
  <c r="B40" i="4"/>
  <c r="M44" i="1"/>
  <c r="B41" i="4"/>
  <c r="M45" i="1"/>
  <c r="B42" i="4"/>
  <c r="M46" i="1"/>
  <c r="B43" i="4"/>
  <c r="M47" i="1"/>
  <c r="B44" i="4"/>
  <c r="M48" i="1"/>
  <c r="B45" i="4"/>
  <c r="M49" i="1"/>
  <c r="B46" i="4"/>
  <c r="M50" i="1"/>
  <c r="B47" i="4"/>
  <c r="M51" i="1"/>
  <c r="B48" i="4"/>
  <c r="M52" i="1"/>
  <c r="B49" i="4"/>
  <c r="M53" i="1"/>
  <c r="B50" i="4"/>
  <c r="M5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  <c r="A17" i="11" l="1"/>
  <c r="A12" i="4"/>
  <c r="A12" i="10"/>
  <c r="B17" i="9"/>
  <c r="M17" i="9" s="1"/>
  <c r="O17" i="1"/>
  <c r="L4" i="4"/>
  <c r="L8" i="4"/>
  <c r="L12" i="4"/>
  <c r="L5" i="4"/>
  <c r="L9" i="4"/>
  <c r="L13" i="4"/>
  <c r="L6" i="4"/>
  <c r="L10" i="4"/>
  <c r="L3" i="4"/>
  <c r="L7" i="4"/>
  <c r="L11" i="4"/>
  <c r="A18" i="11" l="1"/>
  <c r="A13" i="4"/>
  <c r="A13" i="10"/>
  <c r="B18" i="9"/>
  <c r="M18" i="9" s="1"/>
  <c r="O18" i="1"/>
  <c r="A19" i="11" l="1"/>
  <c r="A14" i="4"/>
  <c r="A14" i="10"/>
  <c r="B19" i="9"/>
  <c r="M19" i="9" s="1"/>
  <c r="O19" i="1"/>
  <c r="A20" i="11" l="1"/>
  <c r="A15" i="4"/>
  <c r="A15" i="10"/>
  <c r="B20" i="9"/>
  <c r="M20" i="9" s="1"/>
  <c r="O20" i="1"/>
  <c r="A21" i="11" l="1"/>
  <c r="A16" i="4"/>
  <c r="A16" i="10"/>
  <c r="O21" i="1"/>
  <c r="B21" i="9"/>
  <c r="M21" i="9" s="1"/>
  <c r="A22" i="11" l="1"/>
  <c r="A17" i="4"/>
  <c r="A17" i="10"/>
  <c r="B22" i="9"/>
  <c r="M22" i="9" s="1"/>
  <c r="O22" i="1"/>
  <c r="A23" i="11" l="1"/>
  <c r="A18" i="4"/>
  <c r="A18" i="10"/>
  <c r="B23" i="9"/>
  <c r="M23" i="9" s="1"/>
  <c r="O23" i="1"/>
  <c r="A24" i="11" l="1"/>
  <c r="A19" i="4"/>
  <c r="A19" i="10"/>
  <c r="O24" i="1"/>
  <c r="B24" i="9"/>
  <c r="M24" i="9" s="1"/>
  <c r="A25" i="11" l="1"/>
  <c r="A20" i="4"/>
  <c r="A20" i="10"/>
  <c r="O25" i="1"/>
  <c r="B25" i="9"/>
  <c r="M25" i="9" s="1"/>
  <c r="A26" i="11" l="1"/>
  <c r="A21" i="4"/>
  <c r="A21" i="10"/>
  <c r="B26" i="9"/>
  <c r="M26" i="9" s="1"/>
  <c r="O26" i="1"/>
  <c r="M6" i="1"/>
  <c r="Y6" i="1" l="1"/>
  <c r="A27" i="11"/>
  <c r="A22" i="4"/>
  <c r="A22" i="10"/>
  <c r="B27" i="9"/>
  <c r="M27" i="9" s="1"/>
  <c r="O27" i="1"/>
  <c r="X6" i="1" l="1"/>
  <c r="AC5" i="1"/>
  <c r="A28" i="11"/>
  <c r="A23" i="4"/>
  <c r="A23" i="10"/>
  <c r="B28" i="9"/>
  <c r="M28" i="9" s="1"/>
  <c r="O28" i="1"/>
  <c r="AF5" i="1" l="1"/>
  <c r="A29" i="11"/>
  <c r="A24" i="4"/>
  <c r="A24" i="10"/>
  <c r="O29" i="1"/>
  <c r="B29" i="9"/>
  <c r="M29" i="9" s="1"/>
  <c r="A30" i="11" l="1"/>
  <c r="A25" i="4"/>
  <c r="A25" i="10"/>
  <c r="O30" i="1"/>
  <c r="B30" i="9"/>
  <c r="M30" i="9" s="1"/>
  <c r="A31" i="11" l="1"/>
  <c r="A26" i="4"/>
  <c r="A26" i="10"/>
  <c r="B31" i="9"/>
  <c r="M31" i="9" s="1"/>
  <c r="O31" i="1"/>
  <c r="A32" i="11" l="1"/>
  <c r="A27" i="4"/>
  <c r="A27" i="10"/>
  <c r="O32" i="1"/>
  <c r="B32" i="9"/>
  <c r="M32" i="9" s="1"/>
  <c r="A33" i="11" l="1"/>
  <c r="A28" i="4"/>
  <c r="A28" i="10"/>
  <c r="O33" i="1"/>
  <c r="B33" i="9"/>
  <c r="M33" i="9" s="1"/>
  <c r="A34" i="11" l="1"/>
  <c r="A29" i="4"/>
  <c r="A29" i="10"/>
  <c r="O34" i="1"/>
  <c r="B34" i="9"/>
  <c r="M34" i="9" s="1"/>
  <c r="A35" i="11" l="1"/>
  <c r="A30" i="4"/>
  <c r="A30" i="10"/>
  <c r="B35" i="9"/>
  <c r="M35" i="9" s="1"/>
  <c r="O35" i="1"/>
  <c r="A36" i="11" l="1"/>
  <c r="A31" i="4"/>
  <c r="A31" i="10"/>
  <c r="O36" i="1"/>
  <c r="B36" i="9"/>
  <c r="M36" i="9" s="1"/>
  <c r="A37" i="11" l="1"/>
  <c r="A32" i="4"/>
  <c r="A32" i="10"/>
  <c r="B37" i="9"/>
  <c r="M37" i="9" s="1"/>
  <c r="O37" i="1"/>
  <c r="A38" i="11" l="1"/>
  <c r="A33" i="4"/>
  <c r="A33" i="10"/>
  <c r="B38" i="9"/>
  <c r="M38" i="9" s="1"/>
  <c r="O38" i="1"/>
  <c r="A39" i="11" l="1"/>
  <c r="A34" i="4"/>
  <c r="A34" i="10"/>
  <c r="O39" i="1"/>
  <c r="B39" i="9"/>
  <c r="M39" i="9" s="1"/>
  <c r="A40" i="11" l="1"/>
  <c r="A35" i="4"/>
  <c r="A35" i="10"/>
  <c r="O40" i="1"/>
  <c r="B40" i="9"/>
  <c r="M40" i="9" s="1"/>
  <c r="A41" i="11" l="1"/>
  <c r="A36" i="4"/>
  <c r="A36" i="10"/>
  <c r="B41" i="9"/>
  <c r="M41" i="9" s="1"/>
  <c r="O41" i="1"/>
  <c r="A42" i="11" l="1"/>
  <c r="A37" i="4"/>
  <c r="A37" i="10"/>
  <c r="O42" i="1"/>
  <c r="B42" i="9"/>
  <c r="M42" i="9" s="1"/>
  <c r="A43" i="11" l="1"/>
  <c r="A38" i="4"/>
  <c r="A38" i="10"/>
  <c r="B43" i="9"/>
  <c r="M43" i="9" s="1"/>
  <c r="O43" i="1"/>
  <c r="A44" i="11" l="1"/>
  <c r="A39" i="4"/>
  <c r="A39" i="10"/>
  <c r="B44" i="9"/>
  <c r="M44" i="9" s="1"/>
  <c r="O44" i="1"/>
  <c r="A45" i="11" l="1"/>
  <c r="A40" i="4"/>
  <c r="A40" i="10"/>
  <c r="O45" i="1"/>
  <c r="B45" i="9"/>
  <c r="M45" i="9" s="1"/>
  <c r="A46" i="11" l="1"/>
  <c r="A41" i="4"/>
  <c r="A41" i="10"/>
  <c r="B46" i="9"/>
  <c r="M46" i="9" s="1"/>
  <c r="O46" i="1"/>
  <c r="A47" i="11" l="1"/>
  <c r="A42" i="4"/>
  <c r="A42" i="10"/>
  <c r="B47" i="9"/>
  <c r="M47" i="9" s="1"/>
  <c r="O47" i="1"/>
  <c r="A48" i="11" l="1"/>
  <c r="A43" i="4"/>
  <c r="A43" i="10"/>
  <c r="O48" i="1"/>
  <c r="B48" i="9"/>
  <c r="M48" i="9" s="1"/>
  <c r="A49" i="11" l="1"/>
  <c r="A44" i="4"/>
  <c r="A44" i="10"/>
  <c r="O49" i="1"/>
  <c r="B49" i="9"/>
  <c r="M49" i="9" s="1"/>
  <c r="A50" i="11" l="1"/>
  <c r="A45" i="4"/>
  <c r="A45" i="10"/>
  <c r="B50" i="9"/>
  <c r="M50" i="9" s="1"/>
  <c r="O50" i="1"/>
  <c r="A51" i="11" l="1"/>
  <c r="A46" i="4"/>
  <c r="A46" i="10"/>
  <c r="B51" i="9"/>
  <c r="M51" i="9" s="1"/>
  <c r="O51" i="1"/>
  <c r="A52" i="11" l="1"/>
  <c r="A47" i="4"/>
  <c r="A47" i="10"/>
  <c r="O52" i="1"/>
  <c r="B52" i="9"/>
  <c r="M52" i="9" s="1"/>
  <c r="A53" i="11" l="1"/>
  <c r="A48" i="4"/>
  <c r="A48" i="10"/>
  <c r="O53" i="1"/>
  <c r="B53" i="9"/>
  <c r="M53" i="9" s="1"/>
  <c r="A54" i="11" l="1"/>
  <c r="A49" i="4"/>
  <c r="A49" i="10"/>
  <c r="B54" i="9"/>
  <c r="M54" i="9" s="1"/>
  <c r="O54" i="1"/>
  <c r="A55" i="11" l="1"/>
  <c r="A50" i="4"/>
  <c r="A50" i="10"/>
  <c r="O55" i="1"/>
  <c r="B55" i="9"/>
  <c r="M55" i="9" s="1"/>
  <c r="A56" i="11" l="1"/>
  <c r="A51" i="4"/>
  <c r="A51" i="10"/>
  <c r="O56" i="1"/>
  <c r="B56" i="9"/>
  <c r="M56" i="9" s="1"/>
  <c r="A57" i="11" l="1"/>
  <c r="A52" i="4"/>
  <c r="A52" i="10"/>
  <c r="O57" i="1"/>
  <c r="B57" i="9"/>
  <c r="M57" i="9" s="1"/>
  <c r="A58" i="11" l="1"/>
  <c r="A53" i="4"/>
  <c r="A53" i="10"/>
  <c r="B58" i="9"/>
  <c r="M58" i="9" s="1"/>
  <c r="O58" i="1"/>
  <c r="A59" i="11" l="1"/>
  <c r="A54" i="4"/>
  <c r="A54" i="10"/>
  <c r="B59" i="9"/>
  <c r="M59" i="9" s="1"/>
  <c r="O59" i="1"/>
  <c r="A60" i="11" l="1"/>
  <c r="A55" i="4"/>
  <c r="A55" i="10"/>
  <c r="B60" i="9"/>
  <c r="M60" i="9" s="1"/>
  <c r="O60" i="1"/>
  <c r="A61" i="11" l="1"/>
  <c r="A56" i="4"/>
  <c r="A56" i="10"/>
  <c r="B61" i="9"/>
  <c r="M61" i="9" s="1"/>
  <c r="O61" i="1"/>
  <c r="A62" i="11" l="1"/>
  <c r="A57" i="4"/>
  <c r="A57" i="10"/>
  <c r="B62" i="9"/>
  <c r="M62" i="9" s="1"/>
  <c r="O62" i="1"/>
  <c r="A63" i="11" l="1"/>
  <c r="A58" i="4"/>
  <c r="A58" i="10"/>
  <c r="O63" i="1"/>
  <c r="B63" i="9"/>
  <c r="M63" i="9" s="1"/>
  <c r="A64" i="11" l="1"/>
  <c r="A59" i="4"/>
  <c r="A59" i="10"/>
  <c r="B64" i="9"/>
  <c r="M64" i="9" s="1"/>
  <c r="O64" i="1"/>
  <c r="A65" i="11" l="1"/>
  <c r="A60" i="4"/>
  <c r="A60" i="10"/>
  <c r="B65" i="9"/>
  <c r="M65" i="9" s="1"/>
  <c r="O65" i="1"/>
  <c r="A66" i="11" l="1"/>
  <c r="A61" i="4"/>
  <c r="A61" i="10"/>
  <c r="B66" i="9"/>
  <c r="M66" i="9" s="1"/>
  <c r="O66" i="1"/>
  <c r="A67" i="11" l="1"/>
  <c r="A62" i="4"/>
  <c r="A62" i="10"/>
  <c r="B67" i="9"/>
  <c r="M67" i="9" s="1"/>
  <c r="O67" i="1"/>
  <c r="A68" i="11" l="1"/>
  <c r="A63" i="4"/>
  <c r="A63" i="10"/>
  <c r="O68" i="1"/>
  <c r="B68" i="9"/>
  <c r="M68" i="9" s="1"/>
  <c r="A69" i="11" l="1"/>
  <c r="A64" i="4"/>
  <c r="A64" i="10"/>
  <c r="B69" i="9"/>
  <c r="M69" i="9" s="1"/>
  <c r="O69" i="1"/>
  <c r="A70" i="11" l="1"/>
  <c r="A65" i="4"/>
  <c r="A65" i="10"/>
  <c r="B70" i="9"/>
  <c r="M70" i="9" s="1"/>
  <c r="O70" i="1"/>
  <c r="A71" i="11" l="1"/>
  <c r="A66" i="4"/>
  <c r="A66" i="10"/>
  <c r="B71" i="9"/>
  <c r="M71" i="9" s="1"/>
  <c r="O71" i="1"/>
  <c r="A72" i="11" l="1"/>
  <c r="A67" i="4"/>
  <c r="A67" i="10"/>
  <c r="B72" i="9"/>
  <c r="M72" i="9" s="1"/>
  <c r="O72" i="1"/>
  <c r="A73" i="11" l="1"/>
  <c r="A68" i="4"/>
  <c r="A68" i="10"/>
  <c r="B73" i="9"/>
  <c r="M73" i="9" s="1"/>
  <c r="O73" i="1"/>
  <c r="A74" i="11" l="1"/>
  <c r="A69" i="4"/>
  <c r="A69" i="10"/>
  <c r="B74" i="9"/>
  <c r="M74" i="9" s="1"/>
  <c r="O74" i="1"/>
  <c r="A75" i="11" l="1"/>
  <c r="A70" i="4"/>
  <c r="A70" i="10"/>
  <c r="B75" i="9"/>
  <c r="M75" i="9" s="1"/>
  <c r="O75" i="1"/>
  <c r="A76" i="11" l="1"/>
  <c r="A71" i="4"/>
  <c r="A71" i="10"/>
  <c r="O76" i="1"/>
  <c r="B76" i="9"/>
  <c r="M76" i="9" s="1"/>
  <c r="A77" i="11" l="1"/>
  <c r="A72" i="4"/>
  <c r="A72" i="10"/>
  <c r="B77" i="9"/>
  <c r="M77" i="9" s="1"/>
  <c r="O77" i="1"/>
  <c r="A78" i="11" l="1"/>
  <c r="A73" i="4"/>
  <c r="A73" i="10"/>
  <c r="B78" i="9"/>
  <c r="M78" i="9" s="1"/>
  <c r="O78" i="1"/>
  <c r="A79" i="11" l="1"/>
  <c r="A74" i="4"/>
  <c r="A74" i="10"/>
  <c r="B79" i="9"/>
  <c r="M79" i="9" s="1"/>
  <c r="O79" i="1"/>
  <c r="A80" i="11" l="1"/>
  <c r="A75" i="4"/>
  <c r="A75" i="10"/>
  <c r="B80" i="9"/>
  <c r="M80" i="9" s="1"/>
  <c r="O80" i="1"/>
  <c r="A81" i="11" l="1"/>
  <c r="A76" i="4"/>
  <c r="A76" i="10"/>
  <c r="O81" i="1"/>
  <c r="B81" i="9"/>
  <c r="M81" i="9" s="1"/>
  <c r="A82" i="11" l="1"/>
  <c r="A77" i="4"/>
  <c r="A77" i="10"/>
  <c r="B82" i="9"/>
  <c r="M82" i="9" s="1"/>
  <c r="O82" i="1"/>
  <c r="A83" i="11" l="1"/>
  <c r="A78" i="4"/>
  <c r="A78" i="10"/>
  <c r="B83" i="9"/>
  <c r="M83" i="9" s="1"/>
  <c r="O83" i="1"/>
  <c r="A84" i="11" l="1"/>
  <c r="A79" i="4"/>
  <c r="A79" i="10"/>
  <c r="B84" i="9"/>
  <c r="M84" i="9" s="1"/>
  <c r="O84" i="1"/>
  <c r="A85" i="11" l="1"/>
  <c r="A80" i="4"/>
  <c r="A80" i="10"/>
  <c r="B85" i="9"/>
  <c r="M85" i="9" s="1"/>
  <c r="O85" i="1"/>
  <c r="A86" i="11" l="1"/>
  <c r="A81" i="4"/>
  <c r="A81" i="10"/>
  <c r="B86" i="9"/>
  <c r="M86" i="9" s="1"/>
  <c r="O86" i="1"/>
  <c r="A87" i="11" l="1"/>
  <c r="A82" i="4"/>
  <c r="A82" i="10"/>
  <c r="O87" i="1"/>
  <c r="B87" i="9"/>
  <c r="M87" i="9" s="1"/>
  <c r="A88" i="11" l="1"/>
  <c r="A83" i="4"/>
  <c r="A83" i="10"/>
  <c r="O88" i="1"/>
  <c r="B88" i="9"/>
  <c r="M88" i="9" s="1"/>
  <c r="A89" i="11" l="1"/>
  <c r="A84" i="4"/>
  <c r="A84" i="10"/>
  <c r="B89" i="9"/>
  <c r="M89" i="9" s="1"/>
  <c r="O89" i="1"/>
  <c r="A90" i="11" l="1"/>
  <c r="A85" i="4"/>
  <c r="A85" i="10"/>
  <c r="B90" i="9"/>
  <c r="M90" i="9" s="1"/>
  <c r="O90" i="1"/>
  <c r="A91" i="11" l="1"/>
  <c r="A86" i="4"/>
  <c r="A86" i="10"/>
  <c r="B91" i="9"/>
  <c r="M91" i="9" s="1"/>
  <c r="O91" i="1"/>
  <c r="A92" i="11" l="1"/>
  <c r="A87" i="4"/>
  <c r="A87" i="10"/>
  <c r="O92" i="1"/>
  <c r="B92" i="9"/>
  <c r="M92" i="9" s="1"/>
  <c r="A93" i="11" l="1"/>
  <c r="A88" i="4"/>
  <c r="A88" i="10"/>
  <c r="B93" i="9"/>
  <c r="M93" i="9" s="1"/>
  <c r="O93" i="1"/>
  <c r="A94" i="11" l="1"/>
  <c r="A89" i="4"/>
  <c r="A89" i="10"/>
  <c r="B94" i="9"/>
  <c r="M94" i="9" s="1"/>
  <c r="O94" i="1"/>
  <c r="A95" i="11" l="1"/>
  <c r="A90" i="4"/>
  <c r="A90" i="10"/>
  <c r="O95" i="1"/>
  <c r="B95" i="9"/>
  <c r="M95" i="9" s="1"/>
  <c r="A96" i="11" l="1"/>
  <c r="A91" i="4"/>
  <c r="A91" i="10"/>
  <c r="B96" i="9"/>
  <c r="M96" i="9" s="1"/>
  <c r="O96" i="1"/>
  <c r="A97" i="11" l="1"/>
  <c r="A92" i="4"/>
  <c r="A92" i="10"/>
  <c r="B97" i="9"/>
  <c r="M97" i="9" s="1"/>
  <c r="O97" i="1"/>
  <c r="A98" i="11" l="1"/>
  <c r="A93" i="4"/>
  <c r="A93" i="10"/>
  <c r="B98" i="9"/>
  <c r="M98" i="9" s="1"/>
  <c r="O98" i="1"/>
  <c r="A99" i="11" l="1"/>
  <c r="A94" i="4"/>
  <c r="A94" i="10"/>
  <c r="B99" i="9"/>
  <c r="M99" i="9" s="1"/>
  <c r="O99" i="1"/>
  <c r="A100" i="11" l="1"/>
  <c r="A95" i="4"/>
  <c r="A95" i="10"/>
  <c r="B100" i="9"/>
  <c r="M100" i="9" s="1"/>
  <c r="O100" i="1"/>
  <c r="A101" i="11" l="1"/>
  <c r="A96" i="4"/>
  <c r="A96" i="10"/>
  <c r="B101" i="9"/>
  <c r="M101" i="9" s="1"/>
  <c r="O101" i="1"/>
  <c r="A102" i="11" l="1"/>
  <c r="A97" i="4"/>
  <c r="A97" i="10"/>
  <c r="B102" i="9"/>
  <c r="M102" i="9" s="1"/>
  <c r="O102" i="1"/>
  <c r="A103" i="11" l="1"/>
  <c r="A98" i="4"/>
  <c r="A98" i="10"/>
  <c r="B103" i="9"/>
  <c r="M103" i="9" s="1"/>
  <c r="O103" i="1"/>
  <c r="A104" i="11" l="1"/>
  <c r="A99" i="4"/>
  <c r="A99" i="10"/>
  <c r="B104" i="9"/>
  <c r="M104" i="9" s="1"/>
  <c r="O104" i="1"/>
  <c r="A105" i="11" l="1"/>
  <c r="A100" i="4"/>
  <c r="A100" i="10"/>
  <c r="B105" i="9"/>
  <c r="M105" i="9" s="1"/>
  <c r="O105" i="1"/>
  <c r="A101" i="4" l="1"/>
  <c r="A101" i="10"/>
  <c r="B106" i="9"/>
  <c r="M106" i="9" s="1"/>
  <c r="AN5" i="1" l="1"/>
  <c r="AM5" i="1"/>
  <c r="AK5" i="1" l="1"/>
  <c r="AH5" i="1"/>
  <c r="AJ5" i="1"/>
  <c r="AI5" i="1"/>
  <c r="AG5" i="1"/>
  <c r="AL5" i="1"/>
  <c r="AK23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</author>
    <author>Electron-UTM</author>
  </authors>
  <commentList>
    <comment ref="N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Microsoft Office:</t>
        </r>
        <r>
          <rPr>
            <sz val="9"/>
            <color indexed="81"/>
            <rFont val="Tahoma"/>
            <family val="2"/>
          </rPr>
          <t xml:space="preserve">
Aici se indica data cand trebuie sustinuta lucrarea de laborator</t>
        </r>
      </text>
    </comment>
    <comment ref="AC6" authorId="1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Electron-UTM:</t>
        </r>
        <r>
          <rPr>
            <sz val="9"/>
            <color indexed="81"/>
            <rFont val="Tahoma"/>
            <family val="2"/>
            <charset val="204"/>
          </rPr>
          <t xml:space="preserve">
Suma penalitatilor</t>
        </r>
      </text>
    </comment>
  </commentList>
</comments>
</file>

<file path=xl/sharedStrings.xml><?xml version="1.0" encoding="utf-8"?>
<sst xmlns="http://schemas.openxmlformats.org/spreadsheetml/2006/main" count="162" uniqueCount="120">
  <si>
    <t>Nr.</t>
  </si>
  <si>
    <t>Nume, Prenume</t>
  </si>
  <si>
    <t>e-mail</t>
  </si>
  <si>
    <t>Sesiunea</t>
  </si>
  <si>
    <t>Examen</t>
  </si>
  <si>
    <t>Reexam</t>
  </si>
  <si>
    <t>Nota finală</t>
  </si>
  <si>
    <t>în sist.național, trunchiată</t>
  </si>
  <si>
    <t>Conform ECTS</t>
  </si>
  <si>
    <t>nr.1</t>
  </si>
  <si>
    <t>nr.2</t>
  </si>
  <si>
    <t>Evaluarea curentă</t>
  </si>
  <si>
    <t>Lucrul individual</t>
  </si>
  <si>
    <t>Nota</t>
  </si>
  <si>
    <t xml:space="preserve">        Baremul  de evaluare</t>
  </si>
  <si>
    <t>Nr de note</t>
  </si>
  <si>
    <t>Punctajul acumulat</t>
  </si>
  <si>
    <t>n/p</t>
  </si>
  <si>
    <t>Pctj
Total</t>
  </si>
  <si>
    <t>Curs</t>
  </si>
  <si>
    <t>item 1
6 p</t>
  </si>
  <si>
    <t>item 3
14 p</t>
  </si>
  <si>
    <t>item 2
10 p</t>
  </si>
  <si>
    <t>C1</t>
  </si>
  <si>
    <t>C2</t>
  </si>
  <si>
    <t>C3</t>
  </si>
  <si>
    <t>C4</t>
  </si>
  <si>
    <t>C5</t>
  </si>
  <si>
    <t>C6</t>
  </si>
  <si>
    <t>Var</t>
  </si>
  <si>
    <t>A</t>
  </si>
  <si>
    <t>B</t>
  </si>
  <si>
    <t>C</t>
  </si>
  <si>
    <t>D</t>
  </si>
  <si>
    <t>E</t>
  </si>
  <si>
    <t>FX</t>
  </si>
  <si>
    <t>F</t>
  </si>
  <si>
    <t>n/a</t>
  </si>
  <si>
    <t>Statistica</t>
  </si>
  <si>
    <t>Eliberati</t>
  </si>
  <si>
    <t>Examen:</t>
  </si>
  <si>
    <t>Prezenta</t>
  </si>
  <si>
    <t>Exam</t>
  </si>
  <si>
    <t>Borderou</t>
  </si>
  <si>
    <t>Prezenti</t>
  </si>
  <si>
    <t>Admisi</t>
  </si>
  <si>
    <t>L1</t>
  </si>
  <si>
    <t>L2</t>
  </si>
  <si>
    <t>L3</t>
  </si>
  <si>
    <t>L4</t>
  </si>
  <si>
    <t>L5</t>
  </si>
  <si>
    <t>L6</t>
  </si>
  <si>
    <t>L7</t>
  </si>
  <si>
    <t>Varianta</t>
  </si>
  <si>
    <t>11.02/ 18.02</t>
  </si>
  <si>
    <t>25.02/ 4.03</t>
  </si>
  <si>
    <t>11.03/ 18.03</t>
  </si>
  <si>
    <t>25.03/ 1.04</t>
  </si>
  <si>
    <t>8.04/ 15.04</t>
  </si>
  <si>
    <t>Total</t>
  </si>
  <si>
    <t>Data susținerii--</t>
  </si>
  <si>
    <t>11.02
18.02</t>
  </si>
  <si>
    <t>25.02
4.03</t>
  </si>
  <si>
    <t>11.03
18.03</t>
  </si>
  <si>
    <t>25.03
1.04</t>
  </si>
  <si>
    <t>8.04
15.04</t>
  </si>
  <si>
    <t>22.04
6.05</t>
  </si>
  <si>
    <t>13.05</t>
  </si>
  <si>
    <t>Prezența</t>
  </si>
  <si>
    <t>Evaluarea activităților</t>
  </si>
  <si>
    <t>Penalit</t>
  </si>
  <si>
    <t>Penalități</t>
  </si>
  <si>
    <t xml:space="preserve">Nr. Subgrupe - </t>
  </si>
  <si>
    <t>Nota medie</t>
  </si>
  <si>
    <t>01</t>
  </si>
  <si>
    <t>30.01</t>
  </si>
  <si>
    <t>6.02</t>
  </si>
  <si>
    <t>13.02</t>
  </si>
  <si>
    <t>20.02</t>
  </si>
  <si>
    <t>27.02</t>
  </si>
  <si>
    <t>6.03</t>
  </si>
  <si>
    <t>Puncte activ. suplim</t>
  </si>
  <si>
    <r>
      <t xml:space="preserve">Mecanica Teoretică. Anul de studii:
Titular:
Grupa: 
Șeful grupei: </t>
    </r>
    <r>
      <rPr>
        <b/>
        <i/>
        <sz val="14"/>
        <color theme="1"/>
        <rFont val="Times New Roman"/>
        <family val="1"/>
      </rPr>
      <t>Nume, Prenume, telefon</t>
    </r>
  </si>
  <si>
    <t>Ore absentate</t>
  </si>
  <si>
    <t>Evidenţa îndeplinirii planului de învăţământ</t>
  </si>
  <si>
    <t>Evidenţa frecvenţei, reuşitei curente, evaluării curente a studenţilor</t>
  </si>
  <si>
    <t>Nr. crt.</t>
  </si>
  <si>
    <t>Evaluare curentă</t>
  </si>
  <si>
    <t>Data</t>
  </si>
  <si>
    <t>Temele de studii</t>
  </si>
  <si>
    <t>Nr. de ore</t>
  </si>
  <si>
    <t>Semnătura cadrului didactic</t>
  </si>
  <si>
    <t>Proiect / teză de an</t>
  </si>
  <si>
    <t>Numele, prenumele</t>
  </si>
  <si>
    <r>
      <t>Denumirea disciplinei _</t>
    </r>
    <r>
      <rPr>
        <u/>
        <sz val="12"/>
        <color theme="1"/>
        <rFont val="Calibri"/>
        <family val="2"/>
        <scheme val="minor"/>
      </rPr>
      <t>_Mecanica Teoretică</t>
    </r>
    <r>
      <rPr>
        <sz val="12"/>
        <color theme="1"/>
        <rFont val="Calibri"/>
        <family val="2"/>
        <charset val="238"/>
        <scheme val="minor"/>
      </rPr>
      <t>____</t>
    </r>
  </si>
  <si>
    <r>
      <t>Cadrul didactic:</t>
    </r>
    <r>
      <rPr>
        <u/>
        <sz val="12"/>
        <color theme="1"/>
        <rFont val="Calibri"/>
        <family val="2"/>
        <scheme val="minor"/>
      </rPr>
      <t xml:space="preserve"> </t>
    </r>
  </si>
  <si>
    <t>Lucrare de laborator Nr.1. Introducere în MatLab</t>
  </si>
  <si>
    <t>Lucrare de laborator Nr.2. Grafica în MatLab</t>
  </si>
  <si>
    <t>Lucrare de laborator Nr.3. Studiul cinematicii punctului (MatLab)</t>
  </si>
  <si>
    <t>Lucrare de laborator Nr.4. Compunerea oscilațiilor armonice</t>
  </si>
  <si>
    <t>Laborator</t>
  </si>
  <si>
    <t>28.01</t>
  </si>
  <si>
    <t xml:space="preserve">Lucrare de laborator Nr.5. Calculul caracteristicilor cinematice ale mișcării corpului rigid. </t>
  </si>
  <si>
    <t xml:space="preserve">Lucrare de laborator Nr.6.Studiul oscilațiilor rectilinii ale unui punct material </t>
  </si>
  <si>
    <t>Puncte utilizate</t>
  </si>
  <si>
    <t>D1</t>
  </si>
  <si>
    <t xml:space="preserve">Tema 1. </t>
  </si>
  <si>
    <t xml:space="preserve">Tema 2. </t>
  </si>
  <si>
    <t xml:space="preserve">Tema 3. </t>
  </si>
  <si>
    <t xml:space="preserve">Tema 4. </t>
  </si>
  <si>
    <t>Tema 5.</t>
  </si>
  <si>
    <t xml:space="preserve">Tema 6. </t>
  </si>
  <si>
    <t>Total Plan</t>
  </si>
  <si>
    <t>Total Realizat</t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</si>
  <si>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prelegeri, lucrări de laborator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</si>
  <si>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t>Media trunchiată (0.5)</t>
  </si>
  <si>
    <t>Ev.finală (0.5)</t>
  </si>
  <si>
    <t>example@mail.com</t>
  </si>
  <si>
    <t>Nota semestrială</t>
  </si>
  <si>
    <t>Componente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</si>
</sst>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\ [$P]"/>
  </numFmts>
  <fonts count="60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38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i/>
      <sz val="14"/>
      <color theme="1"/>
      <name val="Times New Roman"/>
      <family val="1"/>
    </font>
    <font>
      <b/>
      <i/>
      <sz val="14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4" tint="-0.249977111117893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Times New Roman"/>
      <family val="1"/>
    </font>
    <font>
      <b/>
      <sz val="16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sz val="16"/>
      <color theme="4" tint="-0.249977111117893"/>
      <name val="Times New Roman"/>
      <family val="1"/>
    </font>
    <font>
      <u/>
      <sz val="11"/>
      <color theme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9" fillId="0" borderId="0" applyNumberFormat="0" applyFill="0" applyBorder="0" applyAlignment="0" applyProtection="0"/>
  </cellStyleXfs>
  <cellXfs count="19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49" fontId="9" fillId="0" borderId="0" xfId="0" applyNumberFormat="1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horizontal="center" wrapText="1"/>
    </xf>
    <xf numFmtId="0" fontId="10" fillId="0" borderId="0" xfId="0" applyFont="1"/>
    <xf numFmtId="0" fontId="4" fillId="0" borderId="14" xfId="0" applyFont="1" applyBorder="1" applyAlignment="1">
      <alignment horizontal="center" vertical="center"/>
    </xf>
    <xf numFmtId="1" fontId="1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1" fontId="25" fillId="0" borderId="1" xfId="0" applyNumberFormat="1" applyFont="1" applyBorder="1" applyAlignment="1">
      <alignment horizontal="center" vertical="center" textRotation="90" wrapText="1"/>
    </xf>
    <xf numFmtId="0" fontId="30" fillId="0" borderId="0" xfId="0" applyFont="1"/>
    <xf numFmtId="0" fontId="33" fillId="0" borderId="0" xfId="0" applyFont="1" applyAlignment="1">
      <alignment vertical="top" wrapText="1"/>
    </xf>
    <xf numFmtId="0" fontId="22" fillId="0" borderId="0" xfId="0" applyFont="1"/>
    <xf numFmtId="0" fontId="35" fillId="0" borderId="0" xfId="0" applyFont="1"/>
    <xf numFmtId="0" fontId="3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/>
    </xf>
    <xf numFmtId="49" fontId="16" fillId="0" borderId="13" xfId="0" applyNumberFormat="1" applyFont="1" applyBorder="1" applyAlignment="1">
      <alignment horizontal="center" wrapText="1"/>
    </xf>
    <xf numFmtId="49" fontId="10" fillId="0" borderId="0" xfId="0" applyNumberFormat="1" applyFont="1" applyAlignment="1">
      <alignment horizontal="center"/>
    </xf>
    <xf numFmtId="49" fontId="36" fillId="0" borderId="0" xfId="0" applyNumberFormat="1" applyFont="1" applyAlignment="1">
      <alignment horizontal="center"/>
    </xf>
    <xf numFmtId="49" fontId="10" fillId="0" borderId="0" xfId="0" applyNumberFormat="1" applyFont="1"/>
    <xf numFmtId="1" fontId="6" fillId="0" borderId="13" xfId="0" applyNumberFormat="1" applyFont="1" applyBorder="1" applyAlignment="1">
      <alignment horizontal="center" wrapText="1"/>
    </xf>
    <xf numFmtId="1" fontId="16" fillId="0" borderId="0" xfId="0" applyNumberFormat="1" applyFont="1" applyAlignment="1">
      <alignment horizontal="center"/>
    </xf>
    <xf numFmtId="1" fontId="37" fillId="0" borderId="0" xfId="0" applyNumberFormat="1" applyFont="1"/>
    <xf numFmtId="0" fontId="19" fillId="0" borderId="0" xfId="0" applyFont="1" applyAlignment="1">
      <alignment horizontal="center"/>
    </xf>
    <xf numFmtId="0" fontId="23" fillId="0" borderId="0" xfId="0" applyFont="1"/>
    <xf numFmtId="1" fontId="23" fillId="0" borderId="0" xfId="0" applyNumberFormat="1" applyFont="1"/>
    <xf numFmtId="0" fontId="23" fillId="0" borderId="0" xfId="0" applyFont="1" applyAlignment="1">
      <alignment vertical="top" wrapText="1"/>
    </xf>
    <xf numFmtId="0" fontId="40" fillId="0" borderId="0" xfId="0" applyFont="1"/>
    <xf numFmtId="0" fontId="23" fillId="0" borderId="6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3" fillId="0" borderId="0" xfId="0" applyFont="1" applyAlignment="1">
      <alignment textRotation="90"/>
    </xf>
    <xf numFmtId="0" fontId="23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 textRotation="90"/>
    </xf>
    <xf numFmtId="0" fontId="23" fillId="0" borderId="1" xfId="0" applyFont="1" applyBorder="1" applyAlignment="1">
      <alignment horizontal="center" vertical="center"/>
    </xf>
    <xf numFmtId="14" fontId="19" fillId="4" borderId="1" xfId="0" applyNumberFormat="1" applyFont="1" applyFill="1" applyBorder="1" applyAlignment="1">
      <alignment horizontal="center" vertical="center" textRotation="90" wrapText="1"/>
    </xf>
    <xf numFmtId="49" fontId="19" fillId="4" borderId="1" xfId="0" applyNumberFormat="1" applyFont="1" applyFill="1" applyBorder="1" applyAlignment="1">
      <alignment horizontal="center" vertical="center" textRotation="90" wrapText="1"/>
    </xf>
    <xf numFmtId="49" fontId="19" fillId="4" borderId="1" xfId="0" applyNumberFormat="1" applyFont="1" applyFill="1" applyBorder="1" applyAlignment="1">
      <alignment horizontal="center" vertical="center" textRotation="90"/>
    </xf>
    <xf numFmtId="1" fontId="19" fillId="0" borderId="22" xfId="0" applyNumberFormat="1" applyFont="1" applyBorder="1" applyAlignment="1">
      <alignment horizontal="center" vertical="center" textRotation="90"/>
    </xf>
    <xf numFmtId="1" fontId="19" fillId="0" borderId="22" xfId="0" applyNumberFormat="1" applyFont="1" applyBorder="1" applyAlignment="1">
      <alignment horizontal="center" vertical="center" textRotation="90" wrapText="1"/>
    </xf>
    <xf numFmtId="0" fontId="23" fillId="0" borderId="0" xfId="0" applyFont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39" fillId="0" borderId="0" xfId="0" applyFont="1"/>
    <xf numFmtId="0" fontId="38" fillId="0" borderId="0" xfId="0" applyFont="1" applyAlignment="1">
      <alignment horizontal="center"/>
    </xf>
    <xf numFmtId="0" fontId="41" fillId="0" borderId="0" xfId="0" applyFont="1"/>
    <xf numFmtId="0" fontId="42" fillId="0" borderId="0" xfId="0" applyFont="1"/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/>
    <xf numFmtId="0" fontId="3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23" fillId="0" borderId="0" xfId="0" applyFont="1" applyAlignment="1">
      <alignment vertical="center" textRotation="90"/>
    </xf>
    <xf numFmtId="1" fontId="31" fillId="0" borderId="1" xfId="0" applyNumberFormat="1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 textRotation="90" wrapText="1"/>
    </xf>
    <xf numFmtId="0" fontId="37" fillId="0" borderId="0" xfId="0" applyFont="1"/>
    <xf numFmtId="0" fontId="23" fillId="0" borderId="9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 textRotation="90" wrapText="1"/>
    </xf>
    <xf numFmtId="1" fontId="21" fillId="0" borderId="9" xfId="0" applyNumberFormat="1" applyFont="1" applyBorder="1" applyAlignment="1">
      <alignment horizontal="center" vertical="center" textRotation="90" wrapText="1"/>
    </xf>
    <xf numFmtId="0" fontId="18" fillId="0" borderId="25" xfId="0" applyFont="1" applyBorder="1" applyAlignment="1">
      <alignment horizontal="center" vertical="center"/>
    </xf>
    <xf numFmtId="1" fontId="46" fillId="0" borderId="10" xfId="0" applyNumberFormat="1" applyFont="1" applyBorder="1" applyAlignment="1">
      <alignment horizontal="center" vertical="center"/>
    </xf>
    <xf numFmtId="0" fontId="48" fillId="0" borderId="0" xfId="0" applyFont="1"/>
    <xf numFmtId="0" fontId="49" fillId="0" borderId="29" xfId="0" applyFont="1" applyBorder="1" applyAlignment="1">
      <alignment horizontal="center" vertical="center"/>
    </xf>
    <xf numFmtId="165" fontId="22" fillId="0" borderId="0" xfId="0" applyNumberFormat="1" applyFont="1"/>
    <xf numFmtId="165" fontId="22" fillId="0" borderId="0" xfId="0" applyNumberFormat="1" applyFont="1" applyAlignment="1">
      <alignment horizontal="center" vertical="center"/>
    </xf>
    <xf numFmtId="0" fontId="47" fillId="0" borderId="0" xfId="0" applyFont="1"/>
    <xf numFmtId="0" fontId="44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49" fontId="19" fillId="5" borderId="1" xfId="0" applyNumberFormat="1" applyFont="1" applyFill="1" applyBorder="1" applyAlignment="1">
      <alignment horizontal="center" vertical="center" textRotation="90"/>
    </xf>
    <xf numFmtId="0" fontId="50" fillId="0" borderId="0" xfId="0" applyFont="1"/>
    <xf numFmtId="0" fontId="51" fillId="0" borderId="0" xfId="0" applyFont="1"/>
    <xf numFmtId="0" fontId="54" fillId="0" borderId="0" xfId="0" applyFont="1" applyAlignment="1">
      <alignment horizontal="left"/>
    </xf>
    <xf numFmtId="0" fontId="55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56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2" fontId="50" fillId="0" borderId="1" xfId="0" applyNumberFormat="1" applyFont="1" applyBorder="1" applyAlignment="1">
      <alignment horizontal="center" vertical="center" wrapText="1"/>
    </xf>
    <xf numFmtId="0" fontId="50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55" fillId="0" borderId="1" xfId="0" applyFont="1" applyBorder="1" applyAlignment="1">
      <alignment horizontal="right" vertical="center" wrapText="1"/>
    </xf>
    <xf numFmtId="0" fontId="57" fillId="0" borderId="1" xfId="0" applyFont="1" applyBorder="1" applyAlignment="1">
      <alignment horizontal="center" vertical="center"/>
    </xf>
    <xf numFmtId="0" fontId="23" fillId="0" borderId="9" xfId="0" applyFont="1" applyBorder="1" applyAlignment="1">
      <alignment vertical="top" wrapText="1"/>
    </xf>
    <xf numFmtId="0" fontId="16" fillId="0" borderId="0" xfId="0" applyFont="1"/>
    <xf numFmtId="0" fontId="23" fillId="0" borderId="0" xfId="0" applyFont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textRotation="90"/>
    </xf>
    <xf numFmtId="0" fontId="20" fillId="0" borderId="0" xfId="0" applyFont="1"/>
    <xf numFmtId="164" fontId="23" fillId="0" borderId="0" xfId="0" applyNumberFormat="1" applyFont="1" applyAlignment="1">
      <alignment horizontal="center"/>
    </xf>
    <xf numFmtId="0" fontId="23" fillId="6" borderId="0" xfId="0" applyFont="1" applyFill="1"/>
    <xf numFmtId="0" fontId="23" fillId="6" borderId="0" xfId="0" applyFont="1" applyFill="1" applyAlignment="1">
      <alignment horizontal="center" vertical="center"/>
    </xf>
    <xf numFmtId="164" fontId="45" fillId="0" borderId="0" xfId="0" applyNumberFormat="1" applyFont="1" applyAlignment="1">
      <alignment horizontal="center"/>
    </xf>
    <xf numFmtId="0" fontId="58" fillId="0" borderId="0" xfId="0" applyFont="1"/>
    <xf numFmtId="0" fontId="23" fillId="0" borderId="14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textRotation="90" wrapText="1"/>
    </xf>
    <xf numFmtId="1" fontId="23" fillId="0" borderId="0" xfId="0" applyNumberFormat="1" applyFont="1" applyAlignment="1">
      <alignment horizontal="center" vertical="center"/>
    </xf>
    <xf numFmtId="0" fontId="16" fillId="0" borderId="14" xfId="0" applyFont="1" applyBorder="1"/>
    <xf numFmtId="0" fontId="16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1" fontId="19" fillId="0" borderId="29" xfId="0" applyNumberFormat="1" applyFont="1" applyBorder="1" applyAlignment="1">
      <alignment horizontal="center" vertical="center" textRotation="90" wrapText="1"/>
    </xf>
    <xf numFmtId="1" fontId="19" fillId="0" borderId="25" xfId="0" applyNumberFormat="1" applyFont="1" applyBorder="1" applyAlignment="1">
      <alignment horizontal="center" vertical="center" textRotation="90" wrapText="1"/>
    </xf>
    <xf numFmtId="0" fontId="32" fillId="3" borderId="2" xfId="1" applyFont="1" applyFill="1" applyBorder="1" applyAlignment="1">
      <alignment horizontal="center" vertical="center" wrapText="1"/>
    </xf>
    <xf numFmtId="0" fontId="32" fillId="3" borderId="3" xfId="1" applyFont="1" applyFill="1" applyBorder="1" applyAlignment="1">
      <alignment horizontal="center" vertical="center" wrapText="1"/>
    </xf>
    <xf numFmtId="0" fontId="32" fillId="3" borderId="4" xfId="1" applyFont="1" applyFill="1" applyBorder="1" applyAlignment="1">
      <alignment horizontal="center" vertical="center" textRotation="90" wrapText="1"/>
    </xf>
    <xf numFmtId="0" fontId="32" fillId="3" borderId="5" xfId="1" applyFont="1" applyFill="1" applyBorder="1" applyAlignment="1">
      <alignment horizontal="center" vertical="center" textRotation="90" wrapText="1"/>
    </xf>
    <xf numFmtId="0" fontId="32" fillId="3" borderId="10" xfId="1" applyFont="1" applyFill="1" applyBorder="1" applyAlignment="1">
      <alignment horizontal="center" vertical="center" textRotation="90" wrapText="1"/>
    </xf>
    <xf numFmtId="165" fontId="32" fillId="3" borderId="4" xfId="1" applyNumberFormat="1" applyFont="1" applyFill="1" applyBorder="1" applyAlignment="1">
      <alignment horizontal="center" vertical="center" textRotation="90" wrapText="1"/>
    </xf>
    <xf numFmtId="0" fontId="45" fillId="5" borderId="0" xfId="0" applyFont="1" applyFill="1" applyAlignment="1">
      <alignment horizontal="center" vertical="center"/>
    </xf>
    <xf numFmtId="0" fontId="39" fillId="3" borderId="27" xfId="1" applyFont="1" applyFill="1" applyBorder="1" applyAlignment="1">
      <alignment horizontal="center" vertical="center" wrapText="1"/>
    </xf>
    <xf numFmtId="0" fontId="39" fillId="3" borderId="28" xfId="1" applyFont="1" applyFill="1" applyBorder="1" applyAlignment="1">
      <alignment horizontal="center" vertical="center" wrapText="1"/>
    </xf>
    <xf numFmtId="0" fontId="39" fillId="3" borderId="26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39" fillId="3" borderId="4" xfId="1" applyFont="1" applyFill="1" applyBorder="1" applyAlignment="1">
      <alignment horizontal="center" vertical="center" textRotation="90" wrapText="1"/>
    </xf>
    <xf numFmtId="0" fontId="39" fillId="3" borderId="5" xfId="1" applyFont="1" applyFill="1" applyBorder="1" applyAlignment="1">
      <alignment horizontal="center" vertical="center" textRotation="90" wrapText="1"/>
    </xf>
    <xf numFmtId="0" fontId="39" fillId="3" borderId="10" xfId="1" applyFont="1" applyFill="1" applyBorder="1" applyAlignment="1">
      <alignment horizontal="center" vertical="center" textRotation="90" wrapText="1"/>
    </xf>
    <xf numFmtId="0" fontId="32" fillId="3" borderId="1" xfId="1" applyFont="1" applyFill="1" applyBorder="1" applyAlignment="1">
      <alignment horizontal="center" vertical="center" wrapText="1"/>
    </xf>
    <xf numFmtId="0" fontId="32" fillId="3" borderId="6" xfId="1" applyFont="1" applyFill="1" applyBorder="1" applyAlignment="1">
      <alignment horizontal="center" vertical="center" wrapText="1"/>
    </xf>
    <xf numFmtId="0" fontId="32" fillId="3" borderId="7" xfId="1" applyFont="1" applyFill="1" applyBorder="1" applyAlignment="1">
      <alignment horizontal="center" vertical="center" wrapText="1"/>
    </xf>
    <xf numFmtId="0" fontId="32" fillId="3" borderId="8" xfId="1" applyFont="1" applyFill="1" applyBorder="1" applyAlignment="1">
      <alignment horizontal="center" vertical="center" wrapText="1"/>
    </xf>
    <xf numFmtId="0" fontId="32" fillId="3" borderId="9" xfId="1" applyFont="1" applyFill="1" applyBorder="1" applyAlignment="1">
      <alignment horizontal="center" vertical="center" wrapText="1"/>
    </xf>
    <xf numFmtId="0" fontId="32" fillId="3" borderId="11" xfId="1" applyFont="1" applyFill="1" applyBorder="1" applyAlignment="1">
      <alignment horizontal="center" vertical="center" wrapText="1"/>
    </xf>
    <xf numFmtId="0" fontId="32" fillId="3" borderId="12" xfId="1" applyFont="1" applyFill="1" applyBorder="1" applyAlignment="1">
      <alignment horizontal="center" vertical="center" wrapText="1"/>
    </xf>
    <xf numFmtId="0" fontId="32" fillId="3" borderId="1" xfId="1" applyFont="1" applyFill="1" applyBorder="1" applyAlignment="1">
      <alignment horizontal="center" vertical="center" textRotation="90" wrapText="1"/>
    </xf>
    <xf numFmtId="1" fontId="21" fillId="0" borderId="8" xfId="0" applyNumberFormat="1" applyFont="1" applyBorder="1" applyAlignment="1">
      <alignment horizontal="center" vertical="center" wrapText="1"/>
    </xf>
    <xf numFmtId="1" fontId="21" fillId="0" borderId="9" xfId="0" applyNumberFormat="1" applyFont="1" applyBorder="1" applyAlignment="1">
      <alignment horizontal="center" vertical="center" wrapText="1"/>
    </xf>
    <xf numFmtId="1" fontId="19" fillId="2" borderId="0" xfId="0" applyNumberFormat="1" applyFont="1" applyFill="1" applyAlignment="1">
      <alignment horizontal="center" vertical="center" textRotation="90"/>
    </xf>
    <xf numFmtId="1" fontId="19" fillId="2" borderId="14" xfId="0" applyNumberFormat="1" applyFont="1" applyFill="1" applyBorder="1" applyAlignment="1">
      <alignment horizontal="center" vertical="center" textRotation="90"/>
    </xf>
    <xf numFmtId="0" fontId="34" fillId="4" borderId="0" xfId="0" applyFont="1" applyFill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 wrapText="1"/>
    </xf>
    <xf numFmtId="49" fontId="23" fillId="0" borderId="21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49" fontId="23" fillId="0" borderId="18" xfId="0" applyNumberFormat="1" applyFont="1" applyBorder="1" applyAlignment="1">
      <alignment horizontal="center" vertical="center" wrapText="1"/>
    </xf>
    <xf numFmtId="49" fontId="23" fillId="0" borderId="19" xfId="0" applyNumberFormat="1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16" fillId="0" borderId="14" xfId="0" applyFont="1" applyBorder="1" applyAlignment="1">
      <alignment horizontal="center"/>
    </xf>
    <xf numFmtId="2" fontId="23" fillId="0" borderId="6" xfId="0" applyNumberFormat="1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55" fillId="0" borderId="1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2" fontId="24" fillId="0" borderId="6" xfId="0" applyNumberFormat="1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55" fillId="0" borderId="1" xfId="0" applyFont="1" applyBorder="1" applyAlignment="1">
      <alignment horizontal="center"/>
    </xf>
    <xf numFmtId="0" fontId="59" fillId="0" borderId="0" xfId="2"/>
    <xf numFmtId="165" fontId="32" fillId="3" borderId="10" xfId="1" applyNumberFormat="1" applyFont="1" applyFill="1" applyBorder="1" applyAlignment="1">
      <alignment horizontal="center" vertical="center" textRotation="90" wrapText="1"/>
    </xf>
    <xf numFmtId="0" fontId="23" fillId="0" borderId="30" xfId="0" applyFont="1" applyBorder="1" applyAlignment="1">
      <alignment horizontal="center" vertical="center"/>
    </xf>
    <xf numFmtId="14" fontId="19" fillId="4" borderId="31" xfId="0" applyNumberFormat="1" applyFont="1" applyFill="1" applyBorder="1" applyAlignment="1">
      <alignment horizontal="center" vertical="center" textRotation="90" wrapText="1"/>
    </xf>
    <xf numFmtId="14" fontId="19" fillId="4" borderId="32" xfId="0" applyNumberFormat="1" applyFont="1" applyFill="1" applyBorder="1" applyAlignment="1">
      <alignment horizontal="center" vertical="center" textRotation="90"/>
    </xf>
    <xf numFmtId="0" fontId="20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0" fontId="45" fillId="5" borderId="33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0" fontId="45" fillId="5" borderId="3" xfId="0" applyFont="1" applyFill="1" applyBorder="1" applyAlignment="1">
      <alignment horizontal="center" vertical="center"/>
    </xf>
  </cellXfs>
  <cellStyles count="3">
    <cellStyle name="Excel Built-in Normal" xfId="1" xr:uid="{00000000-0005-0000-0000-000000000000}"/>
    <cellStyle name="Hyperlink" xfId="2" builtinId="8"/>
    <cellStyle name="Normal" xfId="0" builtinId="0"/>
  </cellStyles>
  <dxfs count="1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66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3300"/>
      <color rgb="FFFF6446"/>
      <color rgb="FFED2939"/>
      <color rgb="FFFF6743"/>
      <color rgb="FFFF6161"/>
      <color rgb="FFFF8989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L</a:t>
            </a:r>
            <a:r>
              <a:rPr lang="en-US"/>
              <a:t>. </a:t>
            </a:r>
            <a:r>
              <a:rPr lang="ro-RO"/>
              <a:t>Individual</a:t>
            </a:r>
            <a:endParaRPr lang="ro-M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'Lucru Individual'!$I$3:$I$12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'Lucru Individual'!$J$3:$J$12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3-4D83-9E4F-A5B3802A61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Examen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Examen!$K$3:$K$12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Examen!$L$3:$L$12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1-4EB8-B103-2FE680095C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23854</xdr:colOff>
      <xdr:row>1</xdr:row>
      <xdr:rowOff>33935</xdr:rowOff>
    </xdr:from>
    <xdr:to>
      <xdr:col>20</xdr:col>
      <xdr:colOff>237567</xdr:colOff>
      <xdr:row>16</xdr:row>
      <xdr:rowOff>138391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B4DEEB-7790-46B0-BE66-A01FB8354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136072</xdr:colOff>
      <xdr:row>1</xdr:row>
      <xdr:rowOff>43543</xdr:rowOff>
    </xdr:from>
    <xdr:to>
      <xdr:col>21</xdr:col>
      <xdr:colOff>163285</xdr:colOff>
      <xdr:row>18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BF52C6-34D0-46F2-91FA-F3977A9967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5"/>
  <sheetViews>
    <sheetView tabSelected="1" zoomScale="70" zoomScaleNormal="70" workbookViewId="0">
      <selection activeCell="W12" sqref="W12:W13"/>
    </sheetView>
  </sheetViews>
  <sheetFormatPr defaultRowHeight="18" x14ac:dyDescent="0.35"/>
  <cols>
    <col min="1" max="1" width="3.44140625" customWidth="1"/>
    <col min="2" max="2" width="5" style="78" customWidth="1"/>
    <col min="3" max="3" width="26.6640625" customWidth="1"/>
    <col min="4" max="4" width="19.88671875" customWidth="1"/>
    <col min="5" max="10" width="4.44140625" customWidth="1"/>
    <col min="11" max="12" width="4.44140625" style="42" customWidth="1"/>
    <col min="13" max="13" width="6.88671875" customWidth="1"/>
    <col min="14" max="14" width="5.88671875" customWidth="1"/>
    <col min="15" max="16" width="6.109375" style="96" customWidth="1"/>
    <col min="17" max="17" width="6.33203125" style="33" customWidth="1"/>
    <col min="18" max="18" width="6" style="34" customWidth="1"/>
    <col min="20" max="20" width="10.44140625" bestFit="1" customWidth="1"/>
    <col min="22" max="22" width="8.88671875" style="98"/>
    <col min="24" max="24" width="13.5546875" customWidth="1"/>
    <col min="27" max="35" width="7" customWidth="1"/>
  </cols>
  <sheetData>
    <row r="1" spans="1:40" ht="15.75" customHeight="1" x14ac:dyDescent="0.35">
      <c r="A1" s="2"/>
      <c r="B1" s="77"/>
      <c r="C1" s="2"/>
      <c r="D1" s="2"/>
      <c r="E1" s="2"/>
      <c r="F1" s="2"/>
      <c r="G1" s="2"/>
    </row>
    <row r="2" spans="1:40" ht="73.2" customHeight="1" thickBot="1" x14ac:dyDescent="0.35">
      <c r="B2" s="81"/>
      <c r="C2" s="144" t="s">
        <v>82</v>
      </c>
      <c r="D2" s="144"/>
      <c r="E2" s="144"/>
      <c r="F2" s="144"/>
      <c r="G2" s="144"/>
      <c r="H2" s="144"/>
      <c r="I2" s="144"/>
      <c r="J2" s="144"/>
      <c r="K2" s="144"/>
      <c r="L2" s="54"/>
      <c r="M2" s="187"/>
      <c r="N2" s="187"/>
      <c r="O2" s="187"/>
      <c r="P2" s="118"/>
      <c r="Q2" s="54"/>
      <c r="R2" s="116"/>
      <c r="S2" s="148" t="s">
        <v>118</v>
      </c>
      <c r="T2" s="148"/>
      <c r="U2" s="148"/>
      <c r="V2" s="145" t="s">
        <v>116</v>
      </c>
      <c r="W2" s="148" t="s">
        <v>6</v>
      </c>
      <c r="X2" s="148"/>
      <c r="Y2" s="148"/>
      <c r="AA2" s="141" t="s">
        <v>40</v>
      </c>
      <c r="AB2" s="142"/>
      <c r="AC2" s="142"/>
      <c r="AD2" s="143"/>
    </row>
    <row r="3" spans="1:40" ht="27" customHeight="1" thickTop="1" x14ac:dyDescent="0.3">
      <c r="A3" s="2"/>
      <c r="B3" s="82"/>
      <c r="C3" s="83"/>
      <c r="D3" s="83"/>
      <c r="E3" s="140" t="s">
        <v>19</v>
      </c>
      <c r="F3" s="140"/>
      <c r="G3" s="140"/>
      <c r="H3" s="140"/>
      <c r="I3" s="140"/>
      <c r="J3" s="140"/>
      <c r="K3"/>
      <c r="L3"/>
      <c r="M3" s="188" t="s">
        <v>3</v>
      </c>
      <c r="N3" s="189"/>
      <c r="O3" s="189"/>
      <c r="P3" s="190"/>
      <c r="Q3" s="186"/>
      <c r="R3" s="89"/>
      <c r="S3" s="134" t="s">
        <v>119</v>
      </c>
      <c r="T3" s="135"/>
      <c r="U3" s="136" t="s">
        <v>115</v>
      </c>
      <c r="V3" s="146"/>
      <c r="W3" s="149" t="s">
        <v>7</v>
      </c>
      <c r="X3" s="150"/>
      <c r="Y3" s="155" t="s">
        <v>8</v>
      </c>
      <c r="AA3" s="132" t="s">
        <v>43</v>
      </c>
      <c r="AB3" s="132" t="s">
        <v>44</v>
      </c>
      <c r="AC3" s="132" t="s">
        <v>45</v>
      </c>
      <c r="AD3" s="132" t="s">
        <v>39</v>
      </c>
    </row>
    <row r="4" spans="1:40" ht="51.6" customHeight="1" thickBot="1" x14ac:dyDescent="0.35">
      <c r="A4" s="2"/>
      <c r="B4" s="82"/>
      <c r="C4" s="35"/>
      <c r="D4" s="83"/>
      <c r="E4" s="84" t="s">
        <v>23</v>
      </c>
      <c r="F4" s="84" t="s">
        <v>24</v>
      </c>
      <c r="G4" s="84" t="s">
        <v>25</v>
      </c>
      <c r="H4" s="84" t="s">
        <v>26</v>
      </c>
      <c r="I4" s="84" t="s">
        <v>27</v>
      </c>
      <c r="J4" s="84" t="s">
        <v>28</v>
      </c>
      <c r="K4" s="158" t="s">
        <v>83</v>
      </c>
      <c r="L4"/>
      <c r="M4" s="36" t="s">
        <v>4</v>
      </c>
      <c r="N4" s="36" t="s">
        <v>5</v>
      </c>
      <c r="O4" s="139" t="s">
        <v>81</v>
      </c>
      <c r="P4" s="139" t="s">
        <v>104</v>
      </c>
      <c r="Q4" s="156" t="s">
        <v>42</v>
      </c>
      <c r="R4" s="157"/>
      <c r="S4" s="136" t="s">
        <v>11</v>
      </c>
      <c r="T4" s="136" t="s">
        <v>12</v>
      </c>
      <c r="U4" s="137"/>
      <c r="V4" s="146"/>
      <c r="W4" s="151"/>
      <c r="X4" s="152"/>
      <c r="Y4" s="155"/>
      <c r="AA4" s="133"/>
      <c r="AB4" s="133"/>
      <c r="AC4" s="133"/>
      <c r="AD4" s="133"/>
      <c r="AF4" s="92" t="s">
        <v>30</v>
      </c>
      <c r="AG4" s="92" t="s">
        <v>31</v>
      </c>
      <c r="AH4" s="92" t="s">
        <v>32</v>
      </c>
      <c r="AI4" s="92" t="s">
        <v>33</v>
      </c>
      <c r="AJ4" s="92" t="s">
        <v>34</v>
      </c>
      <c r="AK4" s="92" t="s">
        <v>35</v>
      </c>
      <c r="AL4" s="92" t="s">
        <v>36</v>
      </c>
      <c r="AM4" s="92" t="s">
        <v>17</v>
      </c>
      <c r="AN4" s="92" t="s">
        <v>37</v>
      </c>
    </row>
    <row r="5" spans="1:40" ht="74.400000000000006" customHeight="1" thickTop="1" x14ac:dyDescent="0.4">
      <c r="A5" s="2"/>
      <c r="B5" s="85" t="s">
        <v>0</v>
      </c>
      <c r="C5" s="86" t="s">
        <v>1</v>
      </c>
      <c r="D5" s="86" t="s">
        <v>2</v>
      </c>
      <c r="E5" s="101" t="s">
        <v>75</v>
      </c>
      <c r="F5" s="101" t="s">
        <v>76</v>
      </c>
      <c r="G5" s="101" t="s">
        <v>77</v>
      </c>
      <c r="H5" s="101" t="s">
        <v>78</v>
      </c>
      <c r="I5" s="101" t="s">
        <v>79</v>
      </c>
      <c r="J5" s="101" t="s">
        <v>80</v>
      </c>
      <c r="K5" s="159"/>
      <c r="L5"/>
      <c r="M5" s="127"/>
      <c r="N5" s="87"/>
      <c r="O5" s="182"/>
      <c r="P5" s="182"/>
      <c r="Q5" s="90" t="s">
        <v>41</v>
      </c>
      <c r="R5" s="91" t="s">
        <v>39</v>
      </c>
      <c r="S5" s="138"/>
      <c r="T5" s="138"/>
      <c r="U5" s="138"/>
      <c r="V5" s="147"/>
      <c r="W5" s="153"/>
      <c r="X5" s="154"/>
      <c r="Y5" s="155"/>
      <c r="AA5" s="93">
        <f>COUNTA(C6:C105)</f>
        <v>1</v>
      </c>
      <c r="AB5" s="93">
        <f>AA5-COUNTIFS(B6:B105,"&gt;0",Q6:Q105,"a")</f>
        <v>1</v>
      </c>
      <c r="AC5" s="93">
        <f>AA5-COUNTIF(V6:V105,"n/a")</f>
        <v>0</v>
      </c>
      <c r="AD5" s="93">
        <f>COUNTA(R6:R105)</f>
        <v>0</v>
      </c>
      <c r="AE5" s="94"/>
      <c r="AF5" s="95">
        <f t="shared" ref="AF5:AL5" si="0">COUNTIF($Y$6:$Y$105,AF4)</f>
        <v>0</v>
      </c>
      <c r="AG5" s="95">
        <f t="shared" si="0"/>
        <v>0</v>
      </c>
      <c r="AH5" s="95">
        <f t="shared" si="0"/>
        <v>0</v>
      </c>
      <c r="AI5" s="95">
        <f t="shared" si="0"/>
        <v>0</v>
      </c>
      <c r="AJ5" s="95">
        <f t="shared" si="0"/>
        <v>0</v>
      </c>
      <c r="AK5" s="95">
        <f t="shared" si="0"/>
        <v>0</v>
      </c>
      <c r="AL5" s="95">
        <f t="shared" si="0"/>
        <v>0</v>
      </c>
      <c r="AM5" s="95">
        <f>COUNTIF($V$6:$V$105,AM4)</f>
        <v>0</v>
      </c>
      <c r="AN5" s="95">
        <f>COUNTIF($V$6:$V$105,AN4)</f>
        <v>1</v>
      </c>
    </row>
    <row r="6" spans="1:40" x14ac:dyDescent="0.35">
      <c r="A6" s="2"/>
      <c r="B6" s="34">
        <f>IF(NOT(ISBLANK(C6)),COUNTA($C$6:C6),"")</f>
        <v>1</v>
      </c>
      <c r="C6" s="68" t="s">
        <v>1</v>
      </c>
      <c r="D6" s="181" t="s">
        <v>117</v>
      </c>
      <c r="E6" s="33"/>
      <c r="F6" s="33"/>
      <c r="G6" s="33"/>
      <c r="H6" s="33"/>
      <c r="I6" s="33"/>
      <c r="J6" s="33"/>
      <c r="K6" s="34" t="str">
        <f t="shared" ref="K6:K37" si="1">IF(NOT(ISBLANK(C6)),IF(COUNTIF(E6:J6,"a")&lt;&gt;0,COUNTIF(E6:J6,"a")*2,""),"")</f>
        <v/>
      </c>
      <c r="L6"/>
      <c r="M6" s="34" t="str">
        <f>Examen!G2</f>
        <v>n/p</v>
      </c>
      <c r="N6" s="34"/>
      <c r="O6" s="97" t="str">
        <f>IF(NOT(ISBLANK(B6)),
IF(SUM(E6:J6)+SUM(Laborator!E7:J7)&lt;&gt;0,SUM(E6:J6)+SUM(Laborator!E7:J7),""),
"")</f>
        <v/>
      </c>
      <c r="P6" s="97"/>
      <c r="S6" s="34" t="str">
        <f>IF(NOT(ISBLANK(C6)),IF(ISNUMBER(Laborator!AD7),Laborator!AD7,"n/p"),"")</f>
        <v>n/p</v>
      </c>
      <c r="T6" s="128" t="str">
        <f>'Lucru Individual'!G2</f>
        <v>n/p</v>
      </c>
      <c r="U6" s="34" t="str">
        <f>IF(NOT(ISBLANK(C6)),
IF(OR(S6="n/p",T6="n/p",S6&lt;5,T6&lt;5)," ",TRUNC(SUM(S6:T6)/2,2)),
"")</f>
        <v xml:space="preserve"> </v>
      </c>
      <c r="V6" s="34" t="str">
        <f>IF(NOT(ISBLANK(C6)),
IF(U6=" ","n/a",
IF(R6,R6,
IF(COUNT(MAX(AVERAGE(M6:N6),0)),MAX(M6:N6),"n/p"))),
"")</f>
        <v>n/a</v>
      </c>
      <c r="W6" s="100" t="str">
        <f>IF(NOT(ISBLANK(C6)),
IF(OR(V6="n/a",V6="n/p")," ",
IF(V6&lt;5,V6,TRUNC(U6*0.5+V6*0.5,2))),
"")</f>
        <v xml:space="preserve"> </v>
      </c>
      <c r="X6" s="33" t="str">
        <f>IF(NOT(ISBLANK(C6)),
IF(W6=" "," ",
IF(AND(W6&gt;=1,W6&lt;2),"(unu, "&amp;ROUNDUP(MOD(W6*100,100),0)&amp;")",
IF(AND(W6&gt;=2,W6&lt;3),"(doi, "&amp;ROUNDUP(MOD(W6*100,100),0)&amp;")",
IF(AND(W6&gt;=3,W6&lt;4),"(trei, "&amp;ROUNDUP(MOD(W6*100,100),0)&amp;")",
IF(AND(W6&gt;=4,W6&lt;5),"(patru, "&amp;ROUNDUP(MOD(W6*100,100),0)&amp;")",
IF(AND(W6&gt;=5,W6&lt;6),"(cinci, "&amp;ROUNDUP(MOD(W6*100,100),0)&amp;")",
IF(AND(W6&gt;=6,W6&lt;7),"(şase, "&amp;ROUNDUP(MOD(W6*100,100),0)&amp;")",
IF(AND(W6&gt;=7,W6&lt;8),"(şapte, "&amp;ROUNDUP(MOD(W6*100,100),0)&amp;")",
IF(AND(W6&gt;=8,W6&lt;9),"(opt, "&amp;ROUNDUP(MOD(W6*100,100),0)&amp;")",
IF(AND(W6&gt;=9,W6&lt;10),"(nouă, "&amp;ROUNDUP(MOD(W6*100,100),0)&amp;")",
IF(W6=10,"(zece, 00)",
))))))))))),"")</f>
        <v xml:space="preserve"> </v>
      </c>
      <c r="Y6" s="34" t="str">
        <f>IF(NOT(ISBLANK(C6)),
IF(W6=" ","  ",
IF(AND(W6&gt;=1,W6&lt;=3),"F",
IF(AND(W6&gt;3,W6&lt;5),"FX",
IF(AND(W6&gt;=5,W6&lt;=6),"E",
IF(AND(W6&gt;6,W6&lt;=7),"D",
IF(AND(W6&gt;7,W6&lt;=8),"C",
IF(AND(W6&gt;8,W6&lt;=9),"B",
IF(AND(W6&gt;9,W6&lt;=10),"A",
)))))))),"")</f>
        <v xml:space="preserve">  </v>
      </c>
      <c r="AA6" s="117"/>
      <c r="AB6" s="117"/>
      <c r="AC6" s="117"/>
      <c r="AD6" s="88"/>
      <c r="AE6" s="88"/>
      <c r="AF6" s="88"/>
      <c r="AG6" s="88"/>
      <c r="AH6" s="88"/>
      <c r="AI6" s="88"/>
    </row>
    <row r="7" spans="1:40" x14ac:dyDescent="0.35">
      <c r="A7" s="2"/>
      <c r="B7" s="34" t="str">
        <f>IF(NOT(ISBLANK(C7)),COUNTA($C$6:C7),"")</f>
        <v/>
      </c>
      <c r="C7" s="68"/>
      <c r="D7" s="73"/>
      <c r="E7" s="33"/>
      <c r="F7" s="33"/>
      <c r="G7" s="33"/>
      <c r="H7" s="33"/>
      <c r="I7" s="33"/>
      <c r="J7" s="33"/>
      <c r="K7" s="34" t="str">
        <f t="shared" si="1"/>
        <v/>
      </c>
      <c r="L7"/>
      <c r="M7" s="34" t="str">
        <f>Examen!G3</f>
        <v/>
      </c>
      <c r="N7" s="34"/>
      <c r="O7" s="97" t="str">
        <f>IF(NOT(ISBLANK(B7)),
IF(SUM(E7:J7)+SUM(Laborator!E8:J8)&lt;&gt;0,SUM(E7:J7)+SUM(Laborator!E8:J8),""),
"")</f>
        <v/>
      </c>
      <c r="P7" s="97"/>
      <c r="S7" s="34" t="str">
        <f>IF(NOT(ISBLANK(C7)),IF(ISNUMBER(Laborator!AD8),Laborator!AD8,"n/p"),"")</f>
        <v/>
      </c>
      <c r="T7" s="128" t="str">
        <f>'Lucru Individual'!G3</f>
        <v/>
      </c>
      <c r="U7" s="34" t="str">
        <f t="shared" ref="U7:U70" si="2">IF(NOT(ISBLANK(C7)),
IF(OR(S7="n/p",T7="n/p",S7&lt;5,T7&lt;5)," ",TRUNC(SUM(S7:T7)/2,2)),
"")</f>
        <v/>
      </c>
      <c r="V7" s="34" t="str">
        <f t="shared" ref="V7:V70" si="3">IF(NOT(ISBLANK(C7)),
IF(U7=" ","n/a",
IF(R7,R7,
IF(COUNT(MAX(AVERAGE(M7:N7),0)),MAX(M7:N7),"n/p"))),
"")</f>
        <v/>
      </c>
      <c r="W7" s="100" t="str">
        <f t="shared" ref="W7:W70" si="4">IF(NOT(ISBLANK(C7)),
IF(OR(V7="n/a",V7="n/p")," ",
IF(V7&lt;5,V7,TRUNC(U7*0.5+V7*0.5,2))),
"")</f>
        <v/>
      </c>
      <c r="X7" s="33" t="str">
        <f t="shared" ref="X7:X70" si="5">IF(NOT(ISBLANK(C7)),
IF(W7=" "," ",
IF(AND(W7&gt;=1,W7&lt;2),"(unu, "&amp;ROUNDUP(MOD(W7*100,100),0)&amp;")",
IF(AND(W7&gt;=2,W7&lt;3),"(doi, "&amp;ROUNDUP(MOD(W7*100,100),0)&amp;")",
IF(AND(W7&gt;=3,W7&lt;4),"(trei, "&amp;ROUNDUP(MOD(W7*100,100),0)&amp;")",
IF(AND(W7&gt;=4,W7&lt;5),"(patru, "&amp;ROUNDUP(MOD(W7*100,100),0)&amp;")",
IF(AND(W7&gt;=5,W7&lt;6),"(cinci, "&amp;ROUNDUP(MOD(W7*100,100),0)&amp;")",
IF(AND(W7&gt;=6,W7&lt;7),"(şase, "&amp;ROUNDUP(MOD(W7*100,100),0)&amp;")",
IF(AND(W7&gt;=7,W7&lt;8),"(şapte, "&amp;ROUNDUP(MOD(W7*100,100),0)&amp;")",
IF(AND(W7&gt;=8,W7&lt;9),"(opt, "&amp;ROUNDUP(MOD(W7*100,100),0)&amp;")",
IF(AND(W7&gt;=9,W7&lt;10),"(nouă, "&amp;ROUNDUP(MOD(W7*100,100),0)&amp;")",
IF(W7=10,"(zece, 00)",
))))))))))),"")</f>
        <v/>
      </c>
      <c r="Y7" s="34" t="str">
        <f t="shared" ref="Y7:Y70" si="6">IF(NOT(ISBLANK(C7)),
IF(W7=" ","  ",
IF(AND(W7&gt;=1,W7&lt;=3),"F",
IF(AND(W7&gt;3,W7&lt;5),"FX",
IF(AND(W7&gt;=5,W7&lt;=6),"E",
IF(AND(W7&gt;6,W7&lt;=7),"D",
IF(AND(W7&gt;7,W7&lt;=8),"C",
IF(AND(W7&gt;8,W7&lt;=9),"B",
IF(AND(W7&gt;9,W7&lt;=10),"A",
)))))))),"")</f>
        <v/>
      </c>
      <c r="AA7" s="88"/>
      <c r="AB7" s="88"/>
      <c r="AC7" s="13"/>
      <c r="AD7" s="88"/>
      <c r="AE7" s="88"/>
      <c r="AF7" s="88"/>
      <c r="AG7" s="88"/>
      <c r="AH7" s="88"/>
      <c r="AI7" s="88"/>
    </row>
    <row r="8" spans="1:40" x14ac:dyDescent="0.35">
      <c r="A8" s="2"/>
      <c r="B8" s="34" t="str">
        <f>IF(NOT(ISBLANK(C8)),COUNTA($C$6:C8),"")</f>
        <v/>
      </c>
      <c r="C8" s="68"/>
      <c r="D8" s="73"/>
      <c r="E8" s="33"/>
      <c r="F8" s="33"/>
      <c r="G8" s="33"/>
      <c r="H8" s="33"/>
      <c r="I8" s="33"/>
      <c r="J8" s="33"/>
      <c r="K8" s="34" t="str">
        <f t="shared" si="1"/>
        <v/>
      </c>
      <c r="L8"/>
      <c r="M8" s="34" t="str">
        <f>Examen!G4</f>
        <v/>
      </c>
      <c r="N8" s="34"/>
      <c r="O8" s="97" t="str">
        <f>IF(NOT(ISBLANK(B8)),
IF(SUM(E8:J8)+SUM(Laborator!E9:J9)&lt;&gt;0,SUM(E8:J8)+SUM(Laborator!E9:J9),""),
"")</f>
        <v/>
      </c>
      <c r="P8" s="97"/>
      <c r="S8" s="34" t="str">
        <f>IF(NOT(ISBLANK(C8)),IF(ISNUMBER(Laborator!AD9),Laborator!AD9,"n/p"),"")</f>
        <v/>
      </c>
      <c r="T8" s="128" t="str">
        <f>'Lucru Individual'!G4</f>
        <v/>
      </c>
      <c r="U8" s="34" t="str">
        <f t="shared" si="2"/>
        <v/>
      </c>
      <c r="V8" s="34" t="str">
        <f t="shared" si="3"/>
        <v/>
      </c>
      <c r="W8" s="100" t="str">
        <f t="shared" si="4"/>
        <v/>
      </c>
      <c r="X8" s="33" t="str">
        <f t="shared" si="5"/>
        <v/>
      </c>
      <c r="Y8" s="34" t="str">
        <f t="shared" si="6"/>
        <v/>
      </c>
      <c r="AA8" s="88"/>
      <c r="AB8" s="88"/>
      <c r="AC8" s="13"/>
      <c r="AD8" s="88"/>
      <c r="AE8" s="88"/>
      <c r="AF8" s="88"/>
      <c r="AG8" s="88"/>
      <c r="AH8" s="88"/>
      <c r="AI8" s="88"/>
    </row>
    <row r="9" spans="1:40" x14ac:dyDescent="0.35">
      <c r="A9" s="2"/>
      <c r="B9" s="34" t="str">
        <f>IF(NOT(ISBLANK(C9)),COUNTA($C$6:C9),"")</f>
        <v/>
      </c>
      <c r="C9" s="68"/>
      <c r="D9" s="73"/>
      <c r="E9" s="33"/>
      <c r="F9" s="33"/>
      <c r="G9" s="33"/>
      <c r="H9" s="33"/>
      <c r="I9" s="33"/>
      <c r="J9" s="33"/>
      <c r="K9" s="34" t="str">
        <f t="shared" si="1"/>
        <v/>
      </c>
      <c r="L9"/>
      <c r="M9" s="34" t="str">
        <f>Examen!G5</f>
        <v/>
      </c>
      <c r="N9" s="34"/>
      <c r="O9" s="97" t="str">
        <f>IF(NOT(ISBLANK(B9)),
IF(SUM(E9:J9)+SUM(Laborator!E10:J10)&lt;&gt;0,SUM(E9:J9)+SUM(Laborator!E10:J10),""),
"")</f>
        <v/>
      </c>
      <c r="P9" s="97"/>
      <c r="S9" s="34" t="str">
        <f>IF(NOT(ISBLANK(C9)),IF(ISNUMBER(Laborator!AD10),Laborator!AD10,"n/p"),"")</f>
        <v/>
      </c>
      <c r="T9" s="128" t="str">
        <f>'Lucru Individual'!G5</f>
        <v/>
      </c>
      <c r="U9" s="34" t="str">
        <f t="shared" si="2"/>
        <v/>
      </c>
      <c r="V9" s="34" t="str">
        <f t="shared" si="3"/>
        <v/>
      </c>
      <c r="W9" s="100" t="str">
        <f t="shared" si="4"/>
        <v/>
      </c>
      <c r="X9" s="33" t="str">
        <f t="shared" si="5"/>
        <v/>
      </c>
      <c r="Y9" s="34" t="str">
        <f t="shared" si="6"/>
        <v/>
      </c>
      <c r="AA9" s="88"/>
      <c r="AB9" s="88"/>
      <c r="AC9" s="13"/>
      <c r="AD9" s="88"/>
      <c r="AE9" s="88"/>
      <c r="AF9" s="88"/>
      <c r="AG9" s="88"/>
      <c r="AH9" s="88"/>
      <c r="AI9" s="88"/>
    </row>
    <row r="10" spans="1:40" x14ac:dyDescent="0.35">
      <c r="A10" s="2"/>
      <c r="B10" s="34" t="str">
        <f>IF(NOT(ISBLANK(C10)),COUNTA($C$6:C10),"")</f>
        <v/>
      </c>
      <c r="C10" s="68"/>
      <c r="D10" s="73"/>
      <c r="E10" s="33"/>
      <c r="F10" s="33"/>
      <c r="G10" s="33"/>
      <c r="H10" s="33"/>
      <c r="I10" s="33"/>
      <c r="J10" s="33"/>
      <c r="K10" s="34" t="str">
        <f t="shared" si="1"/>
        <v/>
      </c>
      <c r="L10"/>
      <c r="M10" s="34" t="str">
        <f>Examen!G6</f>
        <v/>
      </c>
      <c r="N10" s="34"/>
      <c r="O10" s="97" t="str">
        <f>IF(NOT(ISBLANK(B10)),
IF(SUM(E10:J10)+SUM(Laborator!E11:J11)&lt;&gt;0,SUM(E10:J10)+SUM(Laborator!E11:J11),""),
"")</f>
        <v/>
      </c>
      <c r="P10" s="97"/>
      <c r="S10" s="34" t="str">
        <f>IF(NOT(ISBLANK(C10)),IF(ISNUMBER(Laborator!AD11),Laborator!AD11,"n/p"),"")</f>
        <v/>
      </c>
      <c r="T10" s="128" t="str">
        <f>'Lucru Individual'!G6</f>
        <v/>
      </c>
      <c r="U10" s="34" t="str">
        <f t="shared" si="2"/>
        <v/>
      </c>
      <c r="V10" s="34" t="str">
        <f t="shared" si="3"/>
        <v/>
      </c>
      <c r="W10" s="100" t="str">
        <f t="shared" si="4"/>
        <v/>
      </c>
      <c r="X10" s="33" t="str">
        <f t="shared" si="5"/>
        <v/>
      </c>
      <c r="Y10" s="34" t="str">
        <f t="shared" si="6"/>
        <v/>
      </c>
      <c r="AA10" s="88"/>
      <c r="AB10" s="88"/>
      <c r="AC10" s="13"/>
      <c r="AD10" s="88"/>
      <c r="AE10" s="88"/>
      <c r="AF10" s="88"/>
      <c r="AG10" s="88"/>
      <c r="AH10" s="88"/>
      <c r="AI10" s="88"/>
    </row>
    <row r="11" spans="1:40" x14ac:dyDescent="0.35">
      <c r="A11" s="2"/>
      <c r="B11" s="34" t="str">
        <f>IF(NOT(ISBLANK(C11)),COUNTA($C$6:C11),"")</f>
        <v/>
      </c>
      <c r="C11" s="68"/>
      <c r="D11" s="73"/>
      <c r="E11" s="33"/>
      <c r="F11" s="33"/>
      <c r="G11" s="33"/>
      <c r="H11" s="33"/>
      <c r="I11" s="33"/>
      <c r="J11" s="33"/>
      <c r="K11" s="34" t="str">
        <f t="shared" si="1"/>
        <v/>
      </c>
      <c r="L11"/>
      <c r="M11" s="34" t="str">
        <f>Examen!G7</f>
        <v/>
      </c>
      <c r="N11" s="34"/>
      <c r="O11" s="97" t="str">
        <f>IF(NOT(ISBLANK(B11)),
IF(SUM(E11:J11)+SUM(Laborator!E12:J12)&lt;&gt;0,SUM(E11:J11)+SUM(Laborator!E12:J12),""),
"")</f>
        <v/>
      </c>
      <c r="P11" s="97"/>
      <c r="S11" s="34" t="str">
        <f>IF(NOT(ISBLANK(C11)),IF(ISNUMBER(Laborator!AD12),Laborator!AD12,"n/p"),"")</f>
        <v/>
      </c>
      <c r="T11" s="128" t="str">
        <f>'Lucru Individual'!G7</f>
        <v/>
      </c>
      <c r="U11" s="34" t="str">
        <f t="shared" si="2"/>
        <v/>
      </c>
      <c r="V11" s="34" t="str">
        <f t="shared" si="3"/>
        <v/>
      </c>
      <c r="W11" s="100" t="str">
        <f t="shared" si="4"/>
        <v/>
      </c>
      <c r="X11" s="33" t="str">
        <f t="shared" si="5"/>
        <v/>
      </c>
      <c r="Y11" s="34" t="str">
        <f t="shared" si="6"/>
        <v/>
      </c>
      <c r="AA11" s="8"/>
      <c r="AB11" s="13"/>
      <c r="AC11" s="13"/>
    </row>
    <row r="12" spans="1:40" x14ac:dyDescent="0.35">
      <c r="A12" s="2"/>
      <c r="B12" s="34" t="str">
        <f>IF(NOT(ISBLANK(C12)),COUNTA($C$6:C12),"")</f>
        <v/>
      </c>
      <c r="C12" s="68"/>
      <c r="D12" s="73"/>
      <c r="E12" s="33"/>
      <c r="F12" s="33"/>
      <c r="G12" s="33"/>
      <c r="H12" s="33"/>
      <c r="I12" s="33"/>
      <c r="J12" s="33"/>
      <c r="K12" s="34" t="str">
        <f t="shared" si="1"/>
        <v/>
      </c>
      <c r="L12"/>
      <c r="M12" s="34" t="str">
        <f>Examen!G8</f>
        <v/>
      </c>
      <c r="N12" s="34"/>
      <c r="O12" s="97" t="str">
        <f>IF(NOT(ISBLANK(B12)),
IF(SUM(E12:J12)+SUM(Laborator!E13:J13)&lt;&gt;0,SUM(E12:J12)+SUM(Laborator!E13:J13),""),
"")</f>
        <v/>
      </c>
      <c r="P12" s="97"/>
      <c r="S12" s="34" t="str">
        <f>IF(NOT(ISBLANK(C12)),IF(ISNUMBER(Laborator!AD13),Laborator!AD13,"n/p"),"")</f>
        <v/>
      </c>
      <c r="T12" s="128" t="str">
        <f>'Lucru Individual'!G8</f>
        <v/>
      </c>
      <c r="U12" s="34" t="str">
        <f t="shared" si="2"/>
        <v/>
      </c>
      <c r="V12" s="34" t="str">
        <f t="shared" si="3"/>
        <v/>
      </c>
      <c r="W12" s="100" t="str">
        <f t="shared" si="4"/>
        <v/>
      </c>
      <c r="X12" s="33" t="str">
        <f t="shared" si="5"/>
        <v/>
      </c>
      <c r="Y12" s="34" t="str">
        <f t="shared" si="6"/>
        <v/>
      </c>
      <c r="AA12" s="8"/>
      <c r="AB12" s="13"/>
      <c r="AC12" s="13"/>
    </row>
    <row r="13" spans="1:40" x14ac:dyDescent="0.35">
      <c r="A13" s="2"/>
      <c r="B13" s="34" t="str">
        <f>IF(NOT(ISBLANK(C13)),COUNTA($C$6:C13),"")</f>
        <v/>
      </c>
      <c r="C13" s="68"/>
      <c r="D13" s="73"/>
      <c r="E13" s="33"/>
      <c r="F13" s="33"/>
      <c r="G13" s="33"/>
      <c r="H13" s="33"/>
      <c r="I13" s="33"/>
      <c r="J13" s="33"/>
      <c r="K13" s="34" t="str">
        <f t="shared" si="1"/>
        <v/>
      </c>
      <c r="L13"/>
      <c r="M13" s="34" t="str">
        <f>Examen!G9</f>
        <v/>
      </c>
      <c r="N13" s="34"/>
      <c r="O13" s="97" t="str">
        <f>IF(NOT(ISBLANK(B13)),
IF(SUM(E13:J13)+SUM(Laborator!E14:J14)&lt;&gt;0,SUM(E13:J13)+SUM(Laborator!E14:J14),""),
"")</f>
        <v/>
      </c>
      <c r="P13" s="97"/>
      <c r="S13" s="34" t="str">
        <f>IF(NOT(ISBLANK(C13)),IF(ISNUMBER(Laborator!AD14),Laborator!AD14,"n/p"),"")</f>
        <v/>
      </c>
      <c r="T13" s="128" t="str">
        <f>'Lucru Individual'!G9</f>
        <v/>
      </c>
      <c r="U13" s="34" t="str">
        <f t="shared" si="2"/>
        <v/>
      </c>
      <c r="V13" s="34" t="str">
        <f t="shared" si="3"/>
        <v/>
      </c>
      <c r="W13" s="100" t="str">
        <f t="shared" si="4"/>
        <v/>
      </c>
      <c r="X13" s="33" t="str">
        <f t="shared" si="5"/>
        <v/>
      </c>
      <c r="Y13" s="34" t="str">
        <f t="shared" si="6"/>
        <v/>
      </c>
      <c r="AA13" s="8"/>
      <c r="AB13" s="13"/>
      <c r="AC13" s="13"/>
    </row>
    <row r="14" spans="1:40" x14ac:dyDescent="0.35">
      <c r="A14" s="2"/>
      <c r="B14" s="34" t="str">
        <f>IF(NOT(ISBLANK(C14)),COUNTA($C$6:C14),"")</f>
        <v/>
      </c>
      <c r="C14" s="68"/>
      <c r="D14" s="73"/>
      <c r="E14" s="33"/>
      <c r="F14" s="33"/>
      <c r="G14" s="33"/>
      <c r="H14" s="33"/>
      <c r="I14" s="33"/>
      <c r="J14" s="33"/>
      <c r="K14" s="34" t="str">
        <f t="shared" si="1"/>
        <v/>
      </c>
      <c r="L14"/>
      <c r="M14" s="34" t="str">
        <f>Examen!G10</f>
        <v/>
      </c>
      <c r="N14" s="34"/>
      <c r="O14" s="97" t="str">
        <f>IF(NOT(ISBLANK(B14)),
IF(SUM(E14:J14)+SUM(Laborator!E15:J15)&lt;&gt;0,SUM(E14:J14)+SUM(Laborator!E15:J15),""),
"")</f>
        <v/>
      </c>
      <c r="P14" s="97"/>
      <c r="S14" s="34" t="str">
        <f>IF(NOT(ISBLANK(C14)),IF(ISNUMBER(Laborator!AD15),Laborator!AD15,"n/p"),"")</f>
        <v/>
      </c>
      <c r="T14" s="128" t="str">
        <f>'Lucru Individual'!G10</f>
        <v/>
      </c>
      <c r="U14" s="34" t="str">
        <f t="shared" si="2"/>
        <v/>
      </c>
      <c r="V14" s="34" t="str">
        <f t="shared" si="3"/>
        <v/>
      </c>
      <c r="W14" s="100" t="str">
        <f t="shared" si="4"/>
        <v/>
      </c>
      <c r="X14" s="33" t="str">
        <f t="shared" si="5"/>
        <v/>
      </c>
      <c r="Y14" s="34" t="str">
        <f t="shared" si="6"/>
        <v/>
      </c>
      <c r="AA14" s="8"/>
      <c r="AB14" s="13"/>
      <c r="AC14" s="13"/>
    </row>
    <row r="15" spans="1:40" x14ac:dyDescent="0.35">
      <c r="A15" s="2"/>
      <c r="B15" s="34" t="str">
        <f>IF(NOT(ISBLANK(C15)),COUNTA($C$6:C15),"")</f>
        <v/>
      </c>
      <c r="C15" s="68"/>
      <c r="D15" s="73"/>
      <c r="E15" s="33"/>
      <c r="F15" s="33"/>
      <c r="G15" s="33"/>
      <c r="H15" s="33"/>
      <c r="I15" s="33"/>
      <c r="J15" s="33"/>
      <c r="K15" s="34" t="str">
        <f t="shared" si="1"/>
        <v/>
      </c>
      <c r="L15"/>
      <c r="M15" s="34" t="str">
        <f>Examen!G11</f>
        <v/>
      </c>
      <c r="N15" s="34"/>
      <c r="O15" s="97" t="str">
        <f>IF(NOT(ISBLANK(B15)),
IF(SUM(E15:J15)+SUM(Laborator!E16:J16)&lt;&gt;0,SUM(E15:J15)+SUM(Laborator!E16:J16),""),
"")</f>
        <v/>
      </c>
      <c r="P15" s="97"/>
      <c r="S15" s="34" t="str">
        <f>IF(NOT(ISBLANK(C15)),IF(ISNUMBER(Laborator!AD16),Laborator!AD16,"n/p"),"")</f>
        <v/>
      </c>
      <c r="T15" s="128" t="str">
        <f>'Lucru Individual'!G11</f>
        <v/>
      </c>
      <c r="U15" s="34" t="str">
        <f t="shared" si="2"/>
        <v/>
      </c>
      <c r="V15" s="34" t="str">
        <f t="shared" si="3"/>
        <v/>
      </c>
      <c r="W15" s="100" t="str">
        <f t="shared" si="4"/>
        <v/>
      </c>
      <c r="X15" s="33" t="str">
        <f t="shared" si="5"/>
        <v/>
      </c>
      <c r="Y15" s="34" t="str">
        <f t="shared" si="6"/>
        <v/>
      </c>
      <c r="AA15" s="8"/>
      <c r="AB15" s="13"/>
      <c r="AC15" s="13"/>
    </row>
    <row r="16" spans="1:40" x14ac:dyDescent="0.35">
      <c r="A16" s="2"/>
      <c r="B16" s="34" t="str">
        <f>IF(NOT(ISBLANK(C16)),COUNTA($C$6:C16),"")</f>
        <v/>
      </c>
      <c r="C16" s="68"/>
      <c r="D16" s="73"/>
      <c r="E16" s="33"/>
      <c r="F16" s="33"/>
      <c r="G16" s="33"/>
      <c r="H16" s="33"/>
      <c r="I16" s="33"/>
      <c r="J16" s="33"/>
      <c r="K16" s="34" t="str">
        <f t="shared" si="1"/>
        <v/>
      </c>
      <c r="L16"/>
      <c r="M16" s="34" t="str">
        <f>Examen!G12</f>
        <v/>
      </c>
      <c r="N16" s="34"/>
      <c r="O16" s="97" t="str">
        <f>IF(NOT(ISBLANK(B16)),
IF(SUM(E16:J16)+SUM(Laborator!E17:J17)&lt;&gt;0,SUM(E16:J16)+SUM(Laborator!E17:J17),""),
"")</f>
        <v/>
      </c>
      <c r="P16" s="97"/>
      <c r="S16" s="34" t="str">
        <f>IF(NOT(ISBLANK(C16)),IF(ISNUMBER(Laborator!AD17),Laborator!AD17,"n/p"),"")</f>
        <v/>
      </c>
      <c r="T16" s="128" t="str">
        <f>'Lucru Individual'!G12</f>
        <v/>
      </c>
      <c r="U16" s="34" t="str">
        <f t="shared" si="2"/>
        <v/>
      </c>
      <c r="V16" s="34" t="str">
        <f t="shared" si="3"/>
        <v/>
      </c>
      <c r="W16" s="100" t="str">
        <f t="shared" si="4"/>
        <v/>
      </c>
      <c r="X16" s="33" t="str">
        <f t="shared" si="5"/>
        <v/>
      </c>
      <c r="Y16" s="34" t="str">
        <f t="shared" si="6"/>
        <v/>
      </c>
      <c r="AA16" s="8"/>
      <c r="AB16" s="13"/>
      <c r="AC16" s="13"/>
    </row>
    <row r="17" spans="1:29" x14ac:dyDescent="0.35">
      <c r="A17" s="2"/>
      <c r="B17" s="34" t="str">
        <f>IF(NOT(ISBLANK(C17)),COUNTA($C$6:C17),"")</f>
        <v/>
      </c>
      <c r="C17" s="68"/>
      <c r="D17" s="73"/>
      <c r="E17" s="33"/>
      <c r="F17" s="33"/>
      <c r="G17" s="33"/>
      <c r="H17" s="33"/>
      <c r="I17" s="33"/>
      <c r="J17" s="33"/>
      <c r="K17" s="34" t="str">
        <f t="shared" si="1"/>
        <v/>
      </c>
      <c r="L17"/>
      <c r="M17" s="34" t="str">
        <f>Examen!G13</f>
        <v/>
      </c>
      <c r="N17" s="34"/>
      <c r="O17" s="97" t="str">
        <f>IF(NOT(ISBLANK(B17)),
IF(SUM(E17:J17)+SUM(Laborator!E18:J18)&lt;&gt;0,SUM(E17:J17)+SUM(Laborator!E18:J18),""),
"")</f>
        <v/>
      </c>
      <c r="P17" s="97"/>
      <c r="S17" s="34" t="str">
        <f>IF(NOT(ISBLANK(C17)),IF(ISNUMBER(Laborator!AD18),Laborator!AD18,"n/p"),"")</f>
        <v/>
      </c>
      <c r="T17" s="128" t="str">
        <f>'Lucru Individual'!G13</f>
        <v/>
      </c>
      <c r="U17" s="34" t="str">
        <f t="shared" si="2"/>
        <v/>
      </c>
      <c r="V17" s="34" t="str">
        <f t="shared" si="3"/>
        <v/>
      </c>
      <c r="W17" s="100" t="str">
        <f t="shared" si="4"/>
        <v/>
      </c>
      <c r="X17" s="33" t="str">
        <f t="shared" si="5"/>
        <v/>
      </c>
      <c r="Y17" s="34" t="str">
        <f t="shared" si="6"/>
        <v/>
      </c>
      <c r="AA17" s="8"/>
      <c r="AB17" s="13"/>
      <c r="AC17" s="13"/>
    </row>
    <row r="18" spans="1:29" x14ac:dyDescent="0.35">
      <c r="A18" s="2"/>
      <c r="B18" s="34" t="str">
        <f>IF(NOT(ISBLANK(C18)),COUNTA($C$6:C18),"")</f>
        <v/>
      </c>
      <c r="C18" s="68"/>
      <c r="D18" s="73"/>
      <c r="E18" s="33"/>
      <c r="F18" s="33"/>
      <c r="G18" s="33"/>
      <c r="H18" s="33"/>
      <c r="I18" s="33"/>
      <c r="J18" s="33"/>
      <c r="K18" s="34" t="str">
        <f t="shared" si="1"/>
        <v/>
      </c>
      <c r="L18"/>
      <c r="M18" s="34" t="str">
        <f>Examen!G14</f>
        <v/>
      </c>
      <c r="N18" s="34"/>
      <c r="O18" s="97" t="str">
        <f>IF(NOT(ISBLANK(B18)),
IF(SUM(E18:J18)+SUM(Laborator!E19:J19)&lt;&gt;0,SUM(E18:J18)+SUM(Laborator!E19:J19),""),
"")</f>
        <v/>
      </c>
      <c r="P18" s="97"/>
      <c r="S18" s="34" t="str">
        <f>IF(NOT(ISBLANK(C18)),IF(ISNUMBER(Laborator!AD19),Laborator!AD19,"n/p"),"")</f>
        <v/>
      </c>
      <c r="T18" s="128" t="str">
        <f>'Lucru Individual'!G14</f>
        <v/>
      </c>
      <c r="U18" s="34" t="str">
        <f t="shared" si="2"/>
        <v/>
      </c>
      <c r="V18" s="34" t="str">
        <f t="shared" si="3"/>
        <v/>
      </c>
      <c r="W18" s="100" t="str">
        <f t="shared" si="4"/>
        <v/>
      </c>
      <c r="X18" s="33" t="str">
        <f t="shared" si="5"/>
        <v/>
      </c>
      <c r="Y18" s="34" t="str">
        <f t="shared" si="6"/>
        <v/>
      </c>
      <c r="AC18" s="13"/>
    </row>
    <row r="19" spans="1:29" x14ac:dyDescent="0.35">
      <c r="A19" s="2"/>
      <c r="B19" s="34" t="str">
        <f>IF(NOT(ISBLANK(C19)),COUNTA($C$6:C19),"")</f>
        <v/>
      </c>
      <c r="C19" s="68"/>
      <c r="D19" s="73"/>
      <c r="E19" s="33"/>
      <c r="F19" s="33"/>
      <c r="G19" s="33"/>
      <c r="H19" s="33"/>
      <c r="I19" s="33"/>
      <c r="J19" s="33"/>
      <c r="K19" s="34" t="str">
        <f t="shared" si="1"/>
        <v/>
      </c>
      <c r="L19"/>
      <c r="M19" s="34" t="str">
        <f>Examen!G15</f>
        <v/>
      </c>
      <c r="N19" s="34"/>
      <c r="O19" s="97" t="str">
        <f>IF(NOT(ISBLANK(B19)),
IF(SUM(E19:J19)+SUM(Laborator!E20:J20)&lt;&gt;0,SUM(E19:J19)+SUM(Laborator!E20:J20),""),
"")</f>
        <v/>
      </c>
      <c r="P19" s="97"/>
      <c r="S19" s="34" t="str">
        <f>IF(NOT(ISBLANK(C19)),IF(ISNUMBER(Laborator!AD20),Laborator!AD20,"n/p"),"")</f>
        <v/>
      </c>
      <c r="T19" s="128" t="str">
        <f>'Lucru Individual'!G15</f>
        <v/>
      </c>
      <c r="U19" s="34" t="str">
        <f t="shared" si="2"/>
        <v/>
      </c>
      <c r="V19" s="34" t="str">
        <f t="shared" si="3"/>
        <v/>
      </c>
      <c r="W19" s="100" t="str">
        <f t="shared" si="4"/>
        <v/>
      </c>
      <c r="X19" s="33" t="str">
        <f t="shared" si="5"/>
        <v/>
      </c>
      <c r="Y19" s="34" t="str">
        <f t="shared" si="6"/>
        <v/>
      </c>
      <c r="AC19" s="13"/>
    </row>
    <row r="20" spans="1:29" x14ac:dyDescent="0.35">
      <c r="A20" s="2"/>
      <c r="B20" s="34" t="str">
        <f>IF(NOT(ISBLANK(C20)),COUNTA($C$6:C20),"")</f>
        <v/>
      </c>
      <c r="C20" s="68"/>
      <c r="D20" s="73"/>
      <c r="E20" s="33"/>
      <c r="F20" s="33"/>
      <c r="G20" s="33"/>
      <c r="H20" s="33"/>
      <c r="I20" s="33"/>
      <c r="J20" s="33"/>
      <c r="K20" s="34" t="str">
        <f t="shared" si="1"/>
        <v/>
      </c>
      <c r="L20"/>
      <c r="M20" s="34" t="str">
        <f>Examen!G16</f>
        <v/>
      </c>
      <c r="N20" s="34"/>
      <c r="O20" s="97" t="str">
        <f>IF(NOT(ISBLANK(B20)),
IF(SUM(E20:J20)+SUM(Laborator!E21:J21)&lt;&gt;0,SUM(E20:J20)+SUM(Laborator!E21:J21),""),
"")</f>
        <v/>
      </c>
      <c r="P20" s="97"/>
      <c r="S20" s="34" t="str">
        <f>IF(NOT(ISBLANK(C20)),IF(ISNUMBER(Laborator!AD21),Laborator!AD21,"n/p"),"")</f>
        <v/>
      </c>
      <c r="T20" s="128" t="str">
        <f>'Lucru Individual'!G16</f>
        <v/>
      </c>
      <c r="U20" s="34" t="str">
        <f t="shared" si="2"/>
        <v/>
      </c>
      <c r="V20" s="34" t="str">
        <f t="shared" si="3"/>
        <v/>
      </c>
      <c r="W20" s="100" t="str">
        <f t="shared" si="4"/>
        <v/>
      </c>
      <c r="X20" s="33" t="str">
        <f t="shared" si="5"/>
        <v/>
      </c>
      <c r="Y20" s="34" t="str">
        <f t="shared" si="6"/>
        <v/>
      </c>
      <c r="AC20" s="13"/>
    </row>
    <row r="21" spans="1:29" x14ac:dyDescent="0.35">
      <c r="A21" s="2"/>
      <c r="B21" s="34" t="str">
        <f>IF(NOT(ISBLANK(C21)),COUNTA($C$6:C21),"")</f>
        <v/>
      </c>
      <c r="C21" s="68"/>
      <c r="D21" s="73"/>
      <c r="E21" s="33"/>
      <c r="F21" s="33"/>
      <c r="G21" s="33"/>
      <c r="H21" s="33"/>
      <c r="I21" s="33"/>
      <c r="J21" s="33"/>
      <c r="K21" s="34" t="str">
        <f t="shared" si="1"/>
        <v/>
      </c>
      <c r="L21"/>
      <c r="M21" s="34" t="str">
        <f>Examen!G17</f>
        <v/>
      </c>
      <c r="N21" s="34"/>
      <c r="O21" s="97" t="str">
        <f>IF(NOT(ISBLANK(B21)),
IF(SUM(E21:J21)+SUM(Laborator!E22:J22)&lt;&gt;0,SUM(E21:J21)+SUM(Laborator!E22:J22),""),
"")</f>
        <v/>
      </c>
      <c r="P21" s="97"/>
      <c r="S21" s="34" t="str">
        <f>IF(NOT(ISBLANK(C21)),IF(ISNUMBER(Laborator!AD22),Laborator!AD22,"n/p"),"")</f>
        <v/>
      </c>
      <c r="T21" s="128" t="str">
        <f>'Lucru Individual'!G17</f>
        <v/>
      </c>
      <c r="U21" s="34" t="str">
        <f t="shared" si="2"/>
        <v/>
      </c>
      <c r="V21" s="34" t="str">
        <f t="shared" si="3"/>
        <v/>
      </c>
      <c r="W21" s="100" t="str">
        <f t="shared" si="4"/>
        <v/>
      </c>
      <c r="X21" s="33" t="str">
        <f t="shared" si="5"/>
        <v/>
      </c>
      <c r="Y21" s="34" t="str">
        <f t="shared" si="6"/>
        <v/>
      </c>
      <c r="AC21" s="13"/>
    </row>
    <row r="22" spans="1:29" x14ac:dyDescent="0.35">
      <c r="A22" s="2"/>
      <c r="B22" s="34" t="str">
        <f>IF(NOT(ISBLANK(C22)),COUNTA($C$6:C22),"")</f>
        <v/>
      </c>
      <c r="C22" s="68"/>
      <c r="D22" s="73"/>
      <c r="E22" s="33"/>
      <c r="F22" s="33"/>
      <c r="G22" s="33"/>
      <c r="H22" s="33"/>
      <c r="I22" s="33"/>
      <c r="J22" s="33"/>
      <c r="K22" s="34" t="str">
        <f t="shared" si="1"/>
        <v/>
      </c>
      <c r="L22"/>
      <c r="M22" s="34" t="str">
        <f>Examen!G18</f>
        <v/>
      </c>
      <c r="N22" s="34"/>
      <c r="O22" s="97" t="str">
        <f>IF(NOT(ISBLANK(B22)),
IF(SUM(E22:J22)+SUM(Laborator!E23:J23)&lt;&gt;0,SUM(E22:J22)+SUM(Laborator!E23:J23),""),
"")</f>
        <v/>
      </c>
      <c r="P22" s="97"/>
      <c r="S22" s="34" t="str">
        <f>IF(NOT(ISBLANK(C22)),IF(ISNUMBER(Laborator!AD23),Laborator!AD23,"n/p"),"")</f>
        <v/>
      </c>
      <c r="T22" s="128" t="str">
        <f>'Lucru Individual'!G18</f>
        <v/>
      </c>
      <c r="U22" s="34" t="str">
        <f t="shared" si="2"/>
        <v/>
      </c>
      <c r="V22" s="34" t="str">
        <f t="shared" si="3"/>
        <v/>
      </c>
      <c r="W22" s="100" t="str">
        <f t="shared" si="4"/>
        <v/>
      </c>
      <c r="X22" s="33" t="str">
        <f t="shared" si="5"/>
        <v/>
      </c>
      <c r="Y22" s="34" t="str">
        <f t="shared" si="6"/>
        <v/>
      </c>
      <c r="AB22" s="8"/>
      <c r="AC22" s="13"/>
    </row>
    <row r="23" spans="1:29" x14ac:dyDescent="0.35">
      <c r="A23" s="2"/>
      <c r="B23" s="34" t="str">
        <f>IF(NOT(ISBLANK(C23)),COUNTA($C$6:C23),"")</f>
        <v/>
      </c>
      <c r="C23" s="68"/>
      <c r="D23" s="73"/>
      <c r="E23" s="33"/>
      <c r="F23" s="33"/>
      <c r="G23" s="33"/>
      <c r="H23" s="33"/>
      <c r="I23" s="33"/>
      <c r="J23" s="33"/>
      <c r="K23" s="34" t="str">
        <f t="shared" si="1"/>
        <v/>
      </c>
      <c r="L23"/>
      <c r="M23" s="34" t="str">
        <f>Examen!G19</f>
        <v/>
      </c>
      <c r="N23" s="34"/>
      <c r="O23" s="97" t="str">
        <f>IF(NOT(ISBLANK(B23)),
IF(SUM(E23:J23)+SUM(Laborator!E24:J24)&lt;&gt;0,SUM(E23:J23)+SUM(Laborator!E24:J24),""),
"")</f>
        <v/>
      </c>
      <c r="P23" s="97"/>
      <c r="S23" s="34" t="str">
        <f>IF(NOT(ISBLANK(C23)),IF(ISNUMBER(Laborator!AD24),Laborator!AD24,"n/p"),"")</f>
        <v/>
      </c>
      <c r="T23" s="128" t="str">
        <f>'Lucru Individual'!G19</f>
        <v/>
      </c>
      <c r="U23" s="34" t="str">
        <f t="shared" si="2"/>
        <v/>
      </c>
      <c r="V23" s="34" t="str">
        <f t="shared" si="3"/>
        <v/>
      </c>
      <c r="W23" s="100" t="str">
        <f t="shared" si="4"/>
        <v/>
      </c>
      <c r="X23" s="33" t="str">
        <f t="shared" si="5"/>
        <v/>
      </c>
      <c r="Y23" s="34" t="str">
        <f t="shared" si="6"/>
        <v/>
      </c>
      <c r="AB23" s="8"/>
      <c r="AC23" s="13"/>
    </row>
    <row r="24" spans="1:29" x14ac:dyDescent="0.35">
      <c r="A24" s="2"/>
      <c r="B24" s="34" t="str">
        <f>IF(NOT(ISBLANK(C24)),COUNTA($C$6:C24),"")</f>
        <v/>
      </c>
      <c r="C24" s="68"/>
      <c r="D24" s="73"/>
      <c r="E24" s="33"/>
      <c r="F24" s="33"/>
      <c r="G24" s="33"/>
      <c r="H24" s="33"/>
      <c r="I24" s="33"/>
      <c r="J24" s="33"/>
      <c r="K24" s="34" t="str">
        <f t="shared" si="1"/>
        <v/>
      </c>
      <c r="L24"/>
      <c r="M24" s="34" t="str">
        <f>Examen!G20</f>
        <v/>
      </c>
      <c r="N24" s="34"/>
      <c r="O24" s="97" t="str">
        <f>IF(NOT(ISBLANK(B24)),
IF(SUM(E24:J24)+SUM(Laborator!E25:J25)&lt;&gt;0,SUM(E24:J24)+SUM(Laborator!E25:J25),""),
"")</f>
        <v/>
      </c>
      <c r="P24" s="97"/>
      <c r="S24" s="34" t="str">
        <f>IF(NOT(ISBLANK(C24)),IF(ISNUMBER(Laborator!AD25),Laborator!AD25,"n/p"),"")</f>
        <v/>
      </c>
      <c r="T24" s="128" t="str">
        <f>'Lucru Individual'!G20</f>
        <v/>
      </c>
      <c r="U24" s="34" t="str">
        <f t="shared" si="2"/>
        <v/>
      </c>
      <c r="V24" s="34" t="str">
        <f t="shared" si="3"/>
        <v/>
      </c>
      <c r="W24" s="100" t="str">
        <f t="shared" si="4"/>
        <v/>
      </c>
      <c r="X24" s="33" t="str">
        <f t="shared" si="5"/>
        <v/>
      </c>
      <c r="Y24" s="34" t="str">
        <f t="shared" si="6"/>
        <v/>
      </c>
      <c r="AB24" s="8"/>
      <c r="AC24" s="13"/>
    </row>
    <row r="25" spans="1:29" x14ac:dyDescent="0.35">
      <c r="A25" s="2"/>
      <c r="B25" s="34" t="str">
        <f>IF(NOT(ISBLANK(C25)),COUNTA($C$6:C25),"")</f>
        <v/>
      </c>
      <c r="C25" s="68"/>
      <c r="D25" s="73"/>
      <c r="E25" s="33"/>
      <c r="F25" s="33"/>
      <c r="G25" s="33"/>
      <c r="H25" s="33"/>
      <c r="I25" s="33"/>
      <c r="J25" s="33"/>
      <c r="K25" s="34" t="str">
        <f t="shared" si="1"/>
        <v/>
      </c>
      <c r="L25"/>
      <c r="M25" s="34" t="str">
        <f>Examen!G21</f>
        <v/>
      </c>
      <c r="N25" s="34"/>
      <c r="O25" s="97" t="str">
        <f>IF(NOT(ISBLANK(B25)),
IF(SUM(E25:J25)+SUM(Laborator!E26:J26)&lt;&gt;0,SUM(E25:J25)+SUM(Laborator!E26:J26),""),
"")</f>
        <v/>
      </c>
      <c r="P25" s="97"/>
      <c r="S25" s="34" t="str">
        <f>IF(NOT(ISBLANK(C25)),IF(ISNUMBER(Laborator!AD26),Laborator!AD26,"n/p"),"")</f>
        <v/>
      </c>
      <c r="T25" s="128" t="str">
        <f>'Lucru Individual'!G21</f>
        <v/>
      </c>
      <c r="U25" s="34" t="str">
        <f t="shared" si="2"/>
        <v/>
      </c>
      <c r="V25" s="34" t="str">
        <f t="shared" si="3"/>
        <v/>
      </c>
      <c r="W25" s="100" t="str">
        <f t="shared" si="4"/>
        <v/>
      </c>
      <c r="X25" s="33" t="str">
        <f t="shared" si="5"/>
        <v/>
      </c>
      <c r="Y25" s="34" t="str">
        <f t="shared" si="6"/>
        <v/>
      </c>
      <c r="AB25" s="8"/>
      <c r="AC25" s="13"/>
    </row>
    <row r="26" spans="1:29" x14ac:dyDescent="0.35">
      <c r="A26" s="2"/>
      <c r="B26" s="34" t="str">
        <f>IF(NOT(ISBLANK(C26)),COUNTA($C$6:C26),"")</f>
        <v/>
      </c>
      <c r="C26" s="68"/>
      <c r="D26" s="73"/>
      <c r="E26" s="33"/>
      <c r="F26" s="33"/>
      <c r="G26" s="33"/>
      <c r="H26" s="33"/>
      <c r="I26" s="33"/>
      <c r="J26" s="33"/>
      <c r="K26" s="34" t="str">
        <f t="shared" si="1"/>
        <v/>
      </c>
      <c r="L26"/>
      <c r="M26" s="34" t="str">
        <f>Examen!G22</f>
        <v/>
      </c>
      <c r="N26" s="34"/>
      <c r="O26" s="97" t="str">
        <f>IF(NOT(ISBLANK(B26)),
IF(SUM(E26:J26)+SUM(Laborator!E27:J27)&lt;&gt;0,SUM(E26:J26)+SUM(Laborator!E27:J27),""),
"")</f>
        <v/>
      </c>
      <c r="P26" s="97"/>
      <c r="S26" s="34" t="str">
        <f>IF(NOT(ISBLANK(C26)),IF(ISNUMBER(Laborator!AD27),Laborator!AD27,"n/p"),"")</f>
        <v/>
      </c>
      <c r="T26" s="128" t="str">
        <f>'Lucru Individual'!G22</f>
        <v/>
      </c>
      <c r="U26" s="34" t="str">
        <f t="shared" si="2"/>
        <v/>
      </c>
      <c r="V26" s="34" t="str">
        <f t="shared" si="3"/>
        <v/>
      </c>
      <c r="W26" s="100" t="str">
        <f t="shared" si="4"/>
        <v/>
      </c>
      <c r="X26" s="33" t="str">
        <f t="shared" si="5"/>
        <v/>
      </c>
      <c r="Y26" s="34" t="str">
        <f t="shared" si="6"/>
        <v/>
      </c>
      <c r="AB26" s="8"/>
      <c r="AC26" s="13"/>
    </row>
    <row r="27" spans="1:29" x14ac:dyDescent="0.35">
      <c r="A27" s="2"/>
      <c r="B27" s="34" t="str">
        <f>IF(NOT(ISBLANK(C27)),COUNTA($C$6:C27),"")</f>
        <v/>
      </c>
      <c r="C27" s="68"/>
      <c r="D27" s="73"/>
      <c r="E27" s="33"/>
      <c r="F27" s="33"/>
      <c r="G27" s="33"/>
      <c r="H27" s="33"/>
      <c r="I27" s="33"/>
      <c r="J27" s="33"/>
      <c r="K27" s="34" t="str">
        <f t="shared" si="1"/>
        <v/>
      </c>
      <c r="L27"/>
      <c r="M27" s="34" t="str">
        <f>Examen!G23</f>
        <v/>
      </c>
      <c r="N27" s="34"/>
      <c r="O27" s="97" t="str">
        <f>IF(NOT(ISBLANK(B27)),
IF(SUM(E27:J27)+SUM(Laborator!E28:J28)&lt;&gt;0,SUM(E27:J27)+SUM(Laborator!E28:J28),""),
"")</f>
        <v/>
      </c>
      <c r="P27" s="97"/>
      <c r="S27" s="34" t="str">
        <f>IF(NOT(ISBLANK(C27)),IF(ISNUMBER(Laborator!AD28),Laborator!AD28,"n/p"),"")</f>
        <v/>
      </c>
      <c r="T27" s="128" t="str">
        <f>'Lucru Individual'!G23</f>
        <v/>
      </c>
      <c r="U27" s="34" t="str">
        <f t="shared" si="2"/>
        <v/>
      </c>
      <c r="V27" s="34" t="str">
        <f t="shared" si="3"/>
        <v/>
      </c>
      <c r="W27" s="100" t="str">
        <f t="shared" si="4"/>
        <v/>
      </c>
      <c r="X27" s="33" t="str">
        <f t="shared" si="5"/>
        <v/>
      </c>
      <c r="Y27" s="34" t="str">
        <f t="shared" si="6"/>
        <v/>
      </c>
      <c r="AB27" s="8"/>
      <c r="AC27" s="13"/>
    </row>
    <row r="28" spans="1:29" x14ac:dyDescent="0.35">
      <c r="A28" s="2"/>
      <c r="B28" s="34" t="str">
        <f>IF(NOT(ISBLANK(C28)),COUNTA($C$6:C28),"")</f>
        <v/>
      </c>
      <c r="C28" s="68"/>
      <c r="D28" s="73"/>
      <c r="E28" s="33"/>
      <c r="F28" s="33"/>
      <c r="G28" s="33"/>
      <c r="H28" s="33"/>
      <c r="I28" s="33"/>
      <c r="J28" s="33"/>
      <c r="K28" s="34" t="str">
        <f t="shared" si="1"/>
        <v/>
      </c>
      <c r="L28"/>
      <c r="M28" s="34" t="str">
        <f>Examen!G24</f>
        <v/>
      </c>
      <c r="N28" s="34"/>
      <c r="O28" s="97" t="str">
        <f>IF(NOT(ISBLANK(B28)),
IF(SUM(E28:J28)+SUM(Laborator!E29:J29)&lt;&gt;0,SUM(E28:J28)+SUM(Laborator!E29:J29),""),
"")</f>
        <v/>
      </c>
      <c r="P28" s="97"/>
      <c r="S28" s="34" t="str">
        <f>IF(NOT(ISBLANK(C28)),IF(ISNUMBER(Laborator!AD29),Laborator!AD29,"n/p"),"")</f>
        <v/>
      </c>
      <c r="T28" s="128" t="str">
        <f>'Lucru Individual'!G24</f>
        <v/>
      </c>
      <c r="U28" s="34" t="str">
        <f t="shared" si="2"/>
        <v/>
      </c>
      <c r="V28" s="34" t="str">
        <f t="shared" si="3"/>
        <v/>
      </c>
      <c r="W28" s="100" t="str">
        <f t="shared" si="4"/>
        <v/>
      </c>
      <c r="X28" s="33" t="str">
        <f t="shared" si="5"/>
        <v/>
      </c>
      <c r="Y28" s="34" t="str">
        <f t="shared" si="6"/>
        <v/>
      </c>
      <c r="AB28" s="8"/>
      <c r="AC28" s="13"/>
    </row>
    <row r="29" spans="1:29" x14ac:dyDescent="0.35">
      <c r="A29" s="2"/>
      <c r="B29" s="34" t="str">
        <f>IF(NOT(ISBLANK(C29)),COUNTA($C$6:C29),"")</f>
        <v/>
      </c>
      <c r="C29" s="68"/>
      <c r="D29" s="73"/>
      <c r="E29" s="33"/>
      <c r="F29" s="33"/>
      <c r="G29" s="33"/>
      <c r="H29" s="33"/>
      <c r="I29" s="33"/>
      <c r="J29" s="33"/>
      <c r="K29" s="34" t="str">
        <f t="shared" si="1"/>
        <v/>
      </c>
      <c r="L29"/>
      <c r="M29" s="34" t="str">
        <f>Examen!G25</f>
        <v/>
      </c>
      <c r="N29" s="34"/>
      <c r="O29" s="97" t="str">
        <f>IF(NOT(ISBLANK(B29)),
IF(SUM(E29:J29)+SUM(Laborator!E30:J30)&lt;&gt;0,SUM(E29:J29)+SUM(Laborator!E30:J30),""),
"")</f>
        <v/>
      </c>
      <c r="P29" s="97"/>
      <c r="S29" s="34" t="str">
        <f>IF(NOT(ISBLANK(C29)),IF(ISNUMBER(Laborator!AD30),Laborator!AD30,"n/p"),"")</f>
        <v/>
      </c>
      <c r="T29" s="128" t="str">
        <f>'Lucru Individual'!G25</f>
        <v/>
      </c>
      <c r="U29" s="34" t="str">
        <f t="shared" si="2"/>
        <v/>
      </c>
      <c r="V29" s="34" t="str">
        <f t="shared" si="3"/>
        <v/>
      </c>
      <c r="W29" s="100" t="str">
        <f t="shared" si="4"/>
        <v/>
      </c>
      <c r="X29" s="33" t="str">
        <f t="shared" si="5"/>
        <v/>
      </c>
      <c r="Y29" s="34" t="str">
        <f t="shared" si="6"/>
        <v/>
      </c>
      <c r="AB29" s="8"/>
      <c r="AC29" s="13"/>
    </row>
    <row r="30" spans="1:29" x14ac:dyDescent="0.35">
      <c r="A30" s="2"/>
      <c r="B30" s="34" t="str">
        <f>IF(NOT(ISBLANK(C30)),COUNTA($C$6:C30),"")</f>
        <v/>
      </c>
      <c r="C30" s="68"/>
      <c r="D30" s="73"/>
      <c r="E30" s="33"/>
      <c r="F30" s="33"/>
      <c r="G30" s="33"/>
      <c r="H30" s="33"/>
      <c r="I30" s="33"/>
      <c r="J30" s="33"/>
      <c r="K30" s="34" t="str">
        <f t="shared" si="1"/>
        <v/>
      </c>
      <c r="L30"/>
      <c r="M30" s="34" t="str">
        <f>Examen!G26</f>
        <v/>
      </c>
      <c r="N30" s="34"/>
      <c r="O30" s="97" t="str">
        <f>IF(NOT(ISBLANK(B30)),
IF(SUM(E30:J30)+SUM(Laborator!E31:J31)&lt;&gt;0,SUM(E30:J30)+SUM(Laborator!E31:J31),""),
"")</f>
        <v/>
      </c>
      <c r="P30" s="97"/>
      <c r="S30" s="34" t="str">
        <f>IF(NOT(ISBLANK(C30)),IF(ISNUMBER(Laborator!AD31),Laborator!AD31,"n/p"),"")</f>
        <v/>
      </c>
      <c r="T30" s="128" t="str">
        <f>'Lucru Individual'!G26</f>
        <v/>
      </c>
      <c r="U30" s="34" t="str">
        <f t="shared" si="2"/>
        <v/>
      </c>
      <c r="V30" s="34" t="str">
        <f t="shared" si="3"/>
        <v/>
      </c>
      <c r="W30" s="100" t="str">
        <f t="shared" si="4"/>
        <v/>
      </c>
      <c r="X30" s="33" t="str">
        <f t="shared" si="5"/>
        <v/>
      </c>
      <c r="Y30" s="34" t="str">
        <f t="shared" si="6"/>
        <v/>
      </c>
      <c r="AB30" s="8"/>
      <c r="AC30" s="13"/>
    </row>
    <row r="31" spans="1:29" x14ac:dyDescent="0.3">
      <c r="B31" s="34" t="str">
        <f>IF(NOT(ISBLANK(C31)),COUNTA($C$6:C31),"")</f>
        <v/>
      </c>
      <c r="C31" s="68"/>
      <c r="D31" s="73"/>
      <c r="E31" s="33"/>
      <c r="F31" s="33"/>
      <c r="G31" s="33"/>
      <c r="H31" s="33"/>
      <c r="I31" s="33"/>
      <c r="J31" s="33"/>
      <c r="K31" s="34" t="str">
        <f t="shared" si="1"/>
        <v/>
      </c>
      <c r="L31"/>
      <c r="M31" s="34" t="str">
        <f>Examen!G27</f>
        <v/>
      </c>
      <c r="N31" s="34"/>
      <c r="O31" s="97" t="str">
        <f>IF(NOT(ISBLANK(B31)),
IF(SUM(E31:J31)+SUM(Laborator!E32:J32)&lt;&gt;0,SUM(E31:J31)+SUM(Laborator!E32:J32),""),
"")</f>
        <v/>
      </c>
      <c r="P31" s="97"/>
      <c r="S31" s="34" t="str">
        <f>IF(NOT(ISBLANK(C31)),IF(ISNUMBER(Laborator!AD32),Laborator!AD32,"n/p"),"")</f>
        <v/>
      </c>
      <c r="T31" s="128" t="str">
        <f>'Lucru Individual'!G27</f>
        <v/>
      </c>
      <c r="U31" s="34" t="str">
        <f t="shared" si="2"/>
        <v/>
      </c>
      <c r="V31" s="34" t="str">
        <f t="shared" si="3"/>
        <v/>
      </c>
      <c r="W31" s="100" t="str">
        <f t="shared" si="4"/>
        <v/>
      </c>
      <c r="X31" s="33" t="str">
        <f t="shared" si="5"/>
        <v/>
      </c>
      <c r="Y31" s="34" t="str">
        <f t="shared" si="6"/>
        <v/>
      </c>
    </row>
    <row r="32" spans="1:29" x14ac:dyDescent="0.3">
      <c r="B32" s="34" t="str">
        <f>IF(NOT(ISBLANK(C32)),COUNTA($C$6:C32),"")</f>
        <v/>
      </c>
      <c r="C32" s="68"/>
      <c r="D32" s="73"/>
      <c r="E32" s="33"/>
      <c r="F32" s="33"/>
      <c r="G32" s="33"/>
      <c r="H32" s="33"/>
      <c r="I32" s="33"/>
      <c r="J32" s="33"/>
      <c r="K32" s="34" t="str">
        <f t="shared" si="1"/>
        <v/>
      </c>
      <c r="L32"/>
      <c r="M32" s="34" t="str">
        <f>Examen!G28</f>
        <v/>
      </c>
      <c r="N32" s="34"/>
      <c r="O32" s="97" t="str">
        <f>IF(NOT(ISBLANK(B32)),
IF(SUM(E32:J32)+SUM(Laborator!E33:J33)&lt;&gt;0,SUM(E32:J32)+SUM(Laborator!E33:J33),""),
"")</f>
        <v/>
      </c>
      <c r="P32" s="97"/>
      <c r="S32" s="34" t="str">
        <f>IF(NOT(ISBLANK(C32)),IF(ISNUMBER(Laborator!AD33),Laborator!AD33,"n/p"),"")</f>
        <v/>
      </c>
      <c r="T32" s="128" t="str">
        <f>'Lucru Individual'!G28</f>
        <v/>
      </c>
      <c r="U32" s="34" t="str">
        <f t="shared" si="2"/>
        <v/>
      </c>
      <c r="V32" s="34" t="str">
        <f t="shared" si="3"/>
        <v/>
      </c>
      <c r="W32" s="100" t="str">
        <f t="shared" si="4"/>
        <v/>
      </c>
      <c r="X32" s="33" t="str">
        <f t="shared" si="5"/>
        <v/>
      </c>
      <c r="Y32" s="34" t="str">
        <f t="shared" si="6"/>
        <v/>
      </c>
    </row>
    <row r="33" spans="2:25" x14ac:dyDescent="0.3">
      <c r="B33" s="34" t="str">
        <f>IF(NOT(ISBLANK(C33)),COUNTA($C$6:C33),"")</f>
        <v/>
      </c>
      <c r="C33" s="68"/>
      <c r="D33" s="73"/>
      <c r="E33" s="33"/>
      <c r="F33" s="33"/>
      <c r="G33" s="33"/>
      <c r="H33" s="33"/>
      <c r="I33" s="33"/>
      <c r="J33" s="33"/>
      <c r="K33" s="34" t="str">
        <f t="shared" si="1"/>
        <v/>
      </c>
      <c r="L33"/>
      <c r="M33" s="34" t="str">
        <f>Examen!G29</f>
        <v/>
      </c>
      <c r="N33" s="34"/>
      <c r="O33" s="97" t="str">
        <f>IF(NOT(ISBLANK(B33)),
IF(SUM(E33:J33)+SUM(Laborator!E34:J34)&lt;&gt;0,SUM(E33:J33)+SUM(Laborator!E34:J34),""),
"")</f>
        <v/>
      </c>
      <c r="P33" s="97"/>
      <c r="S33" s="34" t="str">
        <f>IF(NOT(ISBLANK(C33)),IF(ISNUMBER(Laborator!AD34),Laborator!AD34,"n/p"),"")</f>
        <v/>
      </c>
      <c r="T33" s="128" t="str">
        <f>'Lucru Individual'!G29</f>
        <v/>
      </c>
      <c r="U33" s="34" t="str">
        <f t="shared" si="2"/>
        <v/>
      </c>
      <c r="V33" s="34" t="str">
        <f t="shared" si="3"/>
        <v/>
      </c>
      <c r="W33" s="100" t="str">
        <f t="shared" si="4"/>
        <v/>
      </c>
      <c r="X33" s="33" t="str">
        <f t="shared" si="5"/>
        <v/>
      </c>
      <c r="Y33" s="34" t="str">
        <f t="shared" si="6"/>
        <v/>
      </c>
    </row>
    <row r="34" spans="2:25" x14ac:dyDescent="0.3">
      <c r="B34" s="34" t="str">
        <f>IF(NOT(ISBLANK(C34)),COUNTA($C$6:C34),"")</f>
        <v/>
      </c>
      <c r="C34" s="68"/>
      <c r="D34" s="73"/>
      <c r="E34" s="33"/>
      <c r="F34" s="33"/>
      <c r="G34" s="33"/>
      <c r="H34" s="33"/>
      <c r="I34" s="33"/>
      <c r="J34" s="33"/>
      <c r="K34" s="34" t="str">
        <f t="shared" si="1"/>
        <v/>
      </c>
      <c r="L34"/>
      <c r="M34" s="34" t="str">
        <f>Examen!G30</f>
        <v/>
      </c>
      <c r="N34" s="34"/>
      <c r="O34" s="97" t="str">
        <f>IF(NOT(ISBLANK(B34)),
IF(SUM(E34:J34)+SUM(Laborator!E35:J35)&lt;&gt;0,SUM(E34:J34)+SUM(Laborator!E35:J35),""),
"")</f>
        <v/>
      </c>
      <c r="P34" s="97"/>
      <c r="S34" s="34" t="str">
        <f>IF(NOT(ISBLANK(C34)),IF(ISNUMBER(Laborator!AD35),Laborator!AD35,"n/p"),"")</f>
        <v/>
      </c>
      <c r="T34" s="128" t="str">
        <f>'Lucru Individual'!G30</f>
        <v/>
      </c>
      <c r="U34" s="34" t="str">
        <f t="shared" si="2"/>
        <v/>
      </c>
      <c r="V34" s="34" t="str">
        <f t="shared" si="3"/>
        <v/>
      </c>
      <c r="W34" s="100" t="str">
        <f t="shared" si="4"/>
        <v/>
      </c>
      <c r="X34" s="33" t="str">
        <f t="shared" si="5"/>
        <v/>
      </c>
      <c r="Y34" s="34" t="str">
        <f t="shared" si="6"/>
        <v/>
      </c>
    </row>
    <row r="35" spans="2:25" x14ac:dyDescent="0.3">
      <c r="B35" s="34" t="str">
        <f>IF(NOT(ISBLANK(C35)),COUNTA($C$6:C35),"")</f>
        <v/>
      </c>
      <c r="C35" s="68"/>
      <c r="D35" s="73"/>
      <c r="E35" s="33"/>
      <c r="F35" s="33"/>
      <c r="G35" s="33"/>
      <c r="H35" s="33"/>
      <c r="I35" s="33"/>
      <c r="J35" s="33"/>
      <c r="K35" s="34" t="str">
        <f t="shared" si="1"/>
        <v/>
      </c>
      <c r="L35"/>
      <c r="M35" s="34" t="str">
        <f>Examen!G31</f>
        <v/>
      </c>
      <c r="N35" s="34"/>
      <c r="O35" s="97" t="str">
        <f>IF(NOT(ISBLANK(B35)),
IF(SUM(E35:J35)+SUM(Laborator!E36:J36)&lt;&gt;0,SUM(E35:J35)+SUM(Laborator!E36:J36),""),
"")</f>
        <v/>
      </c>
      <c r="P35" s="97"/>
      <c r="S35" s="34" t="str">
        <f>IF(NOT(ISBLANK(C35)),IF(ISNUMBER(Laborator!AD36),Laborator!AD36,"n/p"),"")</f>
        <v/>
      </c>
      <c r="T35" s="128" t="str">
        <f>'Lucru Individual'!G31</f>
        <v/>
      </c>
      <c r="U35" s="34" t="str">
        <f t="shared" si="2"/>
        <v/>
      </c>
      <c r="V35" s="34" t="str">
        <f t="shared" si="3"/>
        <v/>
      </c>
      <c r="W35" s="100" t="str">
        <f t="shared" si="4"/>
        <v/>
      </c>
      <c r="X35" s="33" t="str">
        <f t="shared" si="5"/>
        <v/>
      </c>
      <c r="Y35" s="34" t="str">
        <f t="shared" si="6"/>
        <v/>
      </c>
    </row>
    <row r="36" spans="2:25" x14ac:dyDescent="0.3">
      <c r="B36" s="34" t="str">
        <f>IF(NOT(ISBLANK(C36)),COUNTA($C$6:C36),"")</f>
        <v/>
      </c>
      <c r="C36" s="68"/>
      <c r="D36" s="73"/>
      <c r="E36" s="33"/>
      <c r="F36" s="33"/>
      <c r="G36" s="33"/>
      <c r="H36" s="33"/>
      <c r="I36" s="33"/>
      <c r="J36" s="33"/>
      <c r="K36" s="34" t="str">
        <f t="shared" si="1"/>
        <v/>
      </c>
      <c r="L36"/>
      <c r="M36" s="34" t="str">
        <f>Examen!G32</f>
        <v/>
      </c>
      <c r="N36" s="34"/>
      <c r="O36" s="97" t="str">
        <f>IF(NOT(ISBLANK(B36)),
IF(SUM(E36:J36)+SUM(Laborator!E37:J37)&lt;&gt;0,SUM(E36:J36)+SUM(Laborator!E37:J37),""),
"")</f>
        <v/>
      </c>
      <c r="P36" s="97"/>
      <c r="S36" s="34" t="str">
        <f>IF(NOT(ISBLANK(C36)),IF(ISNUMBER(Laborator!AD37),Laborator!AD37,"n/p"),"")</f>
        <v/>
      </c>
      <c r="T36" s="128" t="str">
        <f>'Lucru Individual'!G32</f>
        <v/>
      </c>
      <c r="U36" s="34" t="str">
        <f t="shared" si="2"/>
        <v/>
      </c>
      <c r="V36" s="34" t="str">
        <f t="shared" si="3"/>
        <v/>
      </c>
      <c r="W36" s="100" t="str">
        <f t="shared" si="4"/>
        <v/>
      </c>
      <c r="X36" s="33" t="str">
        <f t="shared" si="5"/>
        <v/>
      </c>
      <c r="Y36" s="34" t="str">
        <f t="shared" si="6"/>
        <v/>
      </c>
    </row>
    <row r="37" spans="2:25" x14ac:dyDescent="0.3">
      <c r="B37" s="34" t="str">
        <f>IF(NOT(ISBLANK(C37)),COUNTA($C$6:C37),"")</f>
        <v/>
      </c>
      <c r="C37" s="68"/>
      <c r="D37" s="73"/>
      <c r="E37" s="33"/>
      <c r="F37" s="33"/>
      <c r="G37" s="33"/>
      <c r="H37" s="33"/>
      <c r="I37" s="33"/>
      <c r="J37" s="33"/>
      <c r="K37" s="34" t="str">
        <f t="shared" si="1"/>
        <v/>
      </c>
      <c r="L37"/>
      <c r="M37" s="34" t="str">
        <f>Examen!G33</f>
        <v/>
      </c>
      <c r="N37" s="34"/>
      <c r="O37" s="97" t="str">
        <f>IF(NOT(ISBLANK(B37)),
IF(SUM(E37:J37)+SUM(Laborator!E38:J38)&lt;&gt;0,SUM(E37:J37)+SUM(Laborator!E38:J38),""),
"")</f>
        <v/>
      </c>
      <c r="P37" s="97"/>
      <c r="S37" s="34" t="str">
        <f>IF(NOT(ISBLANK(C37)),IF(ISNUMBER(Laborator!AD38),Laborator!AD38,"n/p"),"")</f>
        <v/>
      </c>
      <c r="T37" s="128" t="str">
        <f>'Lucru Individual'!G33</f>
        <v/>
      </c>
      <c r="U37" s="34" t="str">
        <f t="shared" si="2"/>
        <v/>
      </c>
      <c r="V37" s="34" t="str">
        <f t="shared" si="3"/>
        <v/>
      </c>
      <c r="W37" s="100" t="str">
        <f t="shared" si="4"/>
        <v/>
      </c>
      <c r="X37" s="33" t="str">
        <f t="shared" si="5"/>
        <v/>
      </c>
      <c r="Y37" s="34" t="str">
        <f t="shared" si="6"/>
        <v/>
      </c>
    </row>
    <row r="38" spans="2:25" x14ac:dyDescent="0.3">
      <c r="B38" s="34" t="str">
        <f>IF(NOT(ISBLANK(C38)),COUNTA($C$6:C38),"")</f>
        <v/>
      </c>
      <c r="C38" s="68"/>
      <c r="D38" s="73"/>
      <c r="E38" s="33"/>
      <c r="F38" s="33"/>
      <c r="G38" s="33"/>
      <c r="H38" s="33"/>
      <c r="I38" s="33"/>
      <c r="J38" s="33"/>
      <c r="K38" s="34" t="str">
        <f t="shared" ref="K38:K69" si="7">IF(NOT(ISBLANK(C38)),IF(COUNTIF(E38:J38,"a")&lt;&gt;0,COUNTIF(E38:J38,"a")*2,""),"")</f>
        <v/>
      </c>
      <c r="L38"/>
      <c r="M38" s="34" t="str">
        <f>Examen!G34</f>
        <v/>
      </c>
      <c r="N38" s="34"/>
      <c r="O38" s="97" t="str">
        <f>IF(NOT(ISBLANK(B38)),
IF(SUM(E38:J38)+SUM(Laborator!E39:J39)&lt;&gt;0,SUM(E38:J38)+SUM(Laborator!E39:J39),""),
"")</f>
        <v/>
      </c>
      <c r="P38" s="97"/>
      <c r="S38" s="34" t="str">
        <f>IF(NOT(ISBLANK(C38)),IF(ISNUMBER(Laborator!AD39),Laborator!AD39,"n/p"),"")</f>
        <v/>
      </c>
      <c r="T38" s="128" t="str">
        <f>'Lucru Individual'!G34</f>
        <v/>
      </c>
      <c r="U38" s="34" t="str">
        <f t="shared" si="2"/>
        <v/>
      </c>
      <c r="V38" s="34" t="str">
        <f t="shared" si="3"/>
        <v/>
      </c>
      <c r="W38" s="100" t="str">
        <f t="shared" si="4"/>
        <v/>
      </c>
      <c r="X38" s="33" t="str">
        <f t="shared" si="5"/>
        <v/>
      </c>
      <c r="Y38" s="34" t="str">
        <f t="shared" si="6"/>
        <v/>
      </c>
    </row>
    <row r="39" spans="2:25" x14ac:dyDescent="0.3">
      <c r="B39" s="34" t="str">
        <f>IF(NOT(ISBLANK(C39)),COUNTA($C$6:C39),"")</f>
        <v/>
      </c>
      <c r="C39" s="68"/>
      <c r="D39" s="73"/>
      <c r="E39" s="33"/>
      <c r="F39" s="33"/>
      <c r="G39" s="33"/>
      <c r="H39" s="33"/>
      <c r="I39" s="33"/>
      <c r="J39" s="33"/>
      <c r="K39" s="34" t="str">
        <f t="shared" si="7"/>
        <v/>
      </c>
      <c r="L39"/>
      <c r="M39" s="34" t="str">
        <f>Examen!G35</f>
        <v/>
      </c>
      <c r="N39" s="34"/>
      <c r="O39" s="97" t="str">
        <f>IF(NOT(ISBLANK(B39)),
IF(SUM(E39:J39)+SUM(Laborator!E40:J40)&lt;&gt;0,SUM(E39:J39)+SUM(Laborator!E40:J40),""),
"")</f>
        <v/>
      </c>
      <c r="P39" s="97"/>
      <c r="S39" s="34" t="str">
        <f>IF(NOT(ISBLANK(C39)),IF(ISNUMBER(Laborator!AD40),Laborator!AD40,"n/p"),"")</f>
        <v/>
      </c>
      <c r="T39" s="128" t="str">
        <f>'Lucru Individual'!G35</f>
        <v/>
      </c>
      <c r="U39" s="34" t="str">
        <f t="shared" si="2"/>
        <v/>
      </c>
      <c r="V39" s="34" t="str">
        <f t="shared" si="3"/>
        <v/>
      </c>
      <c r="W39" s="100" t="str">
        <f t="shared" si="4"/>
        <v/>
      </c>
      <c r="X39" s="33" t="str">
        <f t="shared" si="5"/>
        <v/>
      </c>
      <c r="Y39" s="34" t="str">
        <f t="shared" si="6"/>
        <v/>
      </c>
    </row>
    <row r="40" spans="2:25" x14ac:dyDescent="0.3">
      <c r="B40" s="34" t="str">
        <f>IF(NOT(ISBLANK(C40)),COUNTA($C$6:C40),"")</f>
        <v/>
      </c>
      <c r="C40" s="68"/>
      <c r="D40" s="73"/>
      <c r="E40" s="33"/>
      <c r="F40" s="33"/>
      <c r="G40" s="33"/>
      <c r="H40" s="33"/>
      <c r="I40" s="33"/>
      <c r="J40" s="33"/>
      <c r="K40" s="34" t="str">
        <f t="shared" si="7"/>
        <v/>
      </c>
      <c r="L40"/>
      <c r="M40" s="34" t="str">
        <f>Examen!G36</f>
        <v/>
      </c>
      <c r="N40" s="34"/>
      <c r="O40" s="97" t="str">
        <f>IF(NOT(ISBLANK(B40)),
IF(SUM(E40:J40)+SUM(Laborator!E41:J41)&lt;&gt;0,SUM(E40:J40)+SUM(Laborator!E41:J41),""),
"")</f>
        <v/>
      </c>
      <c r="P40" s="97"/>
      <c r="S40" s="34" t="str">
        <f>IF(NOT(ISBLANK(C40)),IF(ISNUMBER(Laborator!AD41),Laborator!AD41,"n/p"),"")</f>
        <v/>
      </c>
      <c r="T40" s="128" t="str">
        <f>'Lucru Individual'!G36</f>
        <v/>
      </c>
      <c r="U40" s="34" t="str">
        <f t="shared" si="2"/>
        <v/>
      </c>
      <c r="V40" s="34" t="str">
        <f t="shared" si="3"/>
        <v/>
      </c>
      <c r="W40" s="100" t="str">
        <f t="shared" si="4"/>
        <v/>
      </c>
      <c r="X40" s="33" t="str">
        <f t="shared" si="5"/>
        <v/>
      </c>
      <c r="Y40" s="34" t="str">
        <f t="shared" si="6"/>
        <v/>
      </c>
    </row>
    <row r="41" spans="2:25" x14ac:dyDescent="0.3">
      <c r="B41" s="34" t="str">
        <f>IF(NOT(ISBLANK(C41)),COUNTA($C$6:C41),"")</f>
        <v/>
      </c>
      <c r="C41" s="68"/>
      <c r="D41" s="73"/>
      <c r="E41" s="33"/>
      <c r="F41" s="33"/>
      <c r="G41" s="33"/>
      <c r="H41" s="33"/>
      <c r="I41" s="33"/>
      <c r="J41" s="33"/>
      <c r="K41" s="34" t="str">
        <f t="shared" si="7"/>
        <v/>
      </c>
      <c r="L41"/>
      <c r="M41" s="34" t="str">
        <f>Examen!G37</f>
        <v/>
      </c>
      <c r="N41" s="34"/>
      <c r="O41" s="97" t="str">
        <f>IF(NOT(ISBLANK(B41)),
IF(SUM(E41:J41)+SUM(Laborator!E42:J42)&lt;&gt;0,SUM(E41:J41)+SUM(Laborator!E42:J42),""),
"")</f>
        <v/>
      </c>
      <c r="P41" s="97"/>
      <c r="S41" s="34" t="str">
        <f>IF(NOT(ISBLANK(C41)),IF(ISNUMBER(Laborator!AD42),Laborator!AD42,"n/p"),"")</f>
        <v/>
      </c>
      <c r="T41" s="128" t="str">
        <f>'Lucru Individual'!G37</f>
        <v/>
      </c>
      <c r="U41" s="34" t="str">
        <f t="shared" si="2"/>
        <v/>
      </c>
      <c r="V41" s="34" t="str">
        <f t="shared" si="3"/>
        <v/>
      </c>
      <c r="W41" s="100" t="str">
        <f t="shared" si="4"/>
        <v/>
      </c>
      <c r="X41" s="33" t="str">
        <f t="shared" si="5"/>
        <v/>
      </c>
      <c r="Y41" s="34" t="str">
        <f t="shared" si="6"/>
        <v/>
      </c>
    </row>
    <row r="42" spans="2:25" x14ac:dyDescent="0.3">
      <c r="B42" s="34" t="str">
        <f>IF(NOT(ISBLANK(C42)),COUNTA($C$6:C42),"")</f>
        <v/>
      </c>
      <c r="C42" s="68"/>
      <c r="D42" s="73"/>
      <c r="E42" s="33"/>
      <c r="F42" s="33"/>
      <c r="G42" s="33"/>
      <c r="H42" s="33"/>
      <c r="I42" s="33"/>
      <c r="J42" s="33"/>
      <c r="K42" s="34" t="str">
        <f t="shared" si="7"/>
        <v/>
      </c>
      <c r="L42"/>
      <c r="M42" s="34" t="str">
        <f>Examen!G38</f>
        <v/>
      </c>
      <c r="N42" s="34"/>
      <c r="O42" s="97" t="str">
        <f>IF(NOT(ISBLANK(B42)),
IF(SUM(E42:J42)+SUM(Laborator!E43:J43)&lt;&gt;0,SUM(E42:J42)+SUM(Laborator!E43:J43),""),
"")</f>
        <v/>
      </c>
      <c r="P42" s="97"/>
      <c r="S42" s="34" t="str">
        <f>IF(NOT(ISBLANK(C42)),IF(ISNUMBER(Laborator!AD43),Laborator!AD43,"n/p"),"")</f>
        <v/>
      </c>
      <c r="T42" s="128" t="str">
        <f>'Lucru Individual'!G38</f>
        <v/>
      </c>
      <c r="U42" s="34" t="str">
        <f t="shared" si="2"/>
        <v/>
      </c>
      <c r="V42" s="34" t="str">
        <f t="shared" si="3"/>
        <v/>
      </c>
      <c r="W42" s="100" t="str">
        <f t="shared" si="4"/>
        <v/>
      </c>
      <c r="X42" s="33" t="str">
        <f t="shared" si="5"/>
        <v/>
      </c>
      <c r="Y42" s="34" t="str">
        <f t="shared" si="6"/>
        <v/>
      </c>
    </row>
    <row r="43" spans="2:25" x14ac:dyDescent="0.3">
      <c r="B43" s="34" t="str">
        <f>IF(NOT(ISBLANK(C43)),COUNTA($C$6:C43),"")</f>
        <v/>
      </c>
      <c r="C43" s="68"/>
      <c r="D43" s="73"/>
      <c r="E43" s="33"/>
      <c r="F43" s="33"/>
      <c r="G43" s="33"/>
      <c r="H43" s="33"/>
      <c r="I43" s="33"/>
      <c r="J43" s="33"/>
      <c r="K43" s="34" t="str">
        <f t="shared" si="7"/>
        <v/>
      </c>
      <c r="L43"/>
      <c r="M43" s="34" t="str">
        <f>Examen!G39</f>
        <v/>
      </c>
      <c r="N43" s="34"/>
      <c r="O43" s="97" t="str">
        <f>IF(NOT(ISBLANK(B43)),
IF(SUM(E43:J43)+SUM(Laborator!E44:J44)&lt;&gt;0,SUM(E43:J43)+SUM(Laborator!E44:J44),""),
"")</f>
        <v/>
      </c>
      <c r="P43" s="97"/>
      <c r="S43" s="34" t="str">
        <f>IF(NOT(ISBLANK(C43)),IF(ISNUMBER(Laborator!AD44),Laborator!AD44,"n/p"),"")</f>
        <v/>
      </c>
      <c r="T43" s="128" t="str">
        <f>'Lucru Individual'!G39</f>
        <v/>
      </c>
      <c r="U43" s="34" t="str">
        <f t="shared" si="2"/>
        <v/>
      </c>
      <c r="V43" s="34" t="str">
        <f t="shared" si="3"/>
        <v/>
      </c>
      <c r="W43" s="100" t="str">
        <f t="shared" si="4"/>
        <v/>
      </c>
      <c r="X43" s="33" t="str">
        <f t="shared" si="5"/>
        <v/>
      </c>
      <c r="Y43" s="34" t="str">
        <f t="shared" si="6"/>
        <v/>
      </c>
    </row>
    <row r="44" spans="2:25" x14ac:dyDescent="0.3">
      <c r="B44" s="34" t="str">
        <f>IF(NOT(ISBLANK(C44)),COUNTA($C$6:C44),"")</f>
        <v/>
      </c>
      <c r="C44" s="68"/>
      <c r="D44" s="73"/>
      <c r="E44" s="33"/>
      <c r="F44" s="33"/>
      <c r="G44" s="33"/>
      <c r="H44" s="33"/>
      <c r="I44" s="33"/>
      <c r="J44" s="33"/>
      <c r="K44" s="34" t="str">
        <f t="shared" si="7"/>
        <v/>
      </c>
      <c r="L44"/>
      <c r="M44" s="34" t="str">
        <f>Examen!G40</f>
        <v/>
      </c>
      <c r="N44" s="34"/>
      <c r="O44" s="97" t="str">
        <f>IF(NOT(ISBLANK(B44)),
IF(SUM(E44:J44)+SUM(Laborator!E45:J45)&lt;&gt;0,SUM(E44:J44)+SUM(Laborator!E45:J45),""),
"")</f>
        <v/>
      </c>
      <c r="P44" s="97"/>
      <c r="S44" s="34" t="str">
        <f>IF(NOT(ISBLANK(C44)),IF(ISNUMBER(Laborator!AD45),Laborator!AD45,"n/p"),"")</f>
        <v/>
      </c>
      <c r="T44" s="128" t="str">
        <f>'Lucru Individual'!G40</f>
        <v/>
      </c>
      <c r="U44" s="34" t="str">
        <f t="shared" si="2"/>
        <v/>
      </c>
      <c r="V44" s="34" t="str">
        <f t="shared" si="3"/>
        <v/>
      </c>
      <c r="W44" s="100" t="str">
        <f t="shared" si="4"/>
        <v/>
      </c>
      <c r="X44" s="33" t="str">
        <f t="shared" si="5"/>
        <v/>
      </c>
      <c r="Y44" s="34" t="str">
        <f t="shared" si="6"/>
        <v/>
      </c>
    </row>
    <row r="45" spans="2:25" x14ac:dyDescent="0.3">
      <c r="B45" s="34" t="str">
        <f>IF(NOT(ISBLANK(C45)),COUNTA($C$6:C45),"")</f>
        <v/>
      </c>
      <c r="C45" s="68"/>
      <c r="D45" s="73"/>
      <c r="E45" s="33"/>
      <c r="F45" s="33"/>
      <c r="G45" s="33"/>
      <c r="H45" s="33"/>
      <c r="I45" s="33"/>
      <c r="J45" s="33"/>
      <c r="K45" s="34" t="str">
        <f t="shared" si="7"/>
        <v/>
      </c>
      <c r="L45"/>
      <c r="M45" s="34" t="str">
        <f>Examen!G41</f>
        <v/>
      </c>
      <c r="N45" s="34"/>
      <c r="O45" s="97" t="str">
        <f>IF(NOT(ISBLANK(B45)),
IF(SUM(E45:J45)+SUM(Laborator!E46:J46)&lt;&gt;0,SUM(E45:J45)+SUM(Laborator!E46:J46),""),
"")</f>
        <v/>
      </c>
      <c r="P45" s="97"/>
      <c r="S45" s="34" t="str">
        <f>IF(NOT(ISBLANK(C45)),IF(ISNUMBER(Laborator!AD46),Laborator!AD46,"n/p"),"")</f>
        <v/>
      </c>
      <c r="T45" s="128" t="str">
        <f>'Lucru Individual'!G41</f>
        <v/>
      </c>
      <c r="U45" s="34" t="str">
        <f t="shared" si="2"/>
        <v/>
      </c>
      <c r="V45" s="34" t="str">
        <f t="shared" si="3"/>
        <v/>
      </c>
      <c r="W45" s="100" t="str">
        <f t="shared" si="4"/>
        <v/>
      </c>
      <c r="X45" s="33" t="str">
        <f t="shared" si="5"/>
        <v/>
      </c>
      <c r="Y45" s="34" t="str">
        <f t="shared" si="6"/>
        <v/>
      </c>
    </row>
    <row r="46" spans="2:25" x14ac:dyDescent="0.3">
      <c r="B46" s="34" t="str">
        <f>IF(NOT(ISBLANK(C46)),COUNTA($C$6:C46),"")</f>
        <v/>
      </c>
      <c r="C46" s="68"/>
      <c r="D46" s="73"/>
      <c r="E46" s="33"/>
      <c r="F46" s="33"/>
      <c r="G46" s="33"/>
      <c r="H46" s="33"/>
      <c r="I46" s="33"/>
      <c r="J46" s="33"/>
      <c r="K46" s="34" t="str">
        <f t="shared" si="7"/>
        <v/>
      </c>
      <c r="L46"/>
      <c r="M46" s="34" t="str">
        <f>Examen!G42</f>
        <v/>
      </c>
      <c r="N46" s="34"/>
      <c r="O46" s="97" t="str">
        <f>IF(NOT(ISBLANK(B46)),
IF(SUM(E46:J46)+SUM(Laborator!E47:J47)&lt;&gt;0,SUM(E46:J46)+SUM(Laborator!E47:J47),""),
"")</f>
        <v/>
      </c>
      <c r="P46" s="97"/>
      <c r="S46" s="34" t="str">
        <f>IF(NOT(ISBLANK(C46)),IF(ISNUMBER(Laborator!AD47),Laborator!AD47,"n/p"),"")</f>
        <v/>
      </c>
      <c r="T46" s="128" t="str">
        <f>'Lucru Individual'!G42</f>
        <v/>
      </c>
      <c r="U46" s="34" t="str">
        <f t="shared" si="2"/>
        <v/>
      </c>
      <c r="V46" s="34" t="str">
        <f t="shared" si="3"/>
        <v/>
      </c>
      <c r="W46" s="100" t="str">
        <f t="shared" si="4"/>
        <v/>
      </c>
      <c r="X46" s="33" t="str">
        <f t="shared" si="5"/>
        <v/>
      </c>
      <c r="Y46" s="34" t="str">
        <f t="shared" si="6"/>
        <v/>
      </c>
    </row>
    <row r="47" spans="2:25" x14ac:dyDescent="0.3">
      <c r="B47" s="34" t="str">
        <f>IF(NOT(ISBLANK(C47)),COUNTA($C$6:C47),"")</f>
        <v/>
      </c>
      <c r="C47" s="68"/>
      <c r="D47" s="73"/>
      <c r="E47" s="33"/>
      <c r="F47" s="33"/>
      <c r="G47" s="33"/>
      <c r="H47" s="33"/>
      <c r="I47" s="33"/>
      <c r="J47" s="33"/>
      <c r="K47" s="34" t="str">
        <f t="shared" si="7"/>
        <v/>
      </c>
      <c r="L47"/>
      <c r="M47" s="34" t="str">
        <f>Examen!G43</f>
        <v/>
      </c>
      <c r="N47" s="34"/>
      <c r="O47" s="97" t="str">
        <f>IF(NOT(ISBLANK(B47)),
IF(SUM(E47:J47)+SUM(Laborator!E48:J48)&lt;&gt;0,SUM(E47:J47)+SUM(Laborator!E48:J48),""),
"")</f>
        <v/>
      </c>
      <c r="P47" s="97"/>
      <c r="S47" s="34" t="str">
        <f>IF(NOT(ISBLANK(C47)),IF(ISNUMBER(Laborator!AD48),Laborator!AD48,"n/p"),"")</f>
        <v/>
      </c>
      <c r="T47" s="128" t="str">
        <f>'Lucru Individual'!G43</f>
        <v/>
      </c>
      <c r="U47" s="34" t="str">
        <f t="shared" si="2"/>
        <v/>
      </c>
      <c r="V47" s="34" t="str">
        <f t="shared" si="3"/>
        <v/>
      </c>
      <c r="W47" s="100" t="str">
        <f t="shared" si="4"/>
        <v/>
      </c>
      <c r="X47" s="33" t="str">
        <f t="shared" si="5"/>
        <v/>
      </c>
      <c r="Y47" s="34" t="str">
        <f t="shared" si="6"/>
        <v/>
      </c>
    </row>
    <row r="48" spans="2:25" x14ac:dyDescent="0.3">
      <c r="B48" s="34" t="str">
        <f>IF(NOT(ISBLANK(C48)),COUNTA($C$6:C48),"")</f>
        <v/>
      </c>
      <c r="C48" s="68"/>
      <c r="D48" s="73"/>
      <c r="E48" s="33"/>
      <c r="F48" s="33"/>
      <c r="G48" s="33"/>
      <c r="H48" s="33"/>
      <c r="I48" s="33"/>
      <c r="J48" s="33"/>
      <c r="K48" s="34" t="str">
        <f t="shared" si="7"/>
        <v/>
      </c>
      <c r="L48"/>
      <c r="M48" s="34" t="str">
        <f>Examen!G44</f>
        <v/>
      </c>
      <c r="N48" s="34"/>
      <c r="O48" s="97" t="str">
        <f>IF(NOT(ISBLANK(B48)),
IF(SUM(E48:J48)+SUM(Laborator!E49:J49)&lt;&gt;0,SUM(E48:J48)+SUM(Laborator!E49:J49),""),
"")</f>
        <v/>
      </c>
      <c r="P48" s="97"/>
      <c r="S48" s="34" t="str">
        <f>IF(NOT(ISBLANK(C48)),IF(ISNUMBER(Laborator!AD49),Laborator!AD49,"n/p"),"")</f>
        <v/>
      </c>
      <c r="T48" s="128" t="str">
        <f>'Lucru Individual'!G44</f>
        <v/>
      </c>
      <c r="U48" s="34" t="str">
        <f t="shared" si="2"/>
        <v/>
      </c>
      <c r="V48" s="34" t="str">
        <f t="shared" si="3"/>
        <v/>
      </c>
      <c r="W48" s="100" t="str">
        <f t="shared" si="4"/>
        <v/>
      </c>
      <c r="X48" s="33" t="str">
        <f t="shared" si="5"/>
        <v/>
      </c>
      <c r="Y48" s="34" t="str">
        <f t="shared" si="6"/>
        <v/>
      </c>
    </row>
    <row r="49" spans="2:25" x14ac:dyDescent="0.3">
      <c r="B49" s="34" t="str">
        <f>IF(NOT(ISBLANK(C49)),COUNTA($C$6:C49),"")</f>
        <v/>
      </c>
      <c r="C49" s="68"/>
      <c r="D49" s="73"/>
      <c r="E49" s="33"/>
      <c r="F49" s="33"/>
      <c r="G49" s="33"/>
      <c r="H49" s="33"/>
      <c r="I49" s="33"/>
      <c r="J49" s="33"/>
      <c r="K49" s="34" t="str">
        <f t="shared" si="7"/>
        <v/>
      </c>
      <c r="L49"/>
      <c r="M49" s="34" t="str">
        <f>Examen!G45</f>
        <v/>
      </c>
      <c r="N49" s="34"/>
      <c r="O49" s="97" t="str">
        <f>IF(NOT(ISBLANK(B49)),
IF(SUM(E49:J49)+SUM(Laborator!E50:J50)&lt;&gt;0,SUM(E49:J49)+SUM(Laborator!E50:J50),""),
"")</f>
        <v/>
      </c>
      <c r="P49" s="97"/>
      <c r="S49" s="34" t="str">
        <f>IF(NOT(ISBLANK(C49)),IF(ISNUMBER(Laborator!AD50),Laborator!AD50,"n/p"),"")</f>
        <v/>
      </c>
      <c r="T49" s="128" t="str">
        <f>'Lucru Individual'!G45</f>
        <v/>
      </c>
      <c r="U49" s="34" t="str">
        <f t="shared" si="2"/>
        <v/>
      </c>
      <c r="V49" s="34" t="str">
        <f t="shared" si="3"/>
        <v/>
      </c>
      <c r="W49" s="100" t="str">
        <f t="shared" si="4"/>
        <v/>
      </c>
      <c r="X49" s="33" t="str">
        <f t="shared" si="5"/>
        <v/>
      </c>
      <c r="Y49" s="34" t="str">
        <f t="shared" si="6"/>
        <v/>
      </c>
    </row>
    <row r="50" spans="2:25" x14ac:dyDescent="0.3">
      <c r="B50" s="34" t="str">
        <f>IF(NOT(ISBLANK(C50)),COUNTA($C$6:C50),"")</f>
        <v/>
      </c>
      <c r="C50" s="68"/>
      <c r="D50" s="73"/>
      <c r="E50" s="33"/>
      <c r="F50" s="33"/>
      <c r="G50" s="33"/>
      <c r="H50" s="33"/>
      <c r="I50" s="33"/>
      <c r="J50" s="33"/>
      <c r="K50" s="34" t="str">
        <f t="shared" si="7"/>
        <v/>
      </c>
      <c r="L50"/>
      <c r="M50" s="34" t="str">
        <f>Examen!G46</f>
        <v/>
      </c>
      <c r="N50" s="34"/>
      <c r="O50" s="97" t="str">
        <f>IF(NOT(ISBLANK(B50)),
IF(SUM(E50:J50)+SUM(Laborator!E51:J51)&lt;&gt;0,SUM(E50:J50)+SUM(Laborator!E51:J51),""),
"")</f>
        <v/>
      </c>
      <c r="P50" s="97"/>
      <c r="S50" s="34" t="str">
        <f>IF(NOT(ISBLANK(C50)),IF(ISNUMBER(Laborator!AD51),Laborator!AD51,"n/p"),"")</f>
        <v/>
      </c>
      <c r="T50" s="128" t="str">
        <f>'Lucru Individual'!G46</f>
        <v/>
      </c>
      <c r="U50" s="34" t="str">
        <f t="shared" si="2"/>
        <v/>
      </c>
      <c r="V50" s="34" t="str">
        <f t="shared" si="3"/>
        <v/>
      </c>
      <c r="W50" s="100" t="str">
        <f t="shared" si="4"/>
        <v/>
      </c>
      <c r="X50" s="33" t="str">
        <f t="shared" si="5"/>
        <v/>
      </c>
      <c r="Y50" s="34" t="str">
        <f t="shared" si="6"/>
        <v/>
      </c>
    </row>
    <row r="51" spans="2:25" x14ac:dyDescent="0.3">
      <c r="B51" s="34" t="str">
        <f>IF(NOT(ISBLANK(C51)),COUNTA($C$6:C51),"")</f>
        <v/>
      </c>
      <c r="C51" s="68"/>
      <c r="D51" s="73"/>
      <c r="E51" s="33"/>
      <c r="F51" s="33"/>
      <c r="G51" s="33"/>
      <c r="H51" s="33"/>
      <c r="I51" s="33"/>
      <c r="J51" s="33"/>
      <c r="K51" s="34" t="str">
        <f t="shared" si="7"/>
        <v/>
      </c>
      <c r="L51"/>
      <c r="M51" s="34" t="str">
        <f>Examen!G47</f>
        <v/>
      </c>
      <c r="N51" s="34"/>
      <c r="O51" s="97" t="str">
        <f>IF(NOT(ISBLANK(B51)),
IF(SUM(E51:J51)+SUM(Laborator!E52:J52)&lt;&gt;0,SUM(E51:J51)+SUM(Laborator!E52:J52),""),
"")</f>
        <v/>
      </c>
      <c r="P51" s="97"/>
      <c r="S51" s="34" t="str">
        <f>IF(NOT(ISBLANK(C51)),IF(ISNUMBER(Laborator!AD52),Laborator!AD52,"n/p"),"")</f>
        <v/>
      </c>
      <c r="T51" s="128" t="str">
        <f>'Lucru Individual'!G47</f>
        <v/>
      </c>
      <c r="U51" s="34" t="str">
        <f t="shared" si="2"/>
        <v/>
      </c>
      <c r="V51" s="34" t="str">
        <f t="shared" si="3"/>
        <v/>
      </c>
      <c r="W51" s="100" t="str">
        <f t="shared" si="4"/>
        <v/>
      </c>
      <c r="X51" s="33" t="str">
        <f t="shared" si="5"/>
        <v/>
      </c>
      <c r="Y51" s="34" t="str">
        <f t="shared" si="6"/>
        <v/>
      </c>
    </row>
    <row r="52" spans="2:25" x14ac:dyDescent="0.3">
      <c r="B52" s="34" t="str">
        <f>IF(NOT(ISBLANK(C52)),COUNTA($C$6:C52),"")</f>
        <v/>
      </c>
      <c r="C52" s="68"/>
      <c r="D52" s="73"/>
      <c r="E52" s="33"/>
      <c r="F52" s="33"/>
      <c r="G52" s="33"/>
      <c r="H52" s="33"/>
      <c r="I52" s="33"/>
      <c r="J52" s="33"/>
      <c r="K52" s="34" t="str">
        <f t="shared" si="7"/>
        <v/>
      </c>
      <c r="L52"/>
      <c r="M52" s="34" t="str">
        <f>Examen!G48</f>
        <v/>
      </c>
      <c r="N52" s="34"/>
      <c r="O52" s="97" t="str">
        <f>IF(NOT(ISBLANK(B52)),
IF(SUM(E52:J52)+SUM(Laborator!E53:J53)&lt;&gt;0,SUM(E52:J52)+SUM(Laborator!E53:J53),""),
"")</f>
        <v/>
      </c>
      <c r="P52" s="97"/>
      <c r="S52" s="34" t="str">
        <f>IF(NOT(ISBLANK(C52)),IF(ISNUMBER(Laborator!AD53),Laborator!AD53,"n/p"),"")</f>
        <v/>
      </c>
      <c r="T52" s="128" t="str">
        <f>'Lucru Individual'!G48</f>
        <v/>
      </c>
      <c r="U52" s="34" t="str">
        <f t="shared" si="2"/>
        <v/>
      </c>
      <c r="V52" s="34" t="str">
        <f t="shared" si="3"/>
        <v/>
      </c>
      <c r="W52" s="100" t="str">
        <f t="shared" si="4"/>
        <v/>
      </c>
      <c r="X52" s="33" t="str">
        <f t="shared" si="5"/>
        <v/>
      </c>
      <c r="Y52" s="34" t="str">
        <f t="shared" si="6"/>
        <v/>
      </c>
    </row>
    <row r="53" spans="2:25" x14ac:dyDescent="0.3">
      <c r="B53" s="34" t="str">
        <f>IF(NOT(ISBLANK(C53)),COUNTA($C$6:C53),"")</f>
        <v/>
      </c>
      <c r="C53" s="68"/>
      <c r="D53" s="73"/>
      <c r="E53" s="33"/>
      <c r="F53" s="33"/>
      <c r="G53" s="33"/>
      <c r="H53" s="33"/>
      <c r="I53" s="33"/>
      <c r="J53" s="33"/>
      <c r="K53" s="34" t="str">
        <f t="shared" si="7"/>
        <v/>
      </c>
      <c r="L53"/>
      <c r="M53" s="34" t="str">
        <f>Examen!G49</f>
        <v/>
      </c>
      <c r="N53" s="34"/>
      <c r="O53" s="97" t="str">
        <f>IF(NOT(ISBLANK(B53)),
IF(SUM(E53:J53)+SUM(Laborator!E54:J54)&lt;&gt;0,SUM(E53:J53)+SUM(Laborator!E54:J54),""),
"")</f>
        <v/>
      </c>
      <c r="P53" s="97"/>
      <c r="S53" s="34" t="str">
        <f>IF(NOT(ISBLANK(C53)),IF(ISNUMBER(Laborator!AD54),Laborator!AD54,"n/p"),"")</f>
        <v/>
      </c>
      <c r="T53" s="128" t="str">
        <f>'Lucru Individual'!G49</f>
        <v/>
      </c>
      <c r="U53" s="34" t="str">
        <f t="shared" si="2"/>
        <v/>
      </c>
      <c r="V53" s="34" t="str">
        <f t="shared" si="3"/>
        <v/>
      </c>
      <c r="W53" s="100" t="str">
        <f t="shared" si="4"/>
        <v/>
      </c>
      <c r="X53" s="33" t="str">
        <f t="shared" si="5"/>
        <v/>
      </c>
      <c r="Y53" s="34" t="str">
        <f t="shared" si="6"/>
        <v/>
      </c>
    </row>
    <row r="54" spans="2:25" x14ac:dyDescent="0.3">
      <c r="B54" s="34" t="str">
        <f>IF(NOT(ISBLANK(C54)),COUNTA($C$6:C54),"")</f>
        <v/>
      </c>
      <c r="C54" s="68"/>
      <c r="D54" s="73"/>
      <c r="E54" s="33"/>
      <c r="F54" s="33"/>
      <c r="G54" s="33"/>
      <c r="H54" s="33"/>
      <c r="I54" s="33"/>
      <c r="J54" s="33"/>
      <c r="K54" s="34" t="str">
        <f t="shared" si="7"/>
        <v/>
      </c>
      <c r="L54"/>
      <c r="M54" s="34" t="str">
        <f>Examen!G50</f>
        <v/>
      </c>
      <c r="N54" s="34"/>
      <c r="O54" s="97" t="str">
        <f>IF(NOT(ISBLANK(B54)),
IF(SUM(E54:J54)+SUM(Laborator!E55:J55)&lt;&gt;0,SUM(E54:J54)+SUM(Laborator!E55:J55),""),
"")</f>
        <v/>
      </c>
      <c r="P54" s="97"/>
      <c r="S54" s="34" t="str">
        <f>IF(NOT(ISBLANK(C54)),IF(ISNUMBER(Laborator!AD55),Laborator!AD55,"n/p"),"")</f>
        <v/>
      </c>
      <c r="T54" s="128" t="str">
        <f>'Lucru Individual'!G50</f>
        <v/>
      </c>
      <c r="U54" s="34" t="str">
        <f t="shared" si="2"/>
        <v/>
      </c>
      <c r="V54" s="34" t="str">
        <f t="shared" si="3"/>
        <v/>
      </c>
      <c r="W54" s="100" t="str">
        <f t="shared" si="4"/>
        <v/>
      </c>
      <c r="X54" s="33" t="str">
        <f t="shared" si="5"/>
        <v/>
      </c>
      <c r="Y54" s="34" t="str">
        <f t="shared" si="6"/>
        <v/>
      </c>
    </row>
    <row r="55" spans="2:25" x14ac:dyDescent="0.3">
      <c r="B55" s="34" t="str">
        <f>IF(NOT(ISBLANK(C55)),COUNTA($C$6:C55),"")</f>
        <v/>
      </c>
      <c r="C55" s="68"/>
      <c r="D55" s="73"/>
      <c r="E55" s="33"/>
      <c r="F55" s="33"/>
      <c r="G55" s="33"/>
      <c r="H55" s="33"/>
      <c r="I55" s="33"/>
      <c r="J55" s="33"/>
      <c r="K55" s="34" t="str">
        <f t="shared" si="7"/>
        <v/>
      </c>
      <c r="L55"/>
      <c r="M55" s="34" t="str">
        <f>Examen!G51</f>
        <v/>
      </c>
      <c r="N55" s="34"/>
      <c r="O55" s="97" t="str">
        <f>IF(NOT(ISBLANK(B55)),
IF(SUM(E55:J55)+SUM(Laborator!E56:J56)&lt;&gt;0,SUM(E55:J55)+SUM(Laborator!E56:J56),""),
"")</f>
        <v/>
      </c>
      <c r="P55" s="97"/>
      <c r="S55" s="34" t="str">
        <f>IF(NOT(ISBLANK(C55)),IF(ISNUMBER(Laborator!AD56),Laborator!AD56,"n/p"),"")</f>
        <v/>
      </c>
      <c r="T55" s="128" t="str">
        <f>'Lucru Individual'!G51</f>
        <v/>
      </c>
      <c r="U55" s="34" t="str">
        <f t="shared" si="2"/>
        <v/>
      </c>
      <c r="V55" s="34" t="str">
        <f t="shared" si="3"/>
        <v/>
      </c>
      <c r="W55" s="100" t="str">
        <f t="shared" si="4"/>
        <v/>
      </c>
      <c r="X55" s="33" t="str">
        <f t="shared" si="5"/>
        <v/>
      </c>
      <c r="Y55" s="34" t="str">
        <f t="shared" si="6"/>
        <v/>
      </c>
    </row>
    <row r="56" spans="2:25" x14ac:dyDescent="0.3">
      <c r="B56" s="34" t="str">
        <f>IF(NOT(ISBLANK(C56)),COUNTA($C$6:C56),"")</f>
        <v/>
      </c>
      <c r="C56" s="68"/>
      <c r="D56" s="73"/>
      <c r="E56" s="33"/>
      <c r="F56" s="33"/>
      <c r="G56" s="33"/>
      <c r="H56" s="33"/>
      <c r="I56" s="33"/>
      <c r="J56" s="33"/>
      <c r="K56" s="34" t="str">
        <f t="shared" si="7"/>
        <v/>
      </c>
      <c r="L56"/>
      <c r="M56" s="34" t="str">
        <f>Examen!G52</f>
        <v/>
      </c>
      <c r="N56" s="34"/>
      <c r="O56" s="97" t="str">
        <f>IF(NOT(ISBLANK(B56)),
IF(SUM(E56:J56)+SUM(Laborator!E57:J57)&lt;&gt;0,SUM(E56:J56)+SUM(Laborator!E57:J57),""),
"")</f>
        <v/>
      </c>
      <c r="P56" s="97"/>
      <c r="S56" s="34" t="str">
        <f>IF(NOT(ISBLANK(C56)),IF(ISNUMBER(Laborator!AD57),Laborator!AD57,"n/p"),"")</f>
        <v/>
      </c>
      <c r="T56" s="128" t="str">
        <f>'Lucru Individual'!G52</f>
        <v/>
      </c>
      <c r="U56" s="34" t="str">
        <f t="shared" si="2"/>
        <v/>
      </c>
      <c r="V56" s="34" t="str">
        <f t="shared" si="3"/>
        <v/>
      </c>
      <c r="W56" s="100" t="str">
        <f t="shared" si="4"/>
        <v/>
      </c>
      <c r="X56" s="33" t="str">
        <f t="shared" si="5"/>
        <v/>
      </c>
      <c r="Y56" s="34" t="str">
        <f t="shared" si="6"/>
        <v/>
      </c>
    </row>
    <row r="57" spans="2:25" x14ac:dyDescent="0.3">
      <c r="B57" s="34" t="str">
        <f>IF(NOT(ISBLANK(C57)),COUNTA($C$6:C57),"")</f>
        <v/>
      </c>
      <c r="C57" s="68"/>
      <c r="D57" s="73"/>
      <c r="E57" s="33"/>
      <c r="F57" s="33"/>
      <c r="G57" s="33"/>
      <c r="H57" s="33"/>
      <c r="I57" s="33"/>
      <c r="J57" s="33"/>
      <c r="K57" s="34" t="str">
        <f t="shared" si="7"/>
        <v/>
      </c>
      <c r="L57"/>
      <c r="M57" s="34" t="str">
        <f>Examen!G53</f>
        <v/>
      </c>
      <c r="N57" s="34"/>
      <c r="O57" s="97" t="str">
        <f>IF(NOT(ISBLANK(B57)),
IF(SUM(E57:J57)+SUM(Laborator!E58:J58)&lt;&gt;0,SUM(E57:J57)+SUM(Laborator!E58:J58),""),
"")</f>
        <v/>
      </c>
      <c r="P57" s="97"/>
      <c r="S57" s="34" t="str">
        <f>IF(NOT(ISBLANK(C57)),IF(ISNUMBER(Laborator!AD58),Laborator!AD58,"n/p"),"")</f>
        <v/>
      </c>
      <c r="T57" s="128" t="str">
        <f>'Lucru Individual'!G53</f>
        <v/>
      </c>
      <c r="U57" s="34" t="str">
        <f t="shared" si="2"/>
        <v/>
      </c>
      <c r="V57" s="34" t="str">
        <f t="shared" si="3"/>
        <v/>
      </c>
      <c r="W57" s="100" t="str">
        <f t="shared" si="4"/>
        <v/>
      </c>
      <c r="X57" s="33" t="str">
        <f t="shared" si="5"/>
        <v/>
      </c>
      <c r="Y57" s="34" t="str">
        <f t="shared" si="6"/>
        <v/>
      </c>
    </row>
    <row r="58" spans="2:25" x14ac:dyDescent="0.3">
      <c r="B58" s="34" t="str">
        <f>IF(NOT(ISBLANK(C58)),COUNTA($C$6:C58),"")</f>
        <v/>
      </c>
      <c r="C58" s="68"/>
      <c r="D58" s="73"/>
      <c r="E58" s="33"/>
      <c r="F58" s="33"/>
      <c r="G58" s="33"/>
      <c r="H58" s="33"/>
      <c r="I58" s="33"/>
      <c r="J58" s="33"/>
      <c r="K58" s="34" t="str">
        <f t="shared" si="7"/>
        <v/>
      </c>
      <c r="L58"/>
      <c r="M58" s="34" t="str">
        <f>Examen!G54</f>
        <v/>
      </c>
      <c r="N58" s="34"/>
      <c r="O58" s="97" t="str">
        <f>IF(NOT(ISBLANK(B58)),
IF(SUM(E58:J58)+SUM(Laborator!E59:J59)&lt;&gt;0,SUM(E58:J58)+SUM(Laborator!E59:J59),""),
"")</f>
        <v/>
      </c>
      <c r="P58" s="97"/>
      <c r="S58" s="34" t="str">
        <f>IF(NOT(ISBLANK(C58)),IF(ISNUMBER(Laborator!AD59),Laborator!AD59,"n/p"),"")</f>
        <v/>
      </c>
      <c r="T58" s="128" t="str">
        <f>'Lucru Individual'!G54</f>
        <v/>
      </c>
      <c r="U58" s="34" t="str">
        <f t="shared" si="2"/>
        <v/>
      </c>
      <c r="V58" s="34" t="str">
        <f t="shared" si="3"/>
        <v/>
      </c>
      <c r="W58" s="100" t="str">
        <f t="shared" si="4"/>
        <v/>
      </c>
      <c r="X58" s="33" t="str">
        <f t="shared" si="5"/>
        <v/>
      </c>
      <c r="Y58" s="34" t="str">
        <f t="shared" si="6"/>
        <v/>
      </c>
    </row>
    <row r="59" spans="2:25" x14ac:dyDescent="0.3">
      <c r="B59" s="34" t="str">
        <f>IF(NOT(ISBLANK(C59)),COUNTA($C$6:C59),"")</f>
        <v/>
      </c>
      <c r="C59" s="68"/>
      <c r="D59" s="73"/>
      <c r="E59" s="33"/>
      <c r="F59" s="33"/>
      <c r="G59" s="33"/>
      <c r="H59" s="33"/>
      <c r="I59" s="33"/>
      <c r="J59" s="33"/>
      <c r="K59" s="34" t="str">
        <f t="shared" si="7"/>
        <v/>
      </c>
      <c r="L59"/>
      <c r="M59" s="34" t="str">
        <f>Examen!G55</f>
        <v/>
      </c>
      <c r="N59" s="34"/>
      <c r="O59" s="97" t="str">
        <f>IF(NOT(ISBLANK(B59)),
IF(SUM(E59:J59)+SUM(Laborator!E60:J60)&lt;&gt;0,SUM(E59:J59)+SUM(Laborator!E60:J60),""),
"")</f>
        <v/>
      </c>
      <c r="P59" s="97"/>
      <c r="S59" s="34" t="str">
        <f>IF(NOT(ISBLANK(C59)),IF(ISNUMBER(Laborator!AD60),Laborator!AD60,"n/p"),"")</f>
        <v/>
      </c>
      <c r="T59" s="128" t="str">
        <f>'Lucru Individual'!G55</f>
        <v/>
      </c>
      <c r="U59" s="34" t="str">
        <f t="shared" si="2"/>
        <v/>
      </c>
      <c r="V59" s="34" t="str">
        <f t="shared" si="3"/>
        <v/>
      </c>
      <c r="W59" s="100" t="str">
        <f t="shared" si="4"/>
        <v/>
      </c>
      <c r="X59" s="33" t="str">
        <f t="shared" si="5"/>
        <v/>
      </c>
      <c r="Y59" s="34" t="str">
        <f t="shared" si="6"/>
        <v/>
      </c>
    </row>
    <row r="60" spans="2:25" x14ac:dyDescent="0.3">
      <c r="B60" s="34" t="str">
        <f>IF(NOT(ISBLANK(C60)),COUNTA($C$6:C60),"")</f>
        <v/>
      </c>
      <c r="C60" s="68"/>
      <c r="D60" s="73"/>
      <c r="E60" s="33"/>
      <c r="F60" s="33"/>
      <c r="G60" s="33"/>
      <c r="H60" s="33"/>
      <c r="I60" s="33"/>
      <c r="J60" s="33"/>
      <c r="K60" s="34" t="str">
        <f t="shared" si="7"/>
        <v/>
      </c>
      <c r="L60"/>
      <c r="M60" s="34" t="str">
        <f>Examen!G56</f>
        <v/>
      </c>
      <c r="N60" s="34"/>
      <c r="O60" s="97" t="str">
        <f>IF(NOT(ISBLANK(B60)),
IF(SUM(E60:J60)+SUM(Laborator!E61:J61)&lt;&gt;0,SUM(E60:J60)+SUM(Laborator!E61:J61),""),
"")</f>
        <v/>
      </c>
      <c r="P60" s="97"/>
      <c r="S60" s="34" t="str">
        <f>IF(NOT(ISBLANK(C60)),IF(ISNUMBER(Laborator!AD61),Laborator!AD61,"n/p"),"")</f>
        <v/>
      </c>
      <c r="T60" s="128" t="str">
        <f>'Lucru Individual'!G56</f>
        <v/>
      </c>
      <c r="U60" s="34" t="str">
        <f t="shared" si="2"/>
        <v/>
      </c>
      <c r="V60" s="34" t="str">
        <f t="shared" si="3"/>
        <v/>
      </c>
      <c r="W60" s="100" t="str">
        <f t="shared" si="4"/>
        <v/>
      </c>
      <c r="X60" s="33" t="str">
        <f t="shared" si="5"/>
        <v/>
      </c>
      <c r="Y60" s="34" t="str">
        <f t="shared" si="6"/>
        <v/>
      </c>
    </row>
    <row r="61" spans="2:25" x14ac:dyDescent="0.3">
      <c r="B61" s="34" t="str">
        <f>IF(NOT(ISBLANK(C61)),COUNTA($C$6:C61),"")</f>
        <v/>
      </c>
      <c r="C61" s="68"/>
      <c r="D61" s="73"/>
      <c r="E61" s="33"/>
      <c r="F61" s="33"/>
      <c r="G61" s="33"/>
      <c r="H61" s="33"/>
      <c r="I61" s="33"/>
      <c r="J61" s="33"/>
      <c r="K61" s="34" t="str">
        <f t="shared" si="7"/>
        <v/>
      </c>
      <c r="L61"/>
      <c r="M61" s="34" t="str">
        <f>Examen!G57</f>
        <v/>
      </c>
      <c r="N61" s="34"/>
      <c r="O61" s="97" t="str">
        <f>IF(NOT(ISBLANK(B61)),
IF(SUM(E61:J61)+SUM(Laborator!E62:J62)&lt;&gt;0,SUM(E61:J61)+SUM(Laborator!E62:J62),""),
"")</f>
        <v/>
      </c>
      <c r="P61" s="97"/>
      <c r="S61" s="34" t="str">
        <f>IF(NOT(ISBLANK(C61)),IF(ISNUMBER(Laborator!AD62),Laborator!AD62,"n/p"),"")</f>
        <v/>
      </c>
      <c r="T61" s="128" t="str">
        <f>'Lucru Individual'!G57</f>
        <v/>
      </c>
      <c r="U61" s="34" t="str">
        <f t="shared" si="2"/>
        <v/>
      </c>
      <c r="V61" s="34" t="str">
        <f t="shared" si="3"/>
        <v/>
      </c>
      <c r="W61" s="100" t="str">
        <f t="shared" si="4"/>
        <v/>
      </c>
      <c r="X61" s="33" t="str">
        <f t="shared" si="5"/>
        <v/>
      </c>
      <c r="Y61" s="34" t="str">
        <f t="shared" si="6"/>
        <v/>
      </c>
    </row>
    <row r="62" spans="2:25" x14ac:dyDescent="0.3">
      <c r="B62" s="34" t="str">
        <f>IF(NOT(ISBLANK(C62)),COUNTA($C$6:C62),"")</f>
        <v/>
      </c>
      <c r="C62" s="68"/>
      <c r="D62" s="73"/>
      <c r="E62" s="33"/>
      <c r="F62" s="33"/>
      <c r="G62" s="33"/>
      <c r="H62" s="33"/>
      <c r="I62" s="33"/>
      <c r="J62" s="33"/>
      <c r="K62" s="34" t="str">
        <f t="shared" si="7"/>
        <v/>
      </c>
      <c r="L62"/>
      <c r="M62" s="34" t="str">
        <f>Examen!G58</f>
        <v/>
      </c>
      <c r="N62" s="34"/>
      <c r="O62" s="97" t="str">
        <f>IF(NOT(ISBLANK(B62)),
IF(SUM(E62:J62)+SUM(Laborator!E63:J63)&lt;&gt;0,SUM(E62:J62)+SUM(Laborator!E63:J63),""),
"")</f>
        <v/>
      </c>
      <c r="P62" s="97"/>
      <c r="S62" s="34" t="str">
        <f>IF(NOT(ISBLANK(C62)),IF(ISNUMBER(Laborator!AD63),Laborator!AD63,"n/p"),"")</f>
        <v/>
      </c>
      <c r="T62" s="128" t="str">
        <f>'Lucru Individual'!G58</f>
        <v/>
      </c>
      <c r="U62" s="34" t="str">
        <f t="shared" si="2"/>
        <v/>
      </c>
      <c r="V62" s="34" t="str">
        <f t="shared" si="3"/>
        <v/>
      </c>
      <c r="W62" s="100" t="str">
        <f t="shared" si="4"/>
        <v/>
      </c>
      <c r="X62" s="33" t="str">
        <f t="shared" si="5"/>
        <v/>
      </c>
      <c r="Y62" s="34" t="str">
        <f t="shared" si="6"/>
        <v/>
      </c>
    </row>
    <row r="63" spans="2:25" x14ac:dyDescent="0.3">
      <c r="B63" s="34" t="str">
        <f>IF(NOT(ISBLANK(C63)),COUNTA($C$6:C63),"")</f>
        <v/>
      </c>
      <c r="C63" s="68"/>
      <c r="D63" s="73"/>
      <c r="E63" s="33"/>
      <c r="F63" s="33"/>
      <c r="G63" s="33"/>
      <c r="H63" s="33"/>
      <c r="I63" s="33"/>
      <c r="J63" s="33"/>
      <c r="K63" s="34" t="str">
        <f t="shared" si="7"/>
        <v/>
      </c>
      <c r="L63"/>
      <c r="M63" s="34" t="str">
        <f>Examen!G59</f>
        <v/>
      </c>
      <c r="N63" s="34"/>
      <c r="O63" s="97" t="str">
        <f>IF(NOT(ISBLANK(B63)),
IF(SUM(E63:J63)+SUM(Laborator!E64:J64)&lt;&gt;0,SUM(E63:J63)+SUM(Laborator!E64:J64),""),
"")</f>
        <v/>
      </c>
      <c r="P63" s="97"/>
      <c r="S63" s="34" t="str">
        <f>IF(NOT(ISBLANK(C63)),IF(ISNUMBER(Laborator!AD64),Laborator!AD64,"n/p"),"")</f>
        <v/>
      </c>
      <c r="T63" s="128" t="str">
        <f>'Lucru Individual'!G59</f>
        <v/>
      </c>
      <c r="U63" s="34" t="str">
        <f t="shared" si="2"/>
        <v/>
      </c>
      <c r="V63" s="34" t="str">
        <f t="shared" si="3"/>
        <v/>
      </c>
      <c r="W63" s="100" t="str">
        <f t="shared" si="4"/>
        <v/>
      </c>
      <c r="X63" s="33" t="str">
        <f t="shared" si="5"/>
        <v/>
      </c>
      <c r="Y63" s="34" t="str">
        <f t="shared" si="6"/>
        <v/>
      </c>
    </row>
    <row r="64" spans="2:25" x14ac:dyDescent="0.3">
      <c r="B64" s="34" t="str">
        <f>IF(NOT(ISBLANK(C64)),COUNTA($C$6:C64),"")</f>
        <v/>
      </c>
      <c r="C64" s="68"/>
      <c r="D64" s="73"/>
      <c r="E64" s="33"/>
      <c r="F64" s="33"/>
      <c r="G64" s="33"/>
      <c r="H64" s="33"/>
      <c r="I64" s="33"/>
      <c r="J64" s="33"/>
      <c r="K64" s="34" t="str">
        <f t="shared" si="7"/>
        <v/>
      </c>
      <c r="L64"/>
      <c r="M64" s="34" t="str">
        <f>Examen!G60</f>
        <v/>
      </c>
      <c r="N64" s="34"/>
      <c r="O64" s="97" t="str">
        <f>IF(NOT(ISBLANK(B64)),
IF(SUM(E64:J64)+SUM(Laborator!E65:J65)&lt;&gt;0,SUM(E64:J64)+SUM(Laborator!E65:J65),""),
"")</f>
        <v/>
      </c>
      <c r="P64" s="97"/>
      <c r="S64" s="34" t="str">
        <f>IF(NOT(ISBLANK(C64)),IF(ISNUMBER(Laborator!AD65),Laborator!AD65,"n/p"),"")</f>
        <v/>
      </c>
      <c r="T64" s="128" t="str">
        <f>'Lucru Individual'!G60</f>
        <v/>
      </c>
      <c r="U64" s="34" t="str">
        <f t="shared" si="2"/>
        <v/>
      </c>
      <c r="V64" s="34" t="str">
        <f t="shared" si="3"/>
        <v/>
      </c>
      <c r="W64" s="100" t="str">
        <f t="shared" si="4"/>
        <v/>
      </c>
      <c r="X64" s="33" t="str">
        <f t="shared" si="5"/>
        <v/>
      </c>
      <c r="Y64" s="34" t="str">
        <f t="shared" si="6"/>
        <v/>
      </c>
    </row>
    <row r="65" spans="2:25" x14ac:dyDescent="0.3">
      <c r="B65" s="34" t="str">
        <f>IF(NOT(ISBLANK(C65)),COUNTA($C$6:C65),"")</f>
        <v/>
      </c>
      <c r="C65" s="68"/>
      <c r="D65" s="73"/>
      <c r="E65" s="33"/>
      <c r="F65" s="33"/>
      <c r="G65" s="33"/>
      <c r="H65" s="33"/>
      <c r="I65" s="33"/>
      <c r="J65" s="33"/>
      <c r="K65" s="34" t="str">
        <f t="shared" si="7"/>
        <v/>
      </c>
      <c r="L65"/>
      <c r="M65" s="34" t="str">
        <f>Examen!G61</f>
        <v/>
      </c>
      <c r="N65" s="34"/>
      <c r="O65" s="97" t="str">
        <f>IF(NOT(ISBLANK(B65)),
IF(SUM(E65:J65)+SUM(Laborator!E66:J66)&lt;&gt;0,SUM(E65:J65)+SUM(Laborator!E66:J66),""),
"")</f>
        <v/>
      </c>
      <c r="P65" s="97"/>
      <c r="S65" s="34" t="str">
        <f>IF(NOT(ISBLANK(C65)),IF(ISNUMBER(Laborator!AD66),Laborator!AD66,"n/p"),"")</f>
        <v/>
      </c>
      <c r="T65" s="128" t="str">
        <f>'Lucru Individual'!G61</f>
        <v/>
      </c>
      <c r="U65" s="34" t="str">
        <f t="shared" si="2"/>
        <v/>
      </c>
      <c r="V65" s="34" t="str">
        <f t="shared" si="3"/>
        <v/>
      </c>
      <c r="W65" s="100" t="str">
        <f t="shared" si="4"/>
        <v/>
      </c>
      <c r="X65" s="33" t="str">
        <f t="shared" si="5"/>
        <v/>
      </c>
      <c r="Y65" s="34" t="str">
        <f t="shared" si="6"/>
        <v/>
      </c>
    </row>
    <row r="66" spans="2:25" x14ac:dyDescent="0.3">
      <c r="B66" s="34" t="str">
        <f>IF(NOT(ISBLANK(C66)),COUNTA($C$6:C66),"")</f>
        <v/>
      </c>
      <c r="C66" s="68"/>
      <c r="D66" s="73"/>
      <c r="E66" s="33"/>
      <c r="F66" s="33"/>
      <c r="G66" s="33"/>
      <c r="H66" s="33"/>
      <c r="I66" s="33"/>
      <c r="J66" s="33"/>
      <c r="K66" s="34" t="str">
        <f t="shared" si="7"/>
        <v/>
      </c>
      <c r="L66"/>
      <c r="M66" s="34" t="str">
        <f>Examen!G62</f>
        <v/>
      </c>
      <c r="N66" s="34"/>
      <c r="O66" s="97" t="str">
        <f>IF(NOT(ISBLANK(B66)),
IF(SUM(E66:J66)+SUM(Laborator!E67:J67)&lt;&gt;0,SUM(E66:J66)+SUM(Laborator!E67:J67),""),
"")</f>
        <v/>
      </c>
      <c r="P66" s="97"/>
      <c r="S66" s="34" t="str">
        <f>IF(NOT(ISBLANK(C66)),IF(ISNUMBER(Laborator!AD67),Laborator!AD67,"n/p"),"")</f>
        <v/>
      </c>
      <c r="T66" s="128" t="str">
        <f>'Lucru Individual'!G62</f>
        <v/>
      </c>
      <c r="U66" s="34" t="str">
        <f t="shared" si="2"/>
        <v/>
      </c>
      <c r="V66" s="34" t="str">
        <f t="shared" si="3"/>
        <v/>
      </c>
      <c r="W66" s="100" t="str">
        <f t="shared" si="4"/>
        <v/>
      </c>
      <c r="X66" s="33" t="str">
        <f t="shared" si="5"/>
        <v/>
      </c>
      <c r="Y66" s="34" t="str">
        <f t="shared" si="6"/>
        <v/>
      </c>
    </row>
    <row r="67" spans="2:25" x14ac:dyDescent="0.3">
      <c r="B67" s="34" t="str">
        <f>IF(NOT(ISBLANK(C67)),COUNTA($C$6:C67),"")</f>
        <v/>
      </c>
      <c r="C67" s="68"/>
      <c r="D67" s="73"/>
      <c r="E67" s="33"/>
      <c r="F67" s="33"/>
      <c r="G67" s="33"/>
      <c r="H67" s="33"/>
      <c r="I67" s="33"/>
      <c r="J67" s="33"/>
      <c r="K67" s="34" t="str">
        <f t="shared" si="7"/>
        <v/>
      </c>
      <c r="L67"/>
      <c r="M67" s="34" t="str">
        <f>Examen!G63</f>
        <v/>
      </c>
      <c r="N67" s="34"/>
      <c r="O67" s="97" t="str">
        <f>IF(NOT(ISBLANK(B67)),
IF(SUM(E67:J67)+SUM(Laborator!E68:J68)&lt;&gt;0,SUM(E67:J67)+SUM(Laborator!E68:J68),""),
"")</f>
        <v/>
      </c>
      <c r="P67" s="97"/>
      <c r="S67" s="34" t="str">
        <f>IF(NOT(ISBLANK(C67)),IF(ISNUMBER(Laborator!AD68),Laborator!AD68,"n/p"),"")</f>
        <v/>
      </c>
      <c r="T67" s="128" t="str">
        <f>'Lucru Individual'!G63</f>
        <v/>
      </c>
      <c r="U67" s="34" t="str">
        <f t="shared" si="2"/>
        <v/>
      </c>
      <c r="V67" s="34" t="str">
        <f t="shared" si="3"/>
        <v/>
      </c>
      <c r="W67" s="100" t="str">
        <f t="shared" si="4"/>
        <v/>
      </c>
      <c r="X67" s="33" t="str">
        <f t="shared" si="5"/>
        <v/>
      </c>
      <c r="Y67" s="34" t="str">
        <f t="shared" si="6"/>
        <v/>
      </c>
    </row>
    <row r="68" spans="2:25" x14ac:dyDescent="0.3">
      <c r="B68" s="34" t="str">
        <f>IF(NOT(ISBLANK(C68)),COUNTA($C$6:C68),"")</f>
        <v/>
      </c>
      <c r="C68" s="68"/>
      <c r="D68" s="73"/>
      <c r="E68" s="33"/>
      <c r="F68" s="33"/>
      <c r="G68" s="33"/>
      <c r="H68" s="33"/>
      <c r="I68" s="33"/>
      <c r="J68" s="33"/>
      <c r="K68" s="34" t="str">
        <f t="shared" si="7"/>
        <v/>
      </c>
      <c r="L68"/>
      <c r="M68" s="34" t="str">
        <f>Examen!G64</f>
        <v/>
      </c>
      <c r="N68" s="34"/>
      <c r="O68" s="97" t="str">
        <f>IF(NOT(ISBLANK(B68)),
IF(SUM(E68:J68)+SUM(Laborator!E69:J69)&lt;&gt;0,SUM(E68:J68)+SUM(Laborator!E69:J69),""),
"")</f>
        <v/>
      </c>
      <c r="P68" s="97"/>
      <c r="S68" s="34" t="str">
        <f>IF(NOT(ISBLANK(C68)),IF(ISNUMBER(Laborator!AD69),Laborator!AD69,"n/p"),"")</f>
        <v/>
      </c>
      <c r="T68" s="128" t="str">
        <f>'Lucru Individual'!G64</f>
        <v/>
      </c>
      <c r="U68" s="34" t="str">
        <f t="shared" si="2"/>
        <v/>
      </c>
      <c r="V68" s="34" t="str">
        <f t="shared" si="3"/>
        <v/>
      </c>
      <c r="W68" s="100" t="str">
        <f t="shared" si="4"/>
        <v/>
      </c>
      <c r="X68" s="33" t="str">
        <f t="shared" si="5"/>
        <v/>
      </c>
      <c r="Y68" s="34" t="str">
        <f t="shared" si="6"/>
        <v/>
      </c>
    </row>
    <row r="69" spans="2:25" x14ac:dyDescent="0.3">
      <c r="B69" s="34" t="str">
        <f>IF(NOT(ISBLANK(C69)),COUNTA($C$6:C69),"")</f>
        <v/>
      </c>
      <c r="C69" s="68"/>
      <c r="D69" s="73"/>
      <c r="E69" s="33"/>
      <c r="F69" s="33"/>
      <c r="G69" s="33"/>
      <c r="H69" s="33"/>
      <c r="I69" s="33"/>
      <c r="J69" s="33"/>
      <c r="K69" s="34" t="str">
        <f t="shared" si="7"/>
        <v/>
      </c>
      <c r="L69"/>
      <c r="M69" s="34" t="str">
        <f>Examen!G65</f>
        <v/>
      </c>
      <c r="N69" s="34"/>
      <c r="O69" s="97" t="str">
        <f>IF(NOT(ISBLANK(B69)),
IF(SUM(E69:J69)+SUM(Laborator!E70:J70)&lt;&gt;0,SUM(E69:J69)+SUM(Laborator!E70:J70),""),
"")</f>
        <v/>
      </c>
      <c r="P69" s="97"/>
      <c r="S69" s="34" t="str">
        <f>IF(NOT(ISBLANK(C69)),IF(ISNUMBER(Laborator!AD70),Laborator!AD70,"n/p"),"")</f>
        <v/>
      </c>
      <c r="T69" s="128" t="str">
        <f>'Lucru Individual'!G65</f>
        <v/>
      </c>
      <c r="U69" s="34" t="str">
        <f t="shared" si="2"/>
        <v/>
      </c>
      <c r="V69" s="34" t="str">
        <f t="shared" si="3"/>
        <v/>
      </c>
      <c r="W69" s="100" t="str">
        <f t="shared" si="4"/>
        <v/>
      </c>
      <c r="X69" s="33" t="str">
        <f t="shared" si="5"/>
        <v/>
      </c>
      <c r="Y69" s="34" t="str">
        <f t="shared" si="6"/>
        <v/>
      </c>
    </row>
    <row r="70" spans="2:25" x14ac:dyDescent="0.3">
      <c r="B70" s="34" t="str">
        <f>IF(NOT(ISBLANK(C70)),COUNTA($C$6:C70),"")</f>
        <v/>
      </c>
      <c r="C70" s="68"/>
      <c r="D70" s="73"/>
      <c r="E70" s="33"/>
      <c r="F70" s="33"/>
      <c r="G70" s="33"/>
      <c r="H70" s="33"/>
      <c r="I70" s="33"/>
      <c r="J70" s="33"/>
      <c r="K70" s="34" t="str">
        <f t="shared" ref="K70:K101" si="8">IF(NOT(ISBLANK(C70)),IF(COUNTIF(E70:J70,"a")&lt;&gt;0,COUNTIF(E70:J70,"a")*2,""),"")</f>
        <v/>
      </c>
      <c r="L70"/>
      <c r="M70" s="34" t="str">
        <f>Examen!G66</f>
        <v/>
      </c>
      <c r="N70" s="34"/>
      <c r="O70" s="97" t="str">
        <f>IF(NOT(ISBLANK(B70)),
IF(SUM(E70:J70)+SUM(Laborator!E71:J71)&lt;&gt;0,SUM(E70:J70)+SUM(Laborator!E71:J71),""),
"")</f>
        <v/>
      </c>
      <c r="P70" s="97"/>
      <c r="S70" s="34" t="str">
        <f>IF(NOT(ISBLANK(C70)),IF(ISNUMBER(Laborator!AD71),Laborator!AD71,"n/p"),"")</f>
        <v/>
      </c>
      <c r="T70" s="128" t="str">
        <f>'Lucru Individual'!G66</f>
        <v/>
      </c>
      <c r="U70" s="34" t="str">
        <f t="shared" si="2"/>
        <v/>
      </c>
      <c r="V70" s="34" t="str">
        <f t="shared" si="3"/>
        <v/>
      </c>
      <c r="W70" s="100" t="str">
        <f t="shared" si="4"/>
        <v/>
      </c>
      <c r="X70" s="33" t="str">
        <f t="shared" si="5"/>
        <v/>
      </c>
      <c r="Y70" s="34" t="str">
        <f t="shared" si="6"/>
        <v/>
      </c>
    </row>
    <row r="71" spans="2:25" x14ac:dyDescent="0.3">
      <c r="B71" s="34" t="str">
        <f>IF(NOT(ISBLANK(C71)),COUNTA($C$6:C71),"")</f>
        <v/>
      </c>
      <c r="C71" s="68"/>
      <c r="D71" s="73"/>
      <c r="E71" s="33"/>
      <c r="F71" s="33"/>
      <c r="G71" s="33"/>
      <c r="H71" s="33"/>
      <c r="I71" s="33"/>
      <c r="J71" s="33"/>
      <c r="K71" s="34" t="str">
        <f t="shared" si="8"/>
        <v/>
      </c>
      <c r="L71"/>
      <c r="M71" s="34" t="str">
        <f>Examen!G67</f>
        <v/>
      </c>
      <c r="N71" s="34"/>
      <c r="O71" s="97" t="str">
        <f>IF(NOT(ISBLANK(B71)),
IF(SUM(E71:J71)+SUM(Laborator!E72:J72)&lt;&gt;0,SUM(E71:J71)+SUM(Laborator!E72:J72),""),
"")</f>
        <v/>
      </c>
      <c r="P71" s="97"/>
      <c r="S71" s="34" t="str">
        <f>IF(NOT(ISBLANK(C71)),IF(ISNUMBER(Laborator!AD72),Laborator!AD72,"n/p"),"")</f>
        <v/>
      </c>
      <c r="T71" s="128" t="str">
        <f>'Lucru Individual'!G67</f>
        <v/>
      </c>
      <c r="U71" s="34" t="str">
        <f t="shared" ref="U71:U105" si="9">IF(NOT(ISBLANK(C71)),
IF(OR(S71="n/p",T71="n/p",S71&lt;5,T71&lt;5)," ",TRUNC(SUM(S71:T71)/2,2)),
"")</f>
        <v/>
      </c>
      <c r="V71" s="34" t="str">
        <f t="shared" ref="V71:V105" si="10">IF(NOT(ISBLANK(C71)),
IF(U71=" ","n/a",
IF(R71,R71,
IF(COUNT(MAX(AVERAGE(M71:N71),0)),MAX(M71:N71),"n/p"))),
"")</f>
        <v/>
      </c>
      <c r="W71" s="100" t="str">
        <f t="shared" ref="W71:W105" si="11">IF(NOT(ISBLANK(C71)),
IF(OR(V71="n/a",V71="n/p")," ",
IF(V71&lt;5,V71,TRUNC(U71*0.5+V71*0.5,2))),
"")</f>
        <v/>
      </c>
      <c r="X71" s="33" t="str">
        <f t="shared" ref="X71:X105" si="12">IF(NOT(ISBLANK(C71)),
IF(W71=" "," ",
IF(AND(W71&gt;=1,W71&lt;2),"(unu, "&amp;ROUNDUP(MOD(W71*100,100),0)&amp;")",
IF(AND(W71&gt;=2,W71&lt;3),"(doi, "&amp;ROUNDUP(MOD(W71*100,100),0)&amp;")",
IF(AND(W71&gt;=3,W71&lt;4),"(trei, "&amp;ROUNDUP(MOD(W71*100,100),0)&amp;")",
IF(AND(W71&gt;=4,W71&lt;5),"(patru, "&amp;ROUNDUP(MOD(W71*100,100),0)&amp;")",
IF(AND(W71&gt;=5,W71&lt;6),"(cinci, "&amp;ROUNDUP(MOD(W71*100,100),0)&amp;")",
IF(AND(W71&gt;=6,W71&lt;7),"(şase, "&amp;ROUNDUP(MOD(W71*100,100),0)&amp;")",
IF(AND(W71&gt;=7,W71&lt;8),"(şapte, "&amp;ROUNDUP(MOD(W71*100,100),0)&amp;")",
IF(AND(W71&gt;=8,W71&lt;9),"(opt, "&amp;ROUNDUP(MOD(W71*100,100),0)&amp;")",
IF(AND(W71&gt;=9,W71&lt;10),"(nouă, "&amp;ROUNDUP(MOD(W71*100,100),0)&amp;")",
IF(W71=10,"(zece, 00)",
))))))))))),"")</f>
        <v/>
      </c>
      <c r="Y71" s="34" t="str">
        <f t="shared" ref="Y71:Y105" si="13">IF(NOT(ISBLANK(C71)),
IF(W71=" ","  ",
IF(AND(W71&gt;=1,W71&lt;=3),"F",
IF(AND(W71&gt;3,W71&lt;5),"FX",
IF(AND(W71&gt;=5,W71&lt;=6),"E",
IF(AND(W71&gt;6,W71&lt;=7),"D",
IF(AND(W71&gt;7,W71&lt;=8),"C",
IF(AND(W71&gt;8,W71&lt;=9),"B",
IF(AND(W71&gt;9,W71&lt;=10),"A",
)))))))),"")</f>
        <v/>
      </c>
    </row>
    <row r="72" spans="2:25" x14ac:dyDescent="0.3">
      <c r="B72" s="34" t="str">
        <f>IF(NOT(ISBLANK(C72)),COUNTA($C$6:C72),"")</f>
        <v/>
      </c>
      <c r="C72" s="68"/>
      <c r="D72" s="73"/>
      <c r="E72" s="33"/>
      <c r="F72" s="33"/>
      <c r="G72" s="33"/>
      <c r="H72" s="33"/>
      <c r="I72" s="33"/>
      <c r="J72" s="33"/>
      <c r="K72" s="34" t="str">
        <f t="shared" si="8"/>
        <v/>
      </c>
      <c r="L72"/>
      <c r="M72" s="34" t="str">
        <f>Examen!G68</f>
        <v/>
      </c>
      <c r="N72" s="34"/>
      <c r="O72" s="97" t="str">
        <f>IF(NOT(ISBLANK(B72)),
IF(SUM(E72:J72)+SUM(Laborator!E73:J73)&lt;&gt;0,SUM(E72:J72)+SUM(Laborator!E73:J73),""),
"")</f>
        <v/>
      </c>
      <c r="P72" s="97"/>
      <c r="S72" s="34" t="str">
        <f>IF(NOT(ISBLANK(C72)),IF(ISNUMBER(Laborator!AD73),Laborator!AD73,"n/p"),"")</f>
        <v/>
      </c>
      <c r="T72" s="128" t="str">
        <f>'Lucru Individual'!G68</f>
        <v/>
      </c>
      <c r="U72" s="34" t="str">
        <f t="shared" si="9"/>
        <v/>
      </c>
      <c r="V72" s="34" t="str">
        <f t="shared" si="10"/>
        <v/>
      </c>
      <c r="W72" s="100" t="str">
        <f t="shared" si="11"/>
        <v/>
      </c>
      <c r="X72" s="33" t="str">
        <f t="shared" si="12"/>
        <v/>
      </c>
      <c r="Y72" s="34" t="str">
        <f t="shared" si="13"/>
        <v/>
      </c>
    </row>
    <row r="73" spans="2:25" x14ac:dyDescent="0.3">
      <c r="B73" s="34" t="str">
        <f>IF(NOT(ISBLANK(C73)),COUNTA($C$6:C73),"")</f>
        <v/>
      </c>
      <c r="C73" s="68"/>
      <c r="D73" s="73"/>
      <c r="E73" s="33"/>
      <c r="F73" s="33"/>
      <c r="G73" s="33"/>
      <c r="H73" s="33"/>
      <c r="I73" s="33"/>
      <c r="J73" s="33"/>
      <c r="K73" s="34" t="str">
        <f t="shared" si="8"/>
        <v/>
      </c>
      <c r="L73"/>
      <c r="M73" s="34" t="str">
        <f>Examen!G69</f>
        <v/>
      </c>
      <c r="N73" s="34"/>
      <c r="O73" s="97" t="str">
        <f>IF(NOT(ISBLANK(B73)),
IF(SUM(E73:J73)+SUM(Laborator!E74:J74)&lt;&gt;0,SUM(E73:J73)+SUM(Laborator!E74:J74),""),
"")</f>
        <v/>
      </c>
      <c r="P73" s="97"/>
      <c r="S73" s="34" t="str">
        <f>IF(NOT(ISBLANK(C73)),IF(ISNUMBER(Laborator!AD74),Laborator!AD74,"n/p"),"")</f>
        <v/>
      </c>
      <c r="T73" s="128" t="str">
        <f>'Lucru Individual'!G69</f>
        <v/>
      </c>
      <c r="U73" s="34" t="str">
        <f t="shared" si="9"/>
        <v/>
      </c>
      <c r="V73" s="34" t="str">
        <f t="shared" si="10"/>
        <v/>
      </c>
      <c r="W73" s="100" t="str">
        <f t="shared" si="11"/>
        <v/>
      </c>
      <c r="X73" s="33" t="str">
        <f t="shared" si="12"/>
        <v/>
      </c>
      <c r="Y73" s="34" t="str">
        <f t="shared" si="13"/>
        <v/>
      </c>
    </row>
    <row r="74" spans="2:25" x14ac:dyDescent="0.3">
      <c r="B74" s="34" t="str">
        <f>IF(NOT(ISBLANK(C74)),COUNTA($C$6:C74),"")</f>
        <v/>
      </c>
      <c r="C74" s="68"/>
      <c r="D74" s="73"/>
      <c r="E74" s="33"/>
      <c r="F74" s="33"/>
      <c r="G74" s="33"/>
      <c r="H74" s="33"/>
      <c r="I74" s="33"/>
      <c r="J74" s="33"/>
      <c r="K74" s="34" t="str">
        <f t="shared" si="8"/>
        <v/>
      </c>
      <c r="L74"/>
      <c r="M74" s="34" t="str">
        <f>Examen!G70</f>
        <v/>
      </c>
      <c r="N74" s="34"/>
      <c r="O74" s="97" t="str">
        <f>IF(NOT(ISBLANK(B74)),
IF(SUM(E74:J74)+SUM(Laborator!E75:J75)&lt;&gt;0,SUM(E74:J74)+SUM(Laborator!E75:J75),""),
"")</f>
        <v/>
      </c>
      <c r="P74" s="97"/>
      <c r="S74" s="34" t="str">
        <f>IF(NOT(ISBLANK(C74)),IF(ISNUMBER(Laborator!AD75),Laborator!AD75,"n/p"),"")</f>
        <v/>
      </c>
      <c r="T74" s="128" t="str">
        <f>'Lucru Individual'!G70</f>
        <v/>
      </c>
      <c r="U74" s="34" t="str">
        <f t="shared" si="9"/>
        <v/>
      </c>
      <c r="V74" s="34" t="str">
        <f t="shared" si="10"/>
        <v/>
      </c>
      <c r="W74" s="100" t="str">
        <f t="shared" si="11"/>
        <v/>
      </c>
      <c r="X74" s="33" t="str">
        <f t="shared" si="12"/>
        <v/>
      </c>
      <c r="Y74" s="34" t="str">
        <f t="shared" si="13"/>
        <v/>
      </c>
    </row>
    <row r="75" spans="2:25" x14ac:dyDescent="0.3">
      <c r="B75" s="34" t="str">
        <f>IF(NOT(ISBLANK(C75)),COUNTA($C$6:C75),"")</f>
        <v/>
      </c>
      <c r="C75" s="68"/>
      <c r="D75" s="73"/>
      <c r="E75" s="33"/>
      <c r="F75" s="33"/>
      <c r="G75" s="33"/>
      <c r="H75" s="33"/>
      <c r="I75" s="33"/>
      <c r="J75" s="33"/>
      <c r="K75" s="34" t="str">
        <f t="shared" si="8"/>
        <v/>
      </c>
      <c r="L75"/>
      <c r="M75" s="34" t="str">
        <f>Examen!G71</f>
        <v/>
      </c>
      <c r="N75" s="34"/>
      <c r="O75" s="97" t="str">
        <f>IF(NOT(ISBLANK(B75)),
IF(SUM(E75:J75)+SUM(Laborator!E76:J76)&lt;&gt;0,SUM(E75:J75)+SUM(Laborator!E76:J76),""),
"")</f>
        <v/>
      </c>
      <c r="P75" s="97"/>
      <c r="S75" s="34" t="str">
        <f>IF(NOT(ISBLANK(C75)),IF(ISNUMBER(Laborator!AD76),Laborator!AD76,"n/p"),"")</f>
        <v/>
      </c>
      <c r="T75" s="128" t="str">
        <f>'Lucru Individual'!G71</f>
        <v/>
      </c>
      <c r="U75" s="34" t="str">
        <f t="shared" si="9"/>
        <v/>
      </c>
      <c r="V75" s="34" t="str">
        <f t="shared" si="10"/>
        <v/>
      </c>
      <c r="W75" s="100" t="str">
        <f t="shared" si="11"/>
        <v/>
      </c>
      <c r="X75" s="33" t="str">
        <f t="shared" si="12"/>
        <v/>
      </c>
      <c r="Y75" s="34" t="str">
        <f t="shared" si="13"/>
        <v/>
      </c>
    </row>
    <row r="76" spans="2:25" x14ac:dyDescent="0.3">
      <c r="B76" s="34" t="str">
        <f>IF(NOT(ISBLANK(C76)),COUNTA($C$6:C76),"")</f>
        <v/>
      </c>
      <c r="C76" s="68"/>
      <c r="D76" s="73"/>
      <c r="E76" s="33"/>
      <c r="F76" s="33"/>
      <c r="G76" s="33"/>
      <c r="H76" s="33"/>
      <c r="I76" s="33"/>
      <c r="J76" s="33"/>
      <c r="K76" s="34" t="str">
        <f t="shared" si="8"/>
        <v/>
      </c>
      <c r="L76"/>
      <c r="M76" s="34" t="str">
        <f>Examen!G72</f>
        <v/>
      </c>
      <c r="N76" s="34"/>
      <c r="O76" s="97" t="str">
        <f>IF(NOT(ISBLANK(B76)),
IF(SUM(E76:J76)+SUM(Laborator!E77:J77)&lt;&gt;0,SUM(E76:J76)+SUM(Laborator!E77:J77),""),
"")</f>
        <v/>
      </c>
      <c r="P76" s="97"/>
      <c r="S76" s="34" t="str">
        <f>IF(NOT(ISBLANK(C76)),IF(ISNUMBER(Laborator!AD77),Laborator!AD77,"n/p"),"")</f>
        <v/>
      </c>
      <c r="T76" s="128" t="str">
        <f>'Lucru Individual'!G72</f>
        <v/>
      </c>
      <c r="U76" s="34" t="str">
        <f t="shared" si="9"/>
        <v/>
      </c>
      <c r="V76" s="34" t="str">
        <f t="shared" si="10"/>
        <v/>
      </c>
      <c r="W76" s="100" t="str">
        <f t="shared" si="11"/>
        <v/>
      </c>
      <c r="X76" s="33" t="str">
        <f t="shared" si="12"/>
        <v/>
      </c>
      <c r="Y76" s="34" t="str">
        <f t="shared" si="13"/>
        <v/>
      </c>
    </row>
    <row r="77" spans="2:25" x14ac:dyDescent="0.3">
      <c r="B77" s="34" t="str">
        <f>IF(NOT(ISBLANK(C77)),COUNTA($C$6:C77),"")</f>
        <v/>
      </c>
      <c r="C77" s="68"/>
      <c r="D77" s="73"/>
      <c r="E77" s="33"/>
      <c r="F77" s="33"/>
      <c r="G77" s="33"/>
      <c r="H77" s="33"/>
      <c r="I77" s="33"/>
      <c r="J77" s="33"/>
      <c r="K77" s="34" t="str">
        <f t="shared" si="8"/>
        <v/>
      </c>
      <c r="L77"/>
      <c r="M77" s="34" t="str">
        <f>Examen!G73</f>
        <v/>
      </c>
      <c r="N77" s="34"/>
      <c r="O77" s="97" t="str">
        <f>IF(NOT(ISBLANK(B77)),
IF(SUM(E77:J77)+SUM(Laborator!E78:J78)&lt;&gt;0,SUM(E77:J77)+SUM(Laborator!E78:J78),""),
"")</f>
        <v/>
      </c>
      <c r="P77" s="97"/>
      <c r="S77" s="34" t="str">
        <f>IF(NOT(ISBLANK(C77)),IF(ISNUMBER(Laborator!AD78),Laborator!AD78,"n/p"),"")</f>
        <v/>
      </c>
      <c r="T77" s="128" t="str">
        <f>'Lucru Individual'!G73</f>
        <v/>
      </c>
      <c r="U77" s="34" t="str">
        <f t="shared" si="9"/>
        <v/>
      </c>
      <c r="V77" s="34" t="str">
        <f t="shared" si="10"/>
        <v/>
      </c>
      <c r="W77" s="100" t="str">
        <f t="shared" si="11"/>
        <v/>
      </c>
      <c r="X77" s="33" t="str">
        <f t="shared" si="12"/>
        <v/>
      </c>
      <c r="Y77" s="34" t="str">
        <f t="shared" si="13"/>
        <v/>
      </c>
    </row>
    <row r="78" spans="2:25" x14ac:dyDescent="0.3">
      <c r="B78" s="34" t="str">
        <f>IF(NOT(ISBLANK(C78)),COUNTA($C$6:C78),"")</f>
        <v/>
      </c>
      <c r="C78" s="68"/>
      <c r="D78" s="73"/>
      <c r="E78" s="33"/>
      <c r="F78" s="33"/>
      <c r="G78" s="33"/>
      <c r="H78" s="33"/>
      <c r="I78" s="33"/>
      <c r="J78" s="33"/>
      <c r="K78" s="34" t="str">
        <f t="shared" si="8"/>
        <v/>
      </c>
      <c r="L78"/>
      <c r="M78" s="34" t="str">
        <f>Examen!G74</f>
        <v/>
      </c>
      <c r="N78" s="34"/>
      <c r="O78" s="97" t="str">
        <f>IF(NOT(ISBLANK(B78)),
IF(SUM(E78:J78)+SUM(Laborator!E79:J79)&lt;&gt;0,SUM(E78:J78)+SUM(Laborator!E79:J79),""),
"")</f>
        <v/>
      </c>
      <c r="P78" s="97"/>
      <c r="S78" s="34" t="str">
        <f>IF(NOT(ISBLANK(C78)),IF(ISNUMBER(Laborator!AD79),Laborator!AD79,"n/p"),"")</f>
        <v/>
      </c>
      <c r="T78" s="128" t="str">
        <f>'Lucru Individual'!G74</f>
        <v/>
      </c>
      <c r="U78" s="34" t="str">
        <f t="shared" si="9"/>
        <v/>
      </c>
      <c r="V78" s="34" t="str">
        <f t="shared" si="10"/>
        <v/>
      </c>
      <c r="W78" s="100" t="str">
        <f t="shared" si="11"/>
        <v/>
      </c>
      <c r="X78" s="33" t="str">
        <f t="shared" si="12"/>
        <v/>
      </c>
      <c r="Y78" s="34" t="str">
        <f t="shared" si="13"/>
        <v/>
      </c>
    </row>
    <row r="79" spans="2:25" x14ac:dyDescent="0.3">
      <c r="B79" s="34" t="str">
        <f>IF(NOT(ISBLANK(C79)),COUNTA($C$6:C79),"")</f>
        <v/>
      </c>
      <c r="C79" s="68"/>
      <c r="D79" s="73"/>
      <c r="E79" s="33"/>
      <c r="F79" s="33"/>
      <c r="G79" s="33"/>
      <c r="H79" s="33"/>
      <c r="I79" s="33"/>
      <c r="J79" s="33"/>
      <c r="K79" s="34" t="str">
        <f t="shared" si="8"/>
        <v/>
      </c>
      <c r="L79"/>
      <c r="M79" s="34" t="str">
        <f>Examen!G75</f>
        <v/>
      </c>
      <c r="N79" s="34"/>
      <c r="O79" s="97" t="str">
        <f>IF(NOT(ISBLANK(B79)),
IF(SUM(E79:J79)+SUM(Laborator!E80:J80)&lt;&gt;0,SUM(E79:J79)+SUM(Laborator!E80:J80),""),
"")</f>
        <v/>
      </c>
      <c r="P79" s="97"/>
      <c r="S79" s="34" t="str">
        <f>IF(NOT(ISBLANK(C79)),IF(ISNUMBER(Laborator!AD80),Laborator!AD80,"n/p"),"")</f>
        <v/>
      </c>
      <c r="T79" s="128" t="str">
        <f>'Lucru Individual'!G75</f>
        <v/>
      </c>
      <c r="U79" s="34" t="str">
        <f t="shared" si="9"/>
        <v/>
      </c>
      <c r="V79" s="34" t="str">
        <f t="shared" si="10"/>
        <v/>
      </c>
      <c r="W79" s="100" t="str">
        <f t="shared" si="11"/>
        <v/>
      </c>
      <c r="X79" s="33" t="str">
        <f t="shared" si="12"/>
        <v/>
      </c>
      <c r="Y79" s="34" t="str">
        <f t="shared" si="13"/>
        <v/>
      </c>
    </row>
    <row r="80" spans="2:25" x14ac:dyDescent="0.3">
      <c r="B80" s="34" t="str">
        <f>IF(NOT(ISBLANK(C80)),COUNTA($C$6:C80),"")</f>
        <v/>
      </c>
      <c r="C80" s="68"/>
      <c r="D80" s="73"/>
      <c r="E80" s="33"/>
      <c r="F80" s="33"/>
      <c r="G80" s="33"/>
      <c r="H80" s="33"/>
      <c r="I80" s="33"/>
      <c r="J80" s="33"/>
      <c r="K80" s="34" t="str">
        <f t="shared" si="8"/>
        <v/>
      </c>
      <c r="L80"/>
      <c r="M80" s="34" t="str">
        <f>Examen!G76</f>
        <v/>
      </c>
      <c r="N80" s="34"/>
      <c r="O80" s="97" t="str">
        <f>IF(NOT(ISBLANK(B80)),
IF(SUM(E80:J80)+SUM(Laborator!E81:J81)&lt;&gt;0,SUM(E80:J80)+SUM(Laborator!E81:J81),""),
"")</f>
        <v/>
      </c>
      <c r="P80" s="97"/>
      <c r="S80" s="34" t="str">
        <f>IF(NOT(ISBLANK(C80)),IF(ISNUMBER(Laborator!AD81),Laborator!AD81,"n/p"),"")</f>
        <v/>
      </c>
      <c r="T80" s="128" t="str">
        <f>'Lucru Individual'!G76</f>
        <v/>
      </c>
      <c r="U80" s="34" t="str">
        <f t="shared" si="9"/>
        <v/>
      </c>
      <c r="V80" s="34" t="str">
        <f t="shared" si="10"/>
        <v/>
      </c>
      <c r="W80" s="100" t="str">
        <f t="shared" si="11"/>
        <v/>
      </c>
      <c r="X80" s="33" t="str">
        <f t="shared" si="12"/>
        <v/>
      </c>
      <c r="Y80" s="34" t="str">
        <f t="shared" si="13"/>
        <v/>
      </c>
    </row>
    <row r="81" spans="2:25" x14ac:dyDescent="0.3">
      <c r="B81" s="34" t="str">
        <f>IF(NOT(ISBLANK(C81)),COUNTA($C$6:C81),"")</f>
        <v/>
      </c>
      <c r="C81" s="68"/>
      <c r="D81" s="73"/>
      <c r="E81" s="33"/>
      <c r="F81" s="33"/>
      <c r="G81" s="33"/>
      <c r="H81" s="33"/>
      <c r="I81" s="33"/>
      <c r="J81" s="33"/>
      <c r="K81" s="34" t="str">
        <f t="shared" si="8"/>
        <v/>
      </c>
      <c r="L81"/>
      <c r="M81" s="34" t="str">
        <f>Examen!G77</f>
        <v/>
      </c>
      <c r="N81" s="34"/>
      <c r="O81" s="97" t="str">
        <f>IF(NOT(ISBLANK(B81)),
IF(SUM(E81:J81)+SUM(Laborator!E82:J82)&lt;&gt;0,SUM(E81:J81)+SUM(Laborator!E82:J82),""),
"")</f>
        <v/>
      </c>
      <c r="P81" s="97"/>
      <c r="S81" s="34" t="str">
        <f>IF(NOT(ISBLANK(C81)),IF(ISNUMBER(Laborator!AD82),Laborator!AD82,"n/p"),"")</f>
        <v/>
      </c>
      <c r="T81" s="128" t="str">
        <f>'Lucru Individual'!G77</f>
        <v/>
      </c>
      <c r="U81" s="34" t="str">
        <f t="shared" si="9"/>
        <v/>
      </c>
      <c r="V81" s="34" t="str">
        <f t="shared" si="10"/>
        <v/>
      </c>
      <c r="W81" s="100" t="str">
        <f t="shared" si="11"/>
        <v/>
      </c>
      <c r="X81" s="33" t="str">
        <f t="shared" si="12"/>
        <v/>
      </c>
      <c r="Y81" s="34" t="str">
        <f t="shared" si="13"/>
        <v/>
      </c>
    </row>
    <row r="82" spans="2:25" x14ac:dyDescent="0.3">
      <c r="B82" s="34" t="str">
        <f>IF(NOT(ISBLANK(C82)),COUNTA($C$6:C82),"")</f>
        <v/>
      </c>
      <c r="C82" s="68"/>
      <c r="D82" s="73"/>
      <c r="E82" s="33"/>
      <c r="F82" s="33"/>
      <c r="G82" s="33"/>
      <c r="H82" s="33"/>
      <c r="I82" s="33"/>
      <c r="J82" s="33"/>
      <c r="K82" s="34" t="str">
        <f t="shared" si="8"/>
        <v/>
      </c>
      <c r="L82"/>
      <c r="M82" s="34" t="str">
        <f>Examen!G78</f>
        <v/>
      </c>
      <c r="N82" s="34"/>
      <c r="O82" s="97" t="str">
        <f>IF(NOT(ISBLANK(B82)),
IF(SUM(E82:J82)+SUM(Laborator!E83:J83)&lt;&gt;0,SUM(E82:J82)+SUM(Laborator!E83:J83),""),
"")</f>
        <v/>
      </c>
      <c r="P82" s="97"/>
      <c r="S82" s="34" t="str">
        <f>IF(NOT(ISBLANK(C82)),IF(ISNUMBER(Laborator!AD83),Laborator!AD83,"n/p"),"")</f>
        <v/>
      </c>
      <c r="T82" s="128" t="str">
        <f>'Lucru Individual'!G78</f>
        <v/>
      </c>
      <c r="U82" s="34" t="str">
        <f t="shared" si="9"/>
        <v/>
      </c>
      <c r="V82" s="34" t="str">
        <f t="shared" si="10"/>
        <v/>
      </c>
      <c r="W82" s="100" t="str">
        <f t="shared" si="11"/>
        <v/>
      </c>
      <c r="X82" s="33" t="str">
        <f t="shared" si="12"/>
        <v/>
      </c>
      <c r="Y82" s="34" t="str">
        <f t="shared" si="13"/>
        <v/>
      </c>
    </row>
    <row r="83" spans="2:25" x14ac:dyDescent="0.3">
      <c r="B83" s="34" t="str">
        <f>IF(NOT(ISBLANK(C83)),COUNTA($C$6:C83),"")</f>
        <v/>
      </c>
      <c r="C83" s="68"/>
      <c r="D83" s="73"/>
      <c r="E83" s="33"/>
      <c r="F83" s="33"/>
      <c r="G83" s="33"/>
      <c r="H83" s="33"/>
      <c r="I83" s="33"/>
      <c r="J83" s="33"/>
      <c r="K83" s="34" t="str">
        <f t="shared" si="8"/>
        <v/>
      </c>
      <c r="L83"/>
      <c r="M83" s="34" t="str">
        <f>Examen!G79</f>
        <v/>
      </c>
      <c r="N83" s="34"/>
      <c r="O83" s="97" t="str">
        <f>IF(NOT(ISBLANK(B83)),
IF(SUM(E83:J83)+SUM(Laborator!E84:J84)&lt;&gt;0,SUM(E83:J83)+SUM(Laborator!E84:J84),""),
"")</f>
        <v/>
      </c>
      <c r="P83" s="97"/>
      <c r="S83" s="34" t="str">
        <f>IF(NOT(ISBLANK(C83)),IF(ISNUMBER(Laborator!AD84),Laborator!AD84,"n/p"),"")</f>
        <v/>
      </c>
      <c r="T83" s="128" t="str">
        <f>'Lucru Individual'!G79</f>
        <v/>
      </c>
      <c r="U83" s="34" t="str">
        <f t="shared" si="9"/>
        <v/>
      </c>
      <c r="V83" s="34" t="str">
        <f t="shared" si="10"/>
        <v/>
      </c>
      <c r="W83" s="100" t="str">
        <f t="shared" si="11"/>
        <v/>
      </c>
      <c r="X83" s="33" t="str">
        <f t="shared" si="12"/>
        <v/>
      </c>
      <c r="Y83" s="34" t="str">
        <f t="shared" si="13"/>
        <v/>
      </c>
    </row>
    <row r="84" spans="2:25" x14ac:dyDescent="0.3">
      <c r="B84" s="34" t="str">
        <f>IF(NOT(ISBLANK(C84)),COUNTA($C$6:C84),"")</f>
        <v/>
      </c>
      <c r="C84" s="68"/>
      <c r="D84" s="73"/>
      <c r="E84" s="33"/>
      <c r="F84" s="33"/>
      <c r="G84" s="33"/>
      <c r="H84" s="33"/>
      <c r="I84" s="33"/>
      <c r="J84" s="33"/>
      <c r="K84" s="34" t="str">
        <f t="shared" si="8"/>
        <v/>
      </c>
      <c r="L84"/>
      <c r="M84" s="34" t="str">
        <f>Examen!G80</f>
        <v/>
      </c>
      <c r="N84" s="34"/>
      <c r="O84" s="97" t="str">
        <f>IF(NOT(ISBLANK(B84)),
IF(SUM(E84:J84)+SUM(Laborator!E85:J85)&lt;&gt;0,SUM(E84:J84)+SUM(Laborator!E85:J85),""),
"")</f>
        <v/>
      </c>
      <c r="P84" s="97"/>
      <c r="S84" s="34" t="str">
        <f>IF(NOT(ISBLANK(C84)),IF(ISNUMBER(Laborator!AD85),Laborator!AD85,"n/p"),"")</f>
        <v/>
      </c>
      <c r="T84" s="128" t="str">
        <f>'Lucru Individual'!G80</f>
        <v/>
      </c>
      <c r="U84" s="34" t="str">
        <f t="shared" si="9"/>
        <v/>
      </c>
      <c r="V84" s="34" t="str">
        <f t="shared" si="10"/>
        <v/>
      </c>
      <c r="W84" s="100" t="str">
        <f t="shared" si="11"/>
        <v/>
      </c>
      <c r="X84" s="33" t="str">
        <f t="shared" si="12"/>
        <v/>
      </c>
      <c r="Y84" s="34" t="str">
        <f t="shared" si="13"/>
        <v/>
      </c>
    </row>
    <row r="85" spans="2:25" x14ac:dyDescent="0.3">
      <c r="B85" s="34" t="str">
        <f>IF(NOT(ISBLANK(C85)),COUNTA($C$6:C85),"")</f>
        <v/>
      </c>
      <c r="C85" s="68"/>
      <c r="D85" s="73"/>
      <c r="E85" s="33"/>
      <c r="F85" s="33"/>
      <c r="G85" s="33"/>
      <c r="H85" s="33"/>
      <c r="I85" s="33"/>
      <c r="J85" s="33"/>
      <c r="K85" s="34" t="str">
        <f t="shared" si="8"/>
        <v/>
      </c>
      <c r="L85"/>
      <c r="M85" s="34" t="str">
        <f>Examen!G81</f>
        <v/>
      </c>
      <c r="N85" s="34"/>
      <c r="O85" s="97" t="str">
        <f>IF(NOT(ISBLANK(B85)),
IF(SUM(E85:J85)+SUM(Laborator!E86:J86)&lt;&gt;0,SUM(E85:J85)+SUM(Laborator!E86:J86),""),
"")</f>
        <v/>
      </c>
      <c r="P85" s="97"/>
      <c r="S85" s="34" t="str">
        <f>IF(NOT(ISBLANK(C85)),IF(ISNUMBER(Laborator!AD86),Laborator!AD86,"n/p"),"")</f>
        <v/>
      </c>
      <c r="T85" s="128" t="str">
        <f>'Lucru Individual'!G81</f>
        <v/>
      </c>
      <c r="U85" s="34" t="str">
        <f t="shared" si="9"/>
        <v/>
      </c>
      <c r="V85" s="34" t="str">
        <f t="shared" si="10"/>
        <v/>
      </c>
      <c r="W85" s="100" t="str">
        <f t="shared" si="11"/>
        <v/>
      </c>
      <c r="X85" s="33" t="str">
        <f t="shared" si="12"/>
        <v/>
      </c>
      <c r="Y85" s="34" t="str">
        <f t="shared" si="13"/>
        <v/>
      </c>
    </row>
    <row r="86" spans="2:25" x14ac:dyDescent="0.3">
      <c r="B86" s="34" t="str">
        <f>IF(NOT(ISBLANK(C86)),COUNTA($C$6:C86),"")</f>
        <v/>
      </c>
      <c r="C86" s="68"/>
      <c r="D86" s="73"/>
      <c r="E86" s="33"/>
      <c r="F86" s="33"/>
      <c r="G86" s="33"/>
      <c r="H86" s="33"/>
      <c r="I86" s="33"/>
      <c r="J86" s="33"/>
      <c r="K86" s="34" t="str">
        <f t="shared" si="8"/>
        <v/>
      </c>
      <c r="L86"/>
      <c r="M86" s="34" t="str">
        <f>Examen!G82</f>
        <v/>
      </c>
      <c r="N86" s="34"/>
      <c r="O86" s="97" t="str">
        <f>IF(NOT(ISBLANK(B86)),
IF(SUM(E86:J86)+SUM(Laborator!E87:J87)&lt;&gt;0,SUM(E86:J86)+SUM(Laborator!E87:J87),""),
"")</f>
        <v/>
      </c>
      <c r="P86" s="97"/>
      <c r="S86" s="34" t="str">
        <f>IF(NOT(ISBLANK(C86)),IF(ISNUMBER(Laborator!AD87),Laborator!AD87,"n/p"),"")</f>
        <v/>
      </c>
      <c r="T86" s="128" t="str">
        <f>'Lucru Individual'!G82</f>
        <v/>
      </c>
      <c r="U86" s="34" t="str">
        <f t="shared" si="9"/>
        <v/>
      </c>
      <c r="V86" s="34" t="str">
        <f t="shared" si="10"/>
        <v/>
      </c>
      <c r="W86" s="100" t="str">
        <f t="shared" si="11"/>
        <v/>
      </c>
      <c r="X86" s="33" t="str">
        <f t="shared" si="12"/>
        <v/>
      </c>
      <c r="Y86" s="34" t="str">
        <f t="shared" si="13"/>
        <v/>
      </c>
    </row>
    <row r="87" spans="2:25" x14ac:dyDescent="0.3">
      <c r="B87" s="34" t="str">
        <f>IF(NOT(ISBLANK(C87)),COUNTA($C$6:C87),"")</f>
        <v/>
      </c>
      <c r="C87" s="68"/>
      <c r="D87" s="73"/>
      <c r="E87" s="33"/>
      <c r="F87" s="33"/>
      <c r="G87" s="33"/>
      <c r="H87" s="33"/>
      <c r="I87" s="33"/>
      <c r="J87" s="33"/>
      <c r="K87" s="34" t="str">
        <f t="shared" si="8"/>
        <v/>
      </c>
      <c r="L87"/>
      <c r="M87" s="34" t="str">
        <f>Examen!G83</f>
        <v/>
      </c>
      <c r="N87" s="34"/>
      <c r="O87" s="97" t="str">
        <f>IF(NOT(ISBLANK(B87)),
IF(SUM(E87:J87)+SUM(Laborator!E88:J88)&lt;&gt;0,SUM(E87:J87)+SUM(Laborator!E88:J88),""),
"")</f>
        <v/>
      </c>
      <c r="P87" s="97"/>
      <c r="S87" s="34" t="str">
        <f>IF(NOT(ISBLANK(C87)),IF(ISNUMBER(Laborator!AD88),Laborator!AD88,"n/p"),"")</f>
        <v/>
      </c>
      <c r="T87" s="128" t="str">
        <f>'Lucru Individual'!G83</f>
        <v/>
      </c>
      <c r="U87" s="34" t="str">
        <f t="shared" si="9"/>
        <v/>
      </c>
      <c r="V87" s="34" t="str">
        <f t="shared" si="10"/>
        <v/>
      </c>
      <c r="W87" s="100" t="str">
        <f t="shared" si="11"/>
        <v/>
      </c>
      <c r="X87" s="33" t="str">
        <f t="shared" si="12"/>
        <v/>
      </c>
      <c r="Y87" s="34" t="str">
        <f t="shared" si="13"/>
        <v/>
      </c>
    </row>
    <row r="88" spans="2:25" x14ac:dyDescent="0.3">
      <c r="B88" s="34" t="str">
        <f>IF(NOT(ISBLANK(C88)),COUNTA($C$6:C88),"")</f>
        <v/>
      </c>
      <c r="C88" s="68"/>
      <c r="D88" s="73"/>
      <c r="E88" s="33"/>
      <c r="F88" s="33"/>
      <c r="G88" s="33"/>
      <c r="H88" s="33"/>
      <c r="I88" s="33"/>
      <c r="J88" s="33"/>
      <c r="K88" s="34" t="str">
        <f t="shared" si="8"/>
        <v/>
      </c>
      <c r="L88"/>
      <c r="M88" s="34" t="str">
        <f>Examen!G84</f>
        <v/>
      </c>
      <c r="N88" s="34"/>
      <c r="O88" s="97" t="str">
        <f>IF(NOT(ISBLANK(B88)),
IF(SUM(E88:J88)+SUM(Laborator!E89:J89)&lt;&gt;0,SUM(E88:J88)+SUM(Laborator!E89:J89),""),
"")</f>
        <v/>
      </c>
      <c r="P88" s="97"/>
      <c r="S88" s="34" t="str">
        <f>IF(NOT(ISBLANK(C88)),IF(ISNUMBER(Laborator!AD89),Laborator!AD89,"n/p"),"")</f>
        <v/>
      </c>
      <c r="T88" s="128" t="str">
        <f>'Lucru Individual'!G84</f>
        <v/>
      </c>
      <c r="U88" s="34" t="str">
        <f t="shared" si="9"/>
        <v/>
      </c>
      <c r="V88" s="34" t="str">
        <f t="shared" si="10"/>
        <v/>
      </c>
      <c r="W88" s="100" t="str">
        <f t="shared" si="11"/>
        <v/>
      </c>
      <c r="X88" s="33" t="str">
        <f t="shared" si="12"/>
        <v/>
      </c>
      <c r="Y88" s="34" t="str">
        <f t="shared" si="13"/>
        <v/>
      </c>
    </row>
    <row r="89" spans="2:25" x14ac:dyDescent="0.3">
      <c r="B89" s="34" t="str">
        <f>IF(NOT(ISBLANK(C89)),COUNTA($C$6:C89),"")</f>
        <v/>
      </c>
      <c r="C89" s="68"/>
      <c r="D89" s="73"/>
      <c r="E89" s="33"/>
      <c r="F89" s="33"/>
      <c r="G89" s="33"/>
      <c r="H89" s="33"/>
      <c r="I89" s="33"/>
      <c r="J89" s="33"/>
      <c r="K89" s="34" t="str">
        <f t="shared" si="8"/>
        <v/>
      </c>
      <c r="L89"/>
      <c r="M89" s="34" t="str">
        <f>Examen!G85</f>
        <v/>
      </c>
      <c r="N89" s="34"/>
      <c r="O89" s="97" t="str">
        <f>IF(NOT(ISBLANK(B89)),
IF(SUM(E89:J89)+SUM(Laborator!E90:J90)&lt;&gt;0,SUM(E89:J89)+SUM(Laborator!E90:J90),""),
"")</f>
        <v/>
      </c>
      <c r="P89" s="97"/>
      <c r="S89" s="34" t="str">
        <f>IF(NOT(ISBLANK(C89)),IF(ISNUMBER(Laborator!AD90),Laborator!AD90,"n/p"),"")</f>
        <v/>
      </c>
      <c r="T89" s="128" t="str">
        <f>'Lucru Individual'!G85</f>
        <v/>
      </c>
      <c r="U89" s="34" t="str">
        <f t="shared" si="9"/>
        <v/>
      </c>
      <c r="V89" s="34" t="str">
        <f t="shared" si="10"/>
        <v/>
      </c>
      <c r="W89" s="100" t="str">
        <f t="shared" si="11"/>
        <v/>
      </c>
      <c r="X89" s="33" t="str">
        <f t="shared" si="12"/>
        <v/>
      </c>
      <c r="Y89" s="34" t="str">
        <f t="shared" si="13"/>
        <v/>
      </c>
    </row>
    <row r="90" spans="2:25" x14ac:dyDescent="0.3">
      <c r="B90" s="34" t="str">
        <f>IF(NOT(ISBLANK(C90)),COUNTA($C$6:C90),"")</f>
        <v/>
      </c>
      <c r="C90" s="68"/>
      <c r="D90" s="73"/>
      <c r="E90" s="33"/>
      <c r="F90" s="33"/>
      <c r="G90" s="33"/>
      <c r="H90" s="33"/>
      <c r="I90" s="33"/>
      <c r="J90" s="33"/>
      <c r="K90" s="34" t="str">
        <f t="shared" si="8"/>
        <v/>
      </c>
      <c r="L90"/>
      <c r="M90" s="34" t="str">
        <f>Examen!G86</f>
        <v/>
      </c>
      <c r="N90" s="34"/>
      <c r="O90" s="97" t="str">
        <f>IF(NOT(ISBLANK(B90)),
IF(SUM(E90:J90)+SUM(Laborator!E91:J91)&lt;&gt;0,SUM(E90:J90)+SUM(Laborator!E91:J91),""),
"")</f>
        <v/>
      </c>
      <c r="P90" s="97"/>
      <c r="S90" s="34" t="str">
        <f>IF(NOT(ISBLANK(C90)),IF(ISNUMBER(Laborator!AD91),Laborator!AD91,"n/p"),"")</f>
        <v/>
      </c>
      <c r="T90" s="128" t="str">
        <f>'Lucru Individual'!G86</f>
        <v/>
      </c>
      <c r="U90" s="34" t="str">
        <f t="shared" si="9"/>
        <v/>
      </c>
      <c r="V90" s="34" t="str">
        <f t="shared" si="10"/>
        <v/>
      </c>
      <c r="W90" s="100" t="str">
        <f t="shared" si="11"/>
        <v/>
      </c>
      <c r="X90" s="33" t="str">
        <f t="shared" si="12"/>
        <v/>
      </c>
      <c r="Y90" s="34" t="str">
        <f t="shared" si="13"/>
        <v/>
      </c>
    </row>
    <row r="91" spans="2:25" x14ac:dyDescent="0.3">
      <c r="B91" s="34" t="str">
        <f>IF(NOT(ISBLANK(C91)),COUNTA($C$6:C91),"")</f>
        <v/>
      </c>
      <c r="C91" s="68"/>
      <c r="D91" s="73"/>
      <c r="E91" s="33"/>
      <c r="F91" s="33"/>
      <c r="G91" s="33"/>
      <c r="H91" s="33"/>
      <c r="I91" s="33"/>
      <c r="J91" s="33"/>
      <c r="K91" s="34" t="str">
        <f t="shared" si="8"/>
        <v/>
      </c>
      <c r="L91"/>
      <c r="M91" s="34" t="str">
        <f>Examen!G87</f>
        <v/>
      </c>
      <c r="N91" s="34"/>
      <c r="O91" s="97" t="str">
        <f>IF(NOT(ISBLANK(B91)),
IF(SUM(E91:J91)+SUM(Laborator!E92:J92)&lt;&gt;0,SUM(E91:J91)+SUM(Laborator!E92:J92),""),
"")</f>
        <v/>
      </c>
      <c r="P91" s="97"/>
      <c r="S91" s="34" t="str">
        <f>IF(NOT(ISBLANK(C91)),IF(ISNUMBER(Laborator!AD92),Laborator!AD92,"n/p"),"")</f>
        <v/>
      </c>
      <c r="T91" s="128" t="str">
        <f>'Lucru Individual'!G87</f>
        <v/>
      </c>
      <c r="U91" s="34" t="str">
        <f t="shared" si="9"/>
        <v/>
      </c>
      <c r="V91" s="34" t="str">
        <f t="shared" si="10"/>
        <v/>
      </c>
      <c r="W91" s="100" t="str">
        <f t="shared" si="11"/>
        <v/>
      </c>
      <c r="X91" s="33" t="str">
        <f t="shared" si="12"/>
        <v/>
      </c>
      <c r="Y91" s="34" t="str">
        <f t="shared" si="13"/>
        <v/>
      </c>
    </row>
    <row r="92" spans="2:25" x14ac:dyDescent="0.3">
      <c r="B92" s="34" t="str">
        <f>IF(NOT(ISBLANK(C92)),COUNTA($C$6:C92),"")</f>
        <v/>
      </c>
      <c r="C92" s="68"/>
      <c r="D92" s="73"/>
      <c r="E92" s="33"/>
      <c r="F92" s="33"/>
      <c r="G92" s="33"/>
      <c r="H92" s="33"/>
      <c r="I92" s="33"/>
      <c r="J92" s="33"/>
      <c r="K92" s="34" t="str">
        <f t="shared" si="8"/>
        <v/>
      </c>
      <c r="L92"/>
      <c r="M92" s="34" t="str">
        <f>Examen!G88</f>
        <v/>
      </c>
      <c r="N92" s="34"/>
      <c r="O92" s="97" t="str">
        <f>IF(NOT(ISBLANK(B92)),
IF(SUM(E92:J92)+SUM(Laborator!E93:J93)&lt;&gt;0,SUM(E92:J92)+SUM(Laborator!E93:J93),""),
"")</f>
        <v/>
      </c>
      <c r="P92" s="97"/>
      <c r="S92" s="34" t="str">
        <f>IF(NOT(ISBLANK(C92)),IF(ISNUMBER(Laborator!AD93),Laborator!AD93,"n/p"),"")</f>
        <v/>
      </c>
      <c r="T92" s="128" t="str">
        <f>'Lucru Individual'!G88</f>
        <v/>
      </c>
      <c r="U92" s="34" t="str">
        <f t="shared" si="9"/>
        <v/>
      </c>
      <c r="V92" s="34" t="str">
        <f t="shared" si="10"/>
        <v/>
      </c>
      <c r="W92" s="100" t="str">
        <f t="shared" si="11"/>
        <v/>
      </c>
      <c r="X92" s="33" t="str">
        <f t="shared" si="12"/>
        <v/>
      </c>
      <c r="Y92" s="34" t="str">
        <f t="shared" si="13"/>
        <v/>
      </c>
    </row>
    <row r="93" spans="2:25" x14ac:dyDescent="0.3">
      <c r="B93" s="34" t="str">
        <f>IF(NOT(ISBLANK(C93)),COUNTA($C$6:C93),"")</f>
        <v/>
      </c>
      <c r="C93" s="68"/>
      <c r="D93" s="73"/>
      <c r="E93" s="33"/>
      <c r="F93" s="33"/>
      <c r="G93" s="33"/>
      <c r="H93" s="33"/>
      <c r="I93" s="33"/>
      <c r="J93" s="33"/>
      <c r="K93" s="34" t="str">
        <f t="shared" si="8"/>
        <v/>
      </c>
      <c r="L93"/>
      <c r="M93" s="34" t="str">
        <f>Examen!G89</f>
        <v/>
      </c>
      <c r="N93" s="34"/>
      <c r="O93" s="97" t="str">
        <f>IF(NOT(ISBLANK(B93)),
IF(SUM(E93:J93)+SUM(Laborator!E94:J94)&lt;&gt;0,SUM(E93:J93)+SUM(Laborator!E94:J94),""),
"")</f>
        <v/>
      </c>
      <c r="P93" s="97"/>
      <c r="S93" s="34" t="str">
        <f>IF(NOT(ISBLANK(C93)),IF(ISNUMBER(Laborator!AD94),Laborator!AD94,"n/p"),"")</f>
        <v/>
      </c>
      <c r="T93" s="128" t="str">
        <f>'Lucru Individual'!G89</f>
        <v/>
      </c>
      <c r="U93" s="34" t="str">
        <f t="shared" si="9"/>
        <v/>
      </c>
      <c r="V93" s="34" t="str">
        <f t="shared" si="10"/>
        <v/>
      </c>
      <c r="W93" s="100" t="str">
        <f t="shared" si="11"/>
        <v/>
      </c>
      <c r="X93" s="33" t="str">
        <f t="shared" si="12"/>
        <v/>
      </c>
      <c r="Y93" s="34" t="str">
        <f t="shared" si="13"/>
        <v/>
      </c>
    </row>
    <row r="94" spans="2:25" x14ac:dyDescent="0.3">
      <c r="B94" s="34" t="str">
        <f>IF(NOT(ISBLANK(C94)),COUNTA($C$6:C94),"")</f>
        <v/>
      </c>
      <c r="C94" s="68"/>
      <c r="D94" s="73"/>
      <c r="E94" s="33"/>
      <c r="F94" s="33"/>
      <c r="G94" s="33"/>
      <c r="H94" s="33"/>
      <c r="I94" s="33"/>
      <c r="J94" s="33"/>
      <c r="K94" s="34" t="str">
        <f t="shared" si="8"/>
        <v/>
      </c>
      <c r="L94"/>
      <c r="M94" s="34" t="str">
        <f>Examen!G90</f>
        <v/>
      </c>
      <c r="N94" s="34"/>
      <c r="O94" s="97" t="str">
        <f>IF(NOT(ISBLANK(B94)),
IF(SUM(E94:J94)+SUM(Laborator!E95:J95)&lt;&gt;0,SUM(E94:J94)+SUM(Laborator!E95:J95),""),
"")</f>
        <v/>
      </c>
      <c r="P94" s="97"/>
      <c r="S94" s="34" t="str">
        <f>IF(NOT(ISBLANK(C94)),IF(ISNUMBER(Laborator!AD95),Laborator!AD95,"n/p"),"")</f>
        <v/>
      </c>
      <c r="T94" s="128" t="str">
        <f>'Lucru Individual'!G90</f>
        <v/>
      </c>
      <c r="U94" s="34" t="str">
        <f t="shared" si="9"/>
        <v/>
      </c>
      <c r="V94" s="34" t="str">
        <f t="shared" si="10"/>
        <v/>
      </c>
      <c r="W94" s="100" t="str">
        <f t="shared" si="11"/>
        <v/>
      </c>
      <c r="X94" s="33" t="str">
        <f t="shared" si="12"/>
        <v/>
      </c>
      <c r="Y94" s="34" t="str">
        <f t="shared" si="13"/>
        <v/>
      </c>
    </row>
    <row r="95" spans="2:25" x14ac:dyDescent="0.3">
      <c r="B95" s="34" t="str">
        <f>IF(NOT(ISBLANK(C95)),COUNTA($C$6:C95),"")</f>
        <v/>
      </c>
      <c r="C95" s="68"/>
      <c r="D95" s="73"/>
      <c r="E95" s="33"/>
      <c r="F95" s="33"/>
      <c r="G95" s="33"/>
      <c r="H95" s="33"/>
      <c r="I95" s="33"/>
      <c r="J95" s="33"/>
      <c r="K95" s="34" t="str">
        <f t="shared" si="8"/>
        <v/>
      </c>
      <c r="L95"/>
      <c r="M95" s="34" t="str">
        <f>Examen!G91</f>
        <v/>
      </c>
      <c r="N95" s="34"/>
      <c r="O95" s="97" t="str">
        <f>IF(NOT(ISBLANK(B95)),
IF(SUM(E95:J95)+SUM(Laborator!E96:J96)&lt;&gt;0,SUM(E95:J95)+SUM(Laborator!E96:J96),""),
"")</f>
        <v/>
      </c>
      <c r="P95" s="97"/>
      <c r="S95" s="34" t="str">
        <f>IF(NOT(ISBLANK(C95)),IF(ISNUMBER(Laborator!AD96),Laborator!AD96,"n/p"),"")</f>
        <v/>
      </c>
      <c r="T95" s="128" t="str">
        <f>'Lucru Individual'!G91</f>
        <v/>
      </c>
      <c r="U95" s="34" t="str">
        <f t="shared" si="9"/>
        <v/>
      </c>
      <c r="V95" s="34" t="str">
        <f t="shared" si="10"/>
        <v/>
      </c>
      <c r="W95" s="100" t="str">
        <f t="shared" si="11"/>
        <v/>
      </c>
      <c r="X95" s="33" t="str">
        <f t="shared" si="12"/>
        <v/>
      </c>
      <c r="Y95" s="34" t="str">
        <f t="shared" si="13"/>
        <v/>
      </c>
    </row>
    <row r="96" spans="2:25" x14ac:dyDescent="0.3">
      <c r="B96" s="34" t="str">
        <f>IF(NOT(ISBLANK(C96)),COUNTA($C$6:C96),"")</f>
        <v/>
      </c>
      <c r="C96" s="68"/>
      <c r="D96" s="73"/>
      <c r="E96" s="33"/>
      <c r="F96" s="33"/>
      <c r="G96" s="33"/>
      <c r="H96" s="33"/>
      <c r="I96" s="33"/>
      <c r="J96" s="33"/>
      <c r="K96" s="34" t="str">
        <f t="shared" si="8"/>
        <v/>
      </c>
      <c r="L96"/>
      <c r="M96" s="34" t="str">
        <f>Examen!G92</f>
        <v/>
      </c>
      <c r="N96" s="34"/>
      <c r="O96" s="97" t="str">
        <f>IF(NOT(ISBLANK(B96)),
IF(SUM(E96:J96)+SUM(Laborator!E97:J97)&lt;&gt;0,SUM(E96:J96)+SUM(Laborator!E97:J97),""),
"")</f>
        <v/>
      </c>
      <c r="P96" s="97"/>
      <c r="S96" s="34" t="str">
        <f>IF(NOT(ISBLANK(C96)),IF(ISNUMBER(Laborator!AD97),Laborator!AD97,"n/p"),"")</f>
        <v/>
      </c>
      <c r="T96" s="128" t="str">
        <f>'Lucru Individual'!G92</f>
        <v/>
      </c>
      <c r="U96" s="34" t="str">
        <f t="shared" si="9"/>
        <v/>
      </c>
      <c r="V96" s="34" t="str">
        <f t="shared" si="10"/>
        <v/>
      </c>
      <c r="W96" s="100" t="str">
        <f t="shared" si="11"/>
        <v/>
      </c>
      <c r="X96" s="33" t="str">
        <f t="shared" si="12"/>
        <v/>
      </c>
      <c r="Y96" s="34" t="str">
        <f t="shared" si="13"/>
        <v/>
      </c>
    </row>
    <row r="97" spans="2:25" x14ac:dyDescent="0.3">
      <c r="B97" s="34" t="str">
        <f>IF(NOT(ISBLANK(C97)),COUNTA($C$6:C97),"")</f>
        <v/>
      </c>
      <c r="C97" s="68"/>
      <c r="D97" s="73"/>
      <c r="E97" s="33"/>
      <c r="F97" s="33"/>
      <c r="G97" s="33"/>
      <c r="H97" s="33"/>
      <c r="I97" s="33"/>
      <c r="J97" s="33"/>
      <c r="K97" s="34" t="str">
        <f t="shared" si="8"/>
        <v/>
      </c>
      <c r="L97"/>
      <c r="M97" s="34" t="str">
        <f>Examen!G93</f>
        <v/>
      </c>
      <c r="N97" s="34"/>
      <c r="O97" s="97" t="str">
        <f>IF(NOT(ISBLANK(B97)),
IF(SUM(E97:J97)+SUM(Laborator!E98:J98)&lt;&gt;0,SUM(E97:J97)+SUM(Laborator!E98:J98),""),
"")</f>
        <v/>
      </c>
      <c r="P97" s="97"/>
      <c r="S97" s="34" t="str">
        <f>IF(NOT(ISBLANK(C97)),IF(ISNUMBER(Laborator!AD98),Laborator!AD98,"n/p"),"")</f>
        <v/>
      </c>
      <c r="T97" s="128" t="str">
        <f>'Lucru Individual'!G93</f>
        <v/>
      </c>
      <c r="U97" s="34" t="str">
        <f t="shared" si="9"/>
        <v/>
      </c>
      <c r="V97" s="34" t="str">
        <f t="shared" si="10"/>
        <v/>
      </c>
      <c r="W97" s="100" t="str">
        <f t="shared" si="11"/>
        <v/>
      </c>
      <c r="X97" s="33" t="str">
        <f t="shared" si="12"/>
        <v/>
      </c>
      <c r="Y97" s="34" t="str">
        <f t="shared" si="13"/>
        <v/>
      </c>
    </row>
    <row r="98" spans="2:25" x14ac:dyDescent="0.3">
      <c r="B98" s="34" t="str">
        <f>IF(NOT(ISBLANK(C98)),COUNTA($C$6:C98),"")</f>
        <v/>
      </c>
      <c r="C98" s="68"/>
      <c r="D98" s="73"/>
      <c r="E98" s="33"/>
      <c r="F98" s="33"/>
      <c r="G98" s="33"/>
      <c r="H98" s="33"/>
      <c r="I98" s="33"/>
      <c r="J98" s="33"/>
      <c r="K98" s="34" t="str">
        <f t="shared" si="8"/>
        <v/>
      </c>
      <c r="L98"/>
      <c r="M98" s="34" t="str">
        <f>Examen!G94</f>
        <v/>
      </c>
      <c r="N98" s="34"/>
      <c r="O98" s="97" t="str">
        <f>IF(NOT(ISBLANK(B98)),
IF(SUM(E98:J98)+SUM(Laborator!E99:J99)&lt;&gt;0,SUM(E98:J98)+SUM(Laborator!E99:J99),""),
"")</f>
        <v/>
      </c>
      <c r="P98" s="97"/>
      <c r="S98" s="34" t="str">
        <f>IF(NOT(ISBLANK(C98)),IF(ISNUMBER(Laborator!AD99),Laborator!AD99,"n/p"),"")</f>
        <v/>
      </c>
      <c r="T98" s="128" t="str">
        <f>'Lucru Individual'!G94</f>
        <v/>
      </c>
      <c r="U98" s="34" t="str">
        <f t="shared" si="9"/>
        <v/>
      </c>
      <c r="V98" s="34" t="str">
        <f t="shared" si="10"/>
        <v/>
      </c>
      <c r="W98" s="100" t="str">
        <f t="shared" si="11"/>
        <v/>
      </c>
      <c r="X98" s="33" t="str">
        <f t="shared" si="12"/>
        <v/>
      </c>
      <c r="Y98" s="34" t="str">
        <f t="shared" si="13"/>
        <v/>
      </c>
    </row>
    <row r="99" spans="2:25" x14ac:dyDescent="0.3">
      <c r="B99" s="34" t="str">
        <f>IF(NOT(ISBLANK(C99)),COUNTA($C$6:C99),"")</f>
        <v/>
      </c>
      <c r="C99" s="68"/>
      <c r="D99" s="73"/>
      <c r="E99" s="33"/>
      <c r="F99" s="33"/>
      <c r="G99" s="33"/>
      <c r="H99" s="33"/>
      <c r="I99" s="33"/>
      <c r="J99" s="33"/>
      <c r="K99" s="34" t="str">
        <f t="shared" si="8"/>
        <v/>
      </c>
      <c r="L99"/>
      <c r="M99" s="34" t="str">
        <f>Examen!G95</f>
        <v/>
      </c>
      <c r="N99" s="34"/>
      <c r="O99" s="97" t="str">
        <f>IF(NOT(ISBLANK(B99)),
IF(SUM(E99:J99)+SUM(Laborator!E100:J100)&lt;&gt;0,SUM(E99:J99)+SUM(Laborator!E100:J100),""),
"")</f>
        <v/>
      </c>
      <c r="P99" s="97"/>
      <c r="S99" s="34" t="str">
        <f>IF(NOT(ISBLANK(C99)),IF(ISNUMBER(Laborator!AD100),Laborator!AD100,"n/p"),"")</f>
        <v/>
      </c>
      <c r="T99" s="128" t="str">
        <f>'Lucru Individual'!G95</f>
        <v/>
      </c>
      <c r="U99" s="34" t="str">
        <f t="shared" si="9"/>
        <v/>
      </c>
      <c r="V99" s="34" t="str">
        <f t="shared" si="10"/>
        <v/>
      </c>
      <c r="W99" s="100" t="str">
        <f t="shared" si="11"/>
        <v/>
      </c>
      <c r="X99" s="33" t="str">
        <f t="shared" si="12"/>
        <v/>
      </c>
      <c r="Y99" s="34" t="str">
        <f t="shared" si="13"/>
        <v/>
      </c>
    </row>
    <row r="100" spans="2:25" x14ac:dyDescent="0.3">
      <c r="B100" s="34" t="str">
        <f>IF(NOT(ISBLANK(C100)),COUNTA($C$6:C100),"")</f>
        <v/>
      </c>
      <c r="C100" s="68"/>
      <c r="D100" s="73"/>
      <c r="E100" s="33"/>
      <c r="F100" s="33"/>
      <c r="G100" s="33"/>
      <c r="H100" s="33"/>
      <c r="I100" s="33"/>
      <c r="J100" s="33"/>
      <c r="K100" s="34" t="str">
        <f t="shared" si="8"/>
        <v/>
      </c>
      <c r="L100"/>
      <c r="M100" s="34" t="str">
        <f>Examen!G96</f>
        <v/>
      </c>
      <c r="N100" s="34"/>
      <c r="O100" s="97" t="str">
        <f>IF(NOT(ISBLANK(B100)),
IF(SUM(E100:J100)+SUM(Laborator!E101:J101)&lt;&gt;0,SUM(E100:J100)+SUM(Laborator!E101:J101),""),
"")</f>
        <v/>
      </c>
      <c r="P100" s="97"/>
      <c r="S100" s="34" t="str">
        <f>IF(NOT(ISBLANK(C100)),IF(ISNUMBER(Laborator!AD101),Laborator!AD101,"n/p"),"")</f>
        <v/>
      </c>
      <c r="T100" s="128" t="str">
        <f>'Lucru Individual'!G96</f>
        <v/>
      </c>
      <c r="U100" s="34" t="str">
        <f t="shared" si="9"/>
        <v/>
      </c>
      <c r="V100" s="34" t="str">
        <f t="shared" si="10"/>
        <v/>
      </c>
      <c r="W100" s="100" t="str">
        <f t="shared" si="11"/>
        <v/>
      </c>
      <c r="X100" s="33" t="str">
        <f t="shared" si="12"/>
        <v/>
      </c>
      <c r="Y100" s="34" t="str">
        <f t="shared" si="13"/>
        <v/>
      </c>
    </row>
    <row r="101" spans="2:25" x14ac:dyDescent="0.3">
      <c r="B101" s="34" t="str">
        <f>IF(NOT(ISBLANK(C101)),COUNTA($C$6:C101),"")</f>
        <v/>
      </c>
      <c r="C101" s="68"/>
      <c r="D101" s="73"/>
      <c r="E101" s="33"/>
      <c r="F101" s="33"/>
      <c r="G101" s="33"/>
      <c r="H101" s="33"/>
      <c r="I101" s="33"/>
      <c r="J101" s="33"/>
      <c r="K101" s="34" t="str">
        <f t="shared" si="8"/>
        <v/>
      </c>
      <c r="L101"/>
      <c r="M101" s="34" t="str">
        <f>Examen!G97</f>
        <v/>
      </c>
      <c r="N101" s="34"/>
      <c r="O101" s="97" t="str">
        <f>IF(NOT(ISBLANK(B101)),
IF(SUM(E101:J101)+SUM(Laborator!E102:J102)&lt;&gt;0,SUM(E101:J101)+SUM(Laborator!E102:J102),""),
"")</f>
        <v/>
      </c>
      <c r="P101" s="97"/>
      <c r="S101" s="34" t="str">
        <f>IF(NOT(ISBLANK(C101)),IF(ISNUMBER(Laborator!AD102),Laborator!AD102,"n/p"),"")</f>
        <v/>
      </c>
      <c r="T101" s="128" t="str">
        <f>'Lucru Individual'!G97</f>
        <v/>
      </c>
      <c r="U101" s="34" t="str">
        <f t="shared" si="9"/>
        <v/>
      </c>
      <c r="V101" s="34" t="str">
        <f t="shared" si="10"/>
        <v/>
      </c>
      <c r="W101" s="100" t="str">
        <f t="shared" si="11"/>
        <v/>
      </c>
      <c r="X101" s="33" t="str">
        <f t="shared" si="12"/>
        <v/>
      </c>
      <c r="Y101" s="34" t="str">
        <f t="shared" si="13"/>
        <v/>
      </c>
    </row>
    <row r="102" spans="2:25" x14ac:dyDescent="0.3">
      <c r="B102" s="34" t="str">
        <f>IF(NOT(ISBLANK(C102)),COUNTA($C$6:C102),"")</f>
        <v/>
      </c>
      <c r="C102" s="68"/>
      <c r="D102" s="73"/>
      <c r="E102" s="33"/>
      <c r="F102" s="33"/>
      <c r="G102" s="33"/>
      <c r="H102" s="33"/>
      <c r="I102" s="33"/>
      <c r="J102" s="33"/>
      <c r="K102" s="34" t="str">
        <f t="shared" ref="K102:K105" si="14">IF(NOT(ISBLANK(C102)),IF(COUNTIF(E102:J102,"a")&lt;&gt;0,COUNTIF(E102:J102,"a")*2,""),"")</f>
        <v/>
      </c>
      <c r="L102"/>
      <c r="M102" s="34" t="str">
        <f>Examen!G98</f>
        <v/>
      </c>
      <c r="N102" s="34"/>
      <c r="O102" s="97" t="str">
        <f>IF(NOT(ISBLANK(B102)),
IF(SUM(E102:J102)+SUM(Laborator!E103:J103)&lt;&gt;0,SUM(E102:J102)+SUM(Laborator!E103:J103),""),
"")</f>
        <v/>
      </c>
      <c r="P102" s="97"/>
      <c r="S102" s="34" t="str">
        <f>IF(NOT(ISBLANK(C102)),IF(ISNUMBER(Laborator!AD103),Laborator!AD103,"n/p"),"")</f>
        <v/>
      </c>
      <c r="T102" s="128" t="str">
        <f>'Lucru Individual'!G98</f>
        <v/>
      </c>
      <c r="U102" s="34" t="str">
        <f t="shared" si="9"/>
        <v/>
      </c>
      <c r="V102" s="34" t="str">
        <f t="shared" si="10"/>
        <v/>
      </c>
      <c r="W102" s="100" t="str">
        <f t="shared" si="11"/>
        <v/>
      </c>
      <c r="X102" s="33" t="str">
        <f t="shared" si="12"/>
        <v/>
      </c>
      <c r="Y102" s="34" t="str">
        <f t="shared" si="13"/>
        <v/>
      </c>
    </row>
    <row r="103" spans="2:25" x14ac:dyDescent="0.3">
      <c r="B103" s="34" t="str">
        <f>IF(NOT(ISBLANK(C103)),COUNTA($C$6:C103),"")</f>
        <v/>
      </c>
      <c r="C103" s="68"/>
      <c r="D103" s="73"/>
      <c r="E103" s="33"/>
      <c r="F103" s="33"/>
      <c r="G103" s="33"/>
      <c r="H103" s="33"/>
      <c r="I103" s="33"/>
      <c r="J103" s="33"/>
      <c r="K103" s="34" t="str">
        <f t="shared" si="14"/>
        <v/>
      </c>
      <c r="L103"/>
      <c r="M103" s="34" t="str">
        <f>Examen!G99</f>
        <v/>
      </c>
      <c r="N103" s="34"/>
      <c r="O103" s="97" t="str">
        <f>IF(NOT(ISBLANK(B103)),
IF(SUM(E103:J103)+SUM(Laborator!E104:J104)&lt;&gt;0,SUM(E103:J103)+SUM(Laborator!E104:J104),""),
"")</f>
        <v/>
      </c>
      <c r="P103" s="97"/>
      <c r="S103" s="34" t="str">
        <f>IF(NOT(ISBLANK(C103)),IF(ISNUMBER(Laborator!AD104),Laborator!AD104,"n/p"),"")</f>
        <v/>
      </c>
      <c r="T103" s="128" t="str">
        <f>'Lucru Individual'!G99</f>
        <v/>
      </c>
      <c r="U103" s="34" t="str">
        <f t="shared" si="9"/>
        <v/>
      </c>
      <c r="V103" s="34" t="str">
        <f t="shared" si="10"/>
        <v/>
      </c>
      <c r="W103" s="100" t="str">
        <f t="shared" si="11"/>
        <v/>
      </c>
      <c r="X103" s="33" t="str">
        <f t="shared" si="12"/>
        <v/>
      </c>
      <c r="Y103" s="34" t="str">
        <f t="shared" si="13"/>
        <v/>
      </c>
    </row>
    <row r="104" spans="2:25" x14ac:dyDescent="0.3">
      <c r="B104" s="34" t="str">
        <f>IF(NOT(ISBLANK(C104)),COUNTA($C$6:C104),"")</f>
        <v/>
      </c>
      <c r="C104" s="68"/>
      <c r="D104" s="73"/>
      <c r="E104" s="33"/>
      <c r="F104" s="33"/>
      <c r="G104" s="33"/>
      <c r="H104" s="33"/>
      <c r="I104" s="33"/>
      <c r="J104" s="33"/>
      <c r="K104" s="34" t="str">
        <f t="shared" si="14"/>
        <v/>
      </c>
      <c r="L104"/>
      <c r="M104" s="34" t="str">
        <f>Examen!G100</f>
        <v/>
      </c>
      <c r="N104" s="34"/>
      <c r="O104" s="97" t="str">
        <f>IF(NOT(ISBLANK(B104)),
IF(SUM(E104:J104)+SUM(Laborator!E105:J105)&lt;&gt;0,SUM(E104:J104)+SUM(Laborator!E105:J105),""),
"")</f>
        <v/>
      </c>
      <c r="P104" s="97"/>
      <c r="S104" s="34" t="str">
        <f>IF(NOT(ISBLANK(C104)),IF(ISNUMBER(Laborator!AD105),Laborator!AD105,"n/p"),"")</f>
        <v/>
      </c>
      <c r="T104" s="128" t="str">
        <f>'Lucru Individual'!G100</f>
        <v/>
      </c>
      <c r="U104" s="34" t="str">
        <f t="shared" si="9"/>
        <v/>
      </c>
      <c r="V104" s="34" t="str">
        <f t="shared" si="10"/>
        <v/>
      </c>
      <c r="W104" s="100" t="str">
        <f t="shared" si="11"/>
        <v/>
      </c>
      <c r="X104" s="33" t="str">
        <f t="shared" si="12"/>
        <v/>
      </c>
      <c r="Y104" s="34" t="str">
        <f t="shared" si="13"/>
        <v/>
      </c>
    </row>
    <row r="105" spans="2:25" x14ac:dyDescent="0.3">
      <c r="B105" s="34" t="str">
        <f>IF(NOT(ISBLANK(C105)),COUNTA($C$6:C105),"")</f>
        <v/>
      </c>
      <c r="C105" s="68"/>
      <c r="D105" s="73"/>
      <c r="E105" s="33"/>
      <c r="F105" s="33"/>
      <c r="G105" s="33"/>
      <c r="H105" s="33"/>
      <c r="I105" s="33"/>
      <c r="J105" s="33"/>
      <c r="K105" s="34" t="str">
        <f t="shared" si="14"/>
        <v/>
      </c>
      <c r="L105"/>
      <c r="M105" s="34" t="str">
        <f>Examen!G101</f>
        <v/>
      </c>
      <c r="N105" s="34"/>
      <c r="O105" s="97" t="str">
        <f>IF(NOT(ISBLANK(B105)),
IF(SUM(E105:J105)+SUM(Laborator!E106:J106)&lt;&gt;0,SUM(E105:J105)+SUM(Laborator!E106:J106),""),
"")</f>
        <v/>
      </c>
      <c r="P105" s="97"/>
      <c r="S105" s="34" t="str">
        <f>IF(NOT(ISBLANK(C105)),IF(ISNUMBER(Laborator!AD106),Laborator!AD106,"n/p"),"")</f>
        <v/>
      </c>
      <c r="T105" s="128" t="str">
        <f>'Lucru Individual'!G101</f>
        <v/>
      </c>
      <c r="U105" s="34" t="str">
        <f t="shared" si="9"/>
        <v/>
      </c>
      <c r="V105" s="34" t="str">
        <f t="shared" si="10"/>
        <v/>
      </c>
      <c r="W105" s="100" t="str">
        <f t="shared" si="11"/>
        <v/>
      </c>
      <c r="X105" s="33" t="str">
        <f t="shared" si="12"/>
        <v/>
      </c>
      <c r="Y105" s="34" t="str">
        <f t="shared" si="13"/>
        <v/>
      </c>
    </row>
    <row r="106" spans="2:25" ht="17.399999999999999" x14ac:dyDescent="0.3">
      <c r="B106" s="74"/>
      <c r="C106" s="76"/>
      <c r="D106" s="75"/>
      <c r="E106" s="75"/>
      <c r="F106" s="75"/>
      <c r="G106" s="75"/>
      <c r="H106" s="75"/>
      <c r="I106" s="75"/>
      <c r="J106" s="75"/>
      <c r="K106" s="75"/>
      <c r="L106" s="75"/>
      <c r="M106" s="74"/>
      <c r="N106" s="74"/>
      <c r="O106" s="97"/>
      <c r="P106" s="97"/>
      <c r="Q106" s="79"/>
      <c r="R106" s="74"/>
      <c r="S106" s="74"/>
      <c r="T106" s="74"/>
      <c r="U106" s="74"/>
      <c r="V106" s="99"/>
      <c r="W106" s="74"/>
      <c r="X106" s="74"/>
      <c r="Y106" s="34" t="str">
        <f>IF(NOT(ISBLANK(C106)),
IF(W106=" ","  ",
IF(AND(W106&gt;=1,W106&lt;=3),"F",
IF(AND(W106&gt;3,W106&lt;5),"FX",
IF(AND(W106&gt;=5,W106&lt;=6),"E",
IF(AND(W106&gt;6,W106&lt;=7),"D",
IF(AND(W106&gt;7,W106&lt;=8),"C",
IF(AND(W106&gt;8,W106&lt;=9),"B",
IF(AND(W106&gt;9,W106&lt;=10),"A",
)))))))),"")</f>
        <v/>
      </c>
    </row>
    <row r="107" spans="2:25" ht="17.399999999999999" x14ac:dyDescent="0.3">
      <c r="B107" s="74"/>
      <c r="C107" s="76"/>
      <c r="D107" s="75"/>
      <c r="E107" s="75"/>
      <c r="F107" s="75"/>
      <c r="G107" s="75"/>
      <c r="H107" s="75"/>
      <c r="I107" s="75"/>
      <c r="J107" s="75"/>
      <c r="K107" s="74"/>
      <c r="L107" s="74"/>
      <c r="M107" s="74"/>
      <c r="N107" s="74"/>
      <c r="O107" s="97"/>
      <c r="P107" s="97"/>
      <c r="Q107" s="79"/>
      <c r="R107" s="74"/>
      <c r="S107" s="74"/>
      <c r="T107" s="74"/>
      <c r="U107" s="74"/>
      <c r="V107" s="99"/>
      <c r="W107" s="74"/>
      <c r="X107" s="74"/>
      <c r="Y107" s="74"/>
    </row>
    <row r="108" spans="2:25" ht="17.399999999999999" x14ac:dyDescent="0.3">
      <c r="B108" s="74"/>
      <c r="C108" s="76"/>
      <c r="D108" s="75"/>
      <c r="E108" s="75"/>
      <c r="F108" s="75"/>
      <c r="G108" s="75"/>
      <c r="H108" s="75"/>
      <c r="I108" s="75"/>
      <c r="J108" s="75"/>
      <c r="K108" s="74"/>
      <c r="L108" s="74"/>
      <c r="M108" s="74"/>
      <c r="N108" s="74"/>
      <c r="O108" s="97"/>
      <c r="P108" s="97"/>
      <c r="Q108" s="79"/>
      <c r="R108" s="74"/>
      <c r="S108" s="74"/>
      <c r="T108" s="74"/>
      <c r="U108" s="74"/>
      <c r="V108" s="99"/>
      <c r="W108" s="74"/>
      <c r="X108" s="74"/>
      <c r="Y108" s="74"/>
    </row>
    <row r="109" spans="2:25" ht="17.399999999999999" x14ac:dyDescent="0.3">
      <c r="B109" s="74"/>
      <c r="C109" s="73"/>
      <c r="D109" s="73"/>
      <c r="E109" s="73"/>
      <c r="F109" s="73"/>
      <c r="G109" s="73"/>
      <c r="H109" s="73"/>
      <c r="I109" s="73"/>
      <c r="J109" s="73"/>
      <c r="K109" s="74"/>
      <c r="L109" s="74"/>
      <c r="M109" s="73"/>
      <c r="N109" s="73"/>
      <c r="Q109" s="79"/>
      <c r="R109" s="74"/>
      <c r="S109" s="73"/>
      <c r="T109" s="73"/>
      <c r="U109" s="73"/>
      <c r="V109" s="80"/>
      <c r="W109" s="73"/>
      <c r="X109" s="73"/>
      <c r="Y109" s="73"/>
    </row>
    <row r="110" spans="2:25" ht="17.399999999999999" x14ac:dyDescent="0.3">
      <c r="B110" s="74"/>
      <c r="C110" s="73"/>
      <c r="D110" s="73"/>
      <c r="E110" s="73"/>
      <c r="F110" s="73"/>
      <c r="G110" s="73"/>
      <c r="H110" s="73"/>
      <c r="I110" s="73"/>
      <c r="J110" s="73"/>
      <c r="K110" s="74"/>
      <c r="L110" s="74"/>
      <c r="M110" s="73"/>
      <c r="N110" s="73"/>
      <c r="Q110" s="79"/>
      <c r="R110" s="74"/>
      <c r="S110" s="73"/>
      <c r="T110" s="73"/>
      <c r="U110" s="73"/>
      <c r="V110" s="80"/>
      <c r="W110" s="73"/>
      <c r="X110" s="73"/>
      <c r="Y110" s="73"/>
    </row>
    <row r="111" spans="2:25" ht="17.399999999999999" x14ac:dyDescent="0.3">
      <c r="B111" s="74"/>
      <c r="C111" s="73"/>
      <c r="D111" s="73"/>
      <c r="E111" s="73"/>
      <c r="F111" s="73"/>
      <c r="G111" s="73"/>
      <c r="H111" s="73"/>
      <c r="I111" s="73"/>
      <c r="J111" s="73"/>
      <c r="K111" s="74"/>
      <c r="L111" s="74"/>
      <c r="M111" s="73"/>
      <c r="N111" s="73"/>
      <c r="Q111" s="79"/>
      <c r="R111" s="74"/>
      <c r="S111" s="73"/>
      <c r="T111" s="73"/>
      <c r="U111" s="73"/>
      <c r="V111" s="80"/>
      <c r="W111" s="73"/>
      <c r="X111" s="73"/>
      <c r="Y111" s="73"/>
    </row>
    <row r="112" spans="2:25" ht="17.399999999999999" x14ac:dyDescent="0.3">
      <c r="B112" s="74"/>
      <c r="C112" s="73"/>
      <c r="D112" s="73"/>
      <c r="E112" s="73"/>
      <c r="F112" s="73"/>
      <c r="G112" s="73"/>
      <c r="H112" s="73"/>
      <c r="I112" s="73"/>
      <c r="J112" s="73"/>
      <c r="K112" s="74"/>
      <c r="L112" s="74"/>
      <c r="M112" s="73"/>
      <c r="N112" s="73"/>
      <c r="Q112" s="79"/>
      <c r="R112" s="74"/>
      <c r="S112" s="73"/>
      <c r="T112" s="73"/>
      <c r="U112" s="73"/>
      <c r="V112" s="80"/>
      <c r="W112" s="73"/>
      <c r="X112" s="73"/>
      <c r="Y112" s="73"/>
    </row>
    <row r="113" spans="2:25" ht="17.399999999999999" x14ac:dyDescent="0.3">
      <c r="B113" s="74"/>
      <c r="C113" s="73"/>
      <c r="D113" s="73"/>
      <c r="E113" s="73"/>
      <c r="F113" s="73"/>
      <c r="G113" s="73"/>
      <c r="H113" s="73"/>
      <c r="I113" s="73"/>
      <c r="J113" s="73"/>
      <c r="K113" s="74"/>
      <c r="L113" s="74"/>
      <c r="M113" s="73"/>
      <c r="N113" s="73"/>
      <c r="Q113" s="79"/>
      <c r="R113" s="74"/>
      <c r="S113" s="73"/>
      <c r="T113" s="73"/>
      <c r="U113" s="73"/>
      <c r="V113" s="80"/>
      <c r="W113" s="73"/>
      <c r="X113" s="73"/>
      <c r="Y113" s="73"/>
    </row>
    <row r="114" spans="2:25" ht="17.399999999999999" x14ac:dyDescent="0.3">
      <c r="B114" s="74"/>
      <c r="C114" s="73"/>
      <c r="D114" s="73"/>
      <c r="E114" s="73"/>
      <c r="F114" s="73"/>
      <c r="G114" s="73"/>
      <c r="H114" s="73"/>
      <c r="I114" s="73"/>
      <c r="J114" s="73"/>
      <c r="K114" s="74"/>
      <c r="L114" s="74"/>
      <c r="M114" s="73"/>
      <c r="N114" s="73"/>
      <c r="Q114" s="79"/>
      <c r="R114" s="74"/>
      <c r="S114" s="73"/>
      <c r="T114" s="73"/>
      <c r="U114" s="73"/>
      <c r="V114" s="80"/>
      <c r="W114" s="73"/>
      <c r="X114" s="73"/>
      <c r="Y114" s="73"/>
    </row>
    <row r="115" spans="2:25" ht="17.399999999999999" x14ac:dyDescent="0.3">
      <c r="B115" s="74"/>
      <c r="C115" s="73"/>
      <c r="D115" s="73"/>
      <c r="E115" s="73"/>
      <c r="F115" s="73"/>
      <c r="G115" s="73"/>
      <c r="H115" s="73"/>
      <c r="I115" s="73"/>
      <c r="J115" s="73"/>
      <c r="K115" s="74"/>
      <c r="L115" s="74"/>
      <c r="M115" s="73"/>
      <c r="N115" s="73"/>
      <c r="Q115" s="79"/>
      <c r="R115" s="74"/>
      <c r="S115" s="73"/>
      <c r="T115" s="73"/>
      <c r="U115" s="73"/>
      <c r="V115" s="80"/>
      <c r="W115" s="73"/>
      <c r="X115" s="73"/>
      <c r="Y115" s="73"/>
    </row>
    <row r="116" spans="2:25" ht="17.399999999999999" x14ac:dyDescent="0.3">
      <c r="B116" s="74"/>
      <c r="C116" s="73"/>
      <c r="D116" s="73"/>
      <c r="E116" s="73"/>
      <c r="F116" s="73"/>
      <c r="G116" s="73"/>
      <c r="H116" s="73"/>
      <c r="I116" s="73"/>
      <c r="J116" s="73"/>
      <c r="K116" s="74"/>
      <c r="L116" s="74"/>
      <c r="M116" s="73"/>
      <c r="N116" s="73"/>
      <c r="Q116" s="79"/>
      <c r="R116" s="74"/>
      <c r="S116" s="73"/>
      <c r="T116" s="73"/>
      <c r="U116" s="73"/>
      <c r="V116" s="80"/>
      <c r="W116" s="73"/>
      <c r="X116" s="73"/>
      <c r="Y116" s="73"/>
    </row>
    <row r="117" spans="2:25" ht="17.399999999999999" x14ac:dyDescent="0.3">
      <c r="B117" s="74"/>
      <c r="C117" s="73"/>
      <c r="D117" s="73"/>
      <c r="E117" s="73"/>
      <c r="F117" s="73"/>
      <c r="G117" s="73"/>
      <c r="H117" s="73"/>
      <c r="I117" s="73"/>
      <c r="J117" s="73"/>
      <c r="K117" s="74"/>
      <c r="L117" s="74"/>
      <c r="M117" s="73"/>
      <c r="N117" s="73"/>
      <c r="Q117" s="79"/>
      <c r="R117" s="74"/>
      <c r="S117" s="73"/>
      <c r="T117" s="73"/>
      <c r="U117" s="73"/>
      <c r="V117" s="80"/>
      <c r="W117" s="73"/>
      <c r="X117" s="73"/>
      <c r="Y117" s="73"/>
    </row>
    <row r="118" spans="2:25" ht="17.399999999999999" x14ac:dyDescent="0.3">
      <c r="B118" s="74"/>
      <c r="C118" s="73"/>
      <c r="D118" s="73"/>
      <c r="E118" s="73"/>
      <c r="F118" s="73"/>
      <c r="G118" s="73"/>
      <c r="H118" s="73"/>
      <c r="I118" s="73"/>
      <c r="J118" s="73"/>
      <c r="K118" s="74"/>
      <c r="L118" s="74"/>
      <c r="M118" s="73"/>
      <c r="N118" s="73"/>
      <c r="Q118" s="79"/>
      <c r="R118" s="74"/>
      <c r="S118" s="73"/>
      <c r="T118" s="73"/>
      <c r="U118" s="73"/>
      <c r="V118" s="80"/>
      <c r="W118" s="73"/>
      <c r="X118" s="73"/>
      <c r="Y118" s="73"/>
    </row>
    <row r="119" spans="2:25" ht="17.399999999999999" x14ac:dyDescent="0.3">
      <c r="B119" s="74"/>
      <c r="C119" s="73"/>
      <c r="D119" s="73"/>
      <c r="E119" s="73"/>
      <c r="F119" s="73"/>
      <c r="G119" s="73"/>
      <c r="H119" s="73"/>
      <c r="I119" s="73"/>
      <c r="J119" s="73"/>
      <c r="K119" s="74"/>
      <c r="L119" s="74"/>
      <c r="M119" s="73"/>
      <c r="N119" s="73"/>
      <c r="Q119" s="79"/>
      <c r="R119" s="74"/>
      <c r="S119" s="73"/>
      <c r="T119" s="73"/>
      <c r="U119" s="73"/>
      <c r="V119" s="80"/>
      <c r="W119" s="73"/>
      <c r="X119" s="73"/>
      <c r="Y119" s="73"/>
    </row>
    <row r="120" spans="2:25" ht="17.399999999999999" x14ac:dyDescent="0.3">
      <c r="B120" s="74"/>
      <c r="C120" s="73"/>
      <c r="D120" s="73"/>
      <c r="E120" s="73"/>
      <c r="F120" s="73"/>
      <c r="G120" s="73"/>
      <c r="H120" s="73"/>
      <c r="I120" s="73"/>
      <c r="J120" s="73"/>
      <c r="K120" s="74"/>
      <c r="L120" s="74"/>
      <c r="M120" s="73"/>
      <c r="N120" s="73"/>
      <c r="Q120" s="79"/>
      <c r="R120" s="74"/>
      <c r="S120" s="73"/>
      <c r="T120" s="73"/>
      <c r="U120" s="73"/>
      <c r="V120" s="80"/>
      <c r="W120" s="73"/>
      <c r="X120" s="73"/>
      <c r="Y120" s="73"/>
    </row>
    <row r="121" spans="2:25" ht="17.399999999999999" x14ac:dyDescent="0.3">
      <c r="B121" s="74"/>
      <c r="C121" s="73"/>
      <c r="D121" s="73"/>
      <c r="E121" s="73"/>
      <c r="F121" s="73"/>
      <c r="G121" s="73"/>
      <c r="H121" s="73"/>
      <c r="I121" s="73"/>
      <c r="J121" s="73"/>
      <c r="K121" s="74"/>
      <c r="L121" s="74"/>
      <c r="M121" s="73"/>
      <c r="N121" s="73"/>
      <c r="Q121" s="79"/>
      <c r="R121" s="74"/>
      <c r="S121" s="73"/>
      <c r="T121" s="73"/>
      <c r="U121" s="73"/>
      <c r="V121" s="80"/>
      <c r="W121" s="73"/>
      <c r="X121" s="73"/>
      <c r="Y121" s="73"/>
    </row>
    <row r="122" spans="2:25" ht="17.399999999999999" x14ac:dyDescent="0.3">
      <c r="B122" s="74"/>
      <c r="C122" s="73"/>
      <c r="D122" s="73"/>
      <c r="E122" s="73"/>
      <c r="F122" s="73"/>
      <c r="G122" s="73"/>
      <c r="H122" s="73"/>
      <c r="I122" s="73"/>
      <c r="J122" s="73"/>
      <c r="K122" s="74"/>
      <c r="L122" s="74"/>
      <c r="M122" s="73"/>
      <c r="N122" s="73"/>
      <c r="Q122" s="79"/>
      <c r="R122" s="74"/>
      <c r="S122" s="73"/>
      <c r="T122" s="73"/>
      <c r="U122" s="73"/>
      <c r="V122" s="80"/>
      <c r="W122" s="73"/>
      <c r="X122" s="73"/>
      <c r="Y122" s="73"/>
    </row>
    <row r="123" spans="2:25" ht="17.399999999999999" x14ac:dyDescent="0.3">
      <c r="B123" s="74"/>
      <c r="C123" s="73"/>
      <c r="D123" s="73"/>
      <c r="E123" s="73"/>
      <c r="F123" s="73"/>
      <c r="G123" s="73"/>
      <c r="H123" s="73"/>
      <c r="I123" s="73"/>
      <c r="J123" s="73"/>
      <c r="K123" s="74"/>
      <c r="L123" s="74"/>
      <c r="M123" s="73"/>
      <c r="N123" s="73"/>
      <c r="Q123" s="79"/>
      <c r="R123" s="74"/>
      <c r="S123" s="73"/>
      <c r="T123" s="73"/>
      <c r="U123" s="73"/>
      <c r="V123" s="80"/>
      <c r="W123" s="73"/>
      <c r="X123" s="73"/>
      <c r="Y123" s="73"/>
    </row>
    <row r="124" spans="2:25" ht="17.399999999999999" x14ac:dyDescent="0.3">
      <c r="B124" s="74"/>
      <c r="C124" s="73"/>
      <c r="D124" s="73"/>
      <c r="E124" s="73"/>
      <c r="F124" s="73"/>
      <c r="G124" s="73"/>
      <c r="H124" s="73"/>
      <c r="I124" s="73"/>
      <c r="J124" s="73"/>
      <c r="K124" s="74"/>
      <c r="L124" s="74"/>
      <c r="M124" s="73"/>
      <c r="N124" s="73"/>
      <c r="Q124" s="79"/>
      <c r="R124" s="74"/>
      <c r="S124" s="73"/>
      <c r="T124" s="73"/>
      <c r="U124" s="73"/>
      <c r="V124" s="80"/>
      <c r="W124" s="73"/>
      <c r="X124" s="73"/>
      <c r="Y124" s="73"/>
    </row>
    <row r="125" spans="2:25" ht="17.399999999999999" x14ac:dyDescent="0.3">
      <c r="B125" s="74"/>
      <c r="C125" s="73"/>
      <c r="D125" s="73"/>
      <c r="E125" s="73"/>
      <c r="F125" s="73"/>
      <c r="G125" s="73"/>
      <c r="H125" s="73"/>
      <c r="I125" s="73"/>
      <c r="J125" s="73"/>
      <c r="K125" s="74"/>
      <c r="L125" s="74"/>
      <c r="M125" s="73"/>
      <c r="N125" s="73"/>
      <c r="Q125" s="79"/>
      <c r="R125" s="74"/>
      <c r="S125" s="73"/>
      <c r="T125" s="73"/>
      <c r="U125" s="73"/>
      <c r="V125" s="80"/>
      <c r="W125" s="73"/>
      <c r="X125" s="73"/>
      <c r="Y125" s="73"/>
    </row>
    <row r="126" spans="2:25" ht="17.399999999999999" x14ac:dyDescent="0.3">
      <c r="B126" s="74"/>
      <c r="C126" s="73"/>
      <c r="D126" s="73"/>
      <c r="E126" s="73"/>
      <c r="F126" s="73"/>
      <c r="G126" s="73"/>
      <c r="H126" s="73"/>
      <c r="I126" s="73"/>
      <c r="J126" s="73"/>
      <c r="K126" s="74"/>
      <c r="L126" s="74"/>
      <c r="M126" s="73"/>
      <c r="N126" s="73"/>
      <c r="Q126" s="79"/>
      <c r="R126" s="74"/>
      <c r="S126" s="73"/>
      <c r="T126" s="73"/>
      <c r="U126" s="73"/>
      <c r="V126" s="80"/>
      <c r="W126" s="73"/>
      <c r="X126" s="73"/>
      <c r="Y126" s="73"/>
    </row>
    <row r="127" spans="2:25" ht="17.399999999999999" x14ac:dyDescent="0.3">
      <c r="B127" s="74"/>
      <c r="C127" s="73"/>
      <c r="D127" s="73"/>
      <c r="E127" s="73"/>
      <c r="F127" s="73"/>
      <c r="G127" s="73"/>
      <c r="H127" s="73"/>
      <c r="I127" s="73"/>
      <c r="J127" s="73"/>
      <c r="K127" s="74"/>
      <c r="L127" s="74"/>
      <c r="M127" s="73"/>
      <c r="N127" s="73"/>
      <c r="Q127" s="79"/>
      <c r="R127" s="74"/>
      <c r="S127" s="73"/>
      <c r="T127" s="73"/>
      <c r="U127" s="73"/>
      <c r="V127" s="80"/>
      <c r="W127" s="73"/>
      <c r="X127" s="73"/>
      <c r="Y127" s="73"/>
    </row>
    <row r="128" spans="2:25" ht="17.399999999999999" x14ac:dyDescent="0.3">
      <c r="B128" s="74"/>
      <c r="C128" s="73"/>
      <c r="D128" s="73"/>
      <c r="E128" s="73"/>
      <c r="F128" s="73"/>
      <c r="G128" s="73"/>
      <c r="H128" s="73"/>
      <c r="I128" s="73"/>
      <c r="J128" s="73"/>
      <c r="K128" s="74"/>
      <c r="L128" s="74"/>
      <c r="M128" s="73"/>
      <c r="N128" s="73"/>
      <c r="Q128" s="79"/>
      <c r="R128" s="74"/>
      <c r="S128" s="73"/>
      <c r="T128" s="73"/>
      <c r="U128" s="73"/>
      <c r="V128" s="80"/>
      <c r="W128" s="73"/>
      <c r="X128" s="73"/>
      <c r="Y128" s="73"/>
    </row>
    <row r="129" spans="2:25" ht="17.399999999999999" x14ac:dyDescent="0.3">
      <c r="B129" s="74"/>
      <c r="C129" s="73"/>
      <c r="D129" s="73"/>
      <c r="E129" s="73"/>
      <c r="F129" s="73"/>
      <c r="G129" s="73"/>
      <c r="H129" s="73"/>
      <c r="I129" s="73"/>
      <c r="J129" s="73"/>
      <c r="K129" s="74"/>
      <c r="L129" s="74"/>
      <c r="M129" s="73"/>
      <c r="N129" s="73"/>
      <c r="Q129" s="79"/>
      <c r="R129" s="74"/>
      <c r="S129" s="73"/>
      <c r="T129" s="73"/>
      <c r="U129" s="73"/>
      <c r="V129" s="80"/>
      <c r="W129" s="73"/>
      <c r="X129" s="73"/>
      <c r="Y129" s="73"/>
    </row>
    <row r="130" spans="2:25" ht="17.399999999999999" x14ac:dyDescent="0.3">
      <c r="B130" s="74"/>
      <c r="C130" s="73"/>
      <c r="D130" s="73"/>
      <c r="E130" s="73"/>
      <c r="F130" s="73"/>
      <c r="G130" s="73"/>
      <c r="H130" s="73"/>
      <c r="I130" s="73"/>
      <c r="J130" s="73"/>
      <c r="K130" s="74"/>
      <c r="L130" s="74"/>
      <c r="M130" s="73"/>
      <c r="N130" s="73"/>
      <c r="Q130" s="79"/>
      <c r="R130" s="74"/>
      <c r="S130" s="73"/>
      <c r="T130" s="73"/>
      <c r="U130" s="73"/>
      <c r="V130" s="80"/>
      <c r="W130" s="73"/>
      <c r="X130" s="73"/>
      <c r="Y130" s="73"/>
    </row>
    <row r="131" spans="2:25" ht="17.399999999999999" x14ac:dyDescent="0.3">
      <c r="B131" s="74"/>
      <c r="C131" s="73"/>
      <c r="D131" s="73"/>
      <c r="E131" s="73"/>
      <c r="F131" s="73"/>
      <c r="G131" s="73"/>
      <c r="H131" s="73"/>
      <c r="I131" s="73"/>
      <c r="J131" s="73"/>
      <c r="K131" s="74"/>
      <c r="L131" s="74"/>
      <c r="M131" s="73"/>
      <c r="N131" s="73"/>
      <c r="Q131" s="79"/>
      <c r="R131" s="74"/>
      <c r="S131" s="73"/>
      <c r="T131" s="73"/>
      <c r="U131" s="73"/>
      <c r="V131" s="80"/>
      <c r="W131" s="73"/>
      <c r="X131" s="73"/>
      <c r="Y131" s="73"/>
    </row>
    <row r="132" spans="2:25" ht="17.399999999999999" x14ac:dyDescent="0.3">
      <c r="B132" s="74"/>
      <c r="C132" s="73"/>
      <c r="D132" s="73"/>
      <c r="E132" s="73"/>
      <c r="F132" s="73"/>
      <c r="G132" s="73"/>
      <c r="H132" s="73"/>
      <c r="I132" s="73"/>
      <c r="J132" s="73"/>
      <c r="K132" s="74"/>
      <c r="L132" s="74"/>
      <c r="M132" s="73"/>
      <c r="N132" s="73"/>
      <c r="Q132" s="79"/>
      <c r="R132" s="74"/>
      <c r="S132" s="73"/>
      <c r="T132" s="73"/>
      <c r="U132" s="73"/>
      <c r="V132" s="80"/>
      <c r="W132" s="73"/>
      <c r="X132" s="73"/>
      <c r="Y132" s="73"/>
    </row>
    <row r="133" spans="2:25" ht="17.399999999999999" x14ac:dyDescent="0.3">
      <c r="B133" s="74"/>
      <c r="C133" s="73"/>
      <c r="D133" s="73"/>
      <c r="E133" s="73"/>
      <c r="F133" s="73"/>
      <c r="G133" s="73"/>
      <c r="H133" s="73"/>
      <c r="I133" s="73"/>
      <c r="J133" s="73"/>
      <c r="K133" s="74"/>
      <c r="L133" s="74"/>
      <c r="M133" s="73"/>
      <c r="N133" s="73"/>
      <c r="Q133" s="79"/>
      <c r="R133" s="74"/>
      <c r="S133" s="73"/>
      <c r="T133" s="73"/>
      <c r="U133" s="73"/>
      <c r="V133" s="80"/>
      <c r="W133" s="73"/>
      <c r="X133" s="73"/>
      <c r="Y133" s="73"/>
    </row>
    <row r="134" spans="2:25" ht="17.399999999999999" x14ac:dyDescent="0.3">
      <c r="B134" s="74"/>
      <c r="C134" s="73"/>
      <c r="D134" s="73"/>
      <c r="E134" s="73"/>
      <c r="F134" s="73"/>
      <c r="G134" s="73"/>
      <c r="H134" s="73"/>
      <c r="I134" s="73"/>
      <c r="J134" s="73"/>
      <c r="K134" s="74"/>
      <c r="L134" s="74"/>
      <c r="M134" s="73"/>
      <c r="N134" s="73"/>
      <c r="Q134" s="79"/>
      <c r="R134" s="74"/>
      <c r="S134" s="73"/>
      <c r="T134" s="73"/>
      <c r="U134" s="73"/>
      <c r="V134" s="80"/>
      <c r="W134" s="73"/>
      <c r="X134" s="73"/>
      <c r="Y134" s="73"/>
    </row>
    <row r="135" spans="2:25" ht="17.399999999999999" x14ac:dyDescent="0.3">
      <c r="B135" s="74"/>
      <c r="C135" s="73"/>
      <c r="D135" s="73"/>
      <c r="E135" s="73"/>
      <c r="F135" s="73"/>
      <c r="G135" s="73"/>
      <c r="H135" s="73"/>
      <c r="I135" s="73"/>
      <c r="J135" s="73"/>
      <c r="K135" s="74"/>
      <c r="L135" s="74"/>
      <c r="M135" s="73"/>
      <c r="N135" s="73"/>
      <c r="Q135" s="79"/>
      <c r="R135" s="74"/>
      <c r="S135" s="73"/>
      <c r="T135" s="73"/>
      <c r="U135" s="73"/>
      <c r="V135" s="80"/>
      <c r="W135" s="73"/>
      <c r="X135" s="73"/>
      <c r="Y135" s="73"/>
    </row>
    <row r="136" spans="2:25" ht="17.399999999999999" x14ac:dyDescent="0.3">
      <c r="B136" s="74"/>
      <c r="C136" s="73"/>
      <c r="D136" s="73"/>
      <c r="E136" s="73"/>
      <c r="F136" s="73"/>
      <c r="G136" s="73"/>
      <c r="H136" s="73"/>
      <c r="I136" s="73"/>
      <c r="J136" s="73"/>
      <c r="K136" s="74"/>
      <c r="L136" s="74"/>
      <c r="M136" s="73"/>
      <c r="N136" s="73"/>
      <c r="Q136" s="79"/>
      <c r="R136" s="74"/>
      <c r="S136" s="73"/>
      <c r="T136" s="73"/>
      <c r="U136" s="73"/>
      <c r="V136" s="80"/>
      <c r="W136" s="73"/>
      <c r="X136" s="73"/>
      <c r="Y136" s="73"/>
    </row>
    <row r="137" spans="2:25" ht="17.399999999999999" x14ac:dyDescent="0.3">
      <c r="B137" s="74"/>
      <c r="C137" s="73"/>
      <c r="D137" s="73"/>
      <c r="E137" s="73"/>
      <c r="F137" s="73"/>
      <c r="G137" s="73"/>
      <c r="H137" s="73"/>
      <c r="I137" s="73"/>
      <c r="J137" s="73"/>
      <c r="K137" s="74"/>
      <c r="L137" s="74"/>
      <c r="M137" s="73"/>
      <c r="N137" s="73"/>
      <c r="Q137" s="79"/>
      <c r="R137" s="74"/>
      <c r="S137" s="73"/>
      <c r="T137" s="73"/>
      <c r="U137" s="73"/>
      <c r="V137" s="80"/>
      <c r="W137" s="73"/>
      <c r="X137" s="73"/>
      <c r="Y137" s="73"/>
    </row>
    <row r="138" spans="2:25" ht="17.399999999999999" x14ac:dyDescent="0.3">
      <c r="B138" s="74"/>
      <c r="C138" s="73"/>
      <c r="D138" s="73"/>
      <c r="E138" s="73"/>
      <c r="F138" s="73"/>
      <c r="G138" s="73"/>
      <c r="H138" s="73"/>
      <c r="I138" s="73"/>
      <c r="J138" s="73"/>
      <c r="K138" s="74"/>
      <c r="L138" s="74"/>
      <c r="M138" s="73"/>
      <c r="N138" s="73"/>
      <c r="Q138" s="79"/>
      <c r="R138" s="74"/>
      <c r="S138" s="73"/>
      <c r="T138" s="73"/>
      <c r="U138" s="73"/>
      <c r="V138" s="80"/>
      <c r="W138" s="73"/>
      <c r="X138" s="73"/>
      <c r="Y138" s="73"/>
    </row>
    <row r="139" spans="2:25" ht="17.399999999999999" x14ac:dyDescent="0.3">
      <c r="B139" s="74"/>
      <c r="C139" s="73"/>
      <c r="D139" s="73"/>
      <c r="E139" s="73"/>
      <c r="F139" s="73"/>
      <c r="G139" s="73"/>
      <c r="H139" s="73"/>
      <c r="I139" s="73"/>
      <c r="J139" s="73"/>
      <c r="K139" s="74"/>
      <c r="L139" s="74"/>
      <c r="M139" s="73"/>
      <c r="N139" s="73"/>
      <c r="Q139" s="79"/>
      <c r="R139" s="74"/>
      <c r="S139" s="73"/>
      <c r="T139" s="73"/>
      <c r="U139" s="73"/>
      <c r="V139" s="80"/>
      <c r="W139" s="73"/>
      <c r="X139" s="73"/>
      <c r="Y139" s="73"/>
    </row>
    <row r="140" spans="2:25" ht="17.399999999999999" x14ac:dyDescent="0.3">
      <c r="B140" s="74"/>
      <c r="C140" s="73"/>
      <c r="D140" s="73"/>
      <c r="E140" s="73"/>
      <c r="F140" s="73"/>
      <c r="G140" s="73"/>
      <c r="H140" s="73"/>
      <c r="I140" s="73"/>
      <c r="J140" s="73"/>
      <c r="K140" s="74"/>
      <c r="L140" s="74"/>
      <c r="M140" s="73"/>
      <c r="N140" s="73"/>
      <c r="Q140" s="79"/>
      <c r="R140" s="74"/>
      <c r="S140" s="73"/>
      <c r="T140" s="73"/>
      <c r="U140" s="73"/>
      <c r="V140" s="80"/>
      <c r="W140" s="73"/>
      <c r="X140" s="73"/>
      <c r="Y140" s="73"/>
    </row>
    <row r="141" spans="2:25" ht="17.399999999999999" x14ac:dyDescent="0.3">
      <c r="B141" s="74"/>
      <c r="C141" s="73"/>
      <c r="D141" s="73"/>
      <c r="E141" s="73"/>
      <c r="F141" s="73"/>
      <c r="G141" s="73"/>
      <c r="H141" s="73"/>
      <c r="I141" s="73"/>
      <c r="J141" s="73"/>
      <c r="K141" s="74"/>
      <c r="L141" s="74"/>
      <c r="M141" s="73"/>
      <c r="N141" s="73"/>
      <c r="Q141" s="79"/>
      <c r="R141" s="74"/>
      <c r="S141" s="73"/>
      <c r="T141" s="73"/>
      <c r="U141" s="73"/>
      <c r="V141" s="80"/>
      <c r="W141" s="73"/>
      <c r="X141" s="73"/>
      <c r="Y141" s="73"/>
    </row>
    <row r="142" spans="2:25" ht="17.399999999999999" x14ac:dyDescent="0.3">
      <c r="B142" s="74"/>
      <c r="C142" s="73"/>
      <c r="D142" s="73"/>
      <c r="E142" s="73"/>
      <c r="F142" s="73"/>
      <c r="G142" s="73"/>
      <c r="H142" s="73"/>
      <c r="I142" s="73"/>
      <c r="J142" s="73"/>
      <c r="K142" s="74"/>
      <c r="L142" s="74"/>
      <c r="M142" s="73"/>
      <c r="N142" s="73"/>
      <c r="Q142" s="79"/>
      <c r="R142" s="74"/>
      <c r="S142" s="73"/>
      <c r="T142" s="73"/>
      <c r="U142" s="73"/>
      <c r="V142" s="80"/>
      <c r="W142" s="73"/>
      <c r="X142" s="73"/>
      <c r="Y142" s="73"/>
    </row>
    <row r="143" spans="2:25" ht="17.399999999999999" x14ac:dyDescent="0.3">
      <c r="B143" s="74"/>
      <c r="C143" s="73"/>
      <c r="D143" s="73"/>
      <c r="E143" s="73"/>
      <c r="F143" s="73"/>
      <c r="G143" s="73"/>
      <c r="H143" s="73"/>
      <c r="I143" s="73"/>
      <c r="J143" s="73"/>
      <c r="K143" s="74"/>
      <c r="L143" s="74"/>
      <c r="M143" s="73"/>
      <c r="N143" s="73"/>
      <c r="Q143" s="79"/>
      <c r="R143" s="74"/>
      <c r="S143" s="73"/>
      <c r="T143" s="73"/>
      <c r="U143" s="73"/>
      <c r="V143" s="80"/>
      <c r="W143" s="73"/>
      <c r="X143" s="73"/>
      <c r="Y143" s="73"/>
    </row>
    <row r="144" spans="2:25" ht="17.399999999999999" x14ac:dyDescent="0.3">
      <c r="B144" s="74"/>
      <c r="C144" s="73"/>
      <c r="D144" s="73"/>
      <c r="E144" s="73"/>
      <c r="F144" s="73"/>
      <c r="G144" s="73"/>
      <c r="H144" s="73"/>
      <c r="I144" s="73"/>
      <c r="J144" s="73"/>
      <c r="K144" s="74"/>
      <c r="L144" s="74"/>
      <c r="M144" s="73"/>
      <c r="N144" s="73"/>
      <c r="Q144" s="79"/>
      <c r="R144" s="74"/>
      <c r="S144" s="73"/>
      <c r="T144" s="73"/>
      <c r="U144" s="73"/>
      <c r="V144" s="80"/>
      <c r="W144" s="73"/>
      <c r="X144" s="73"/>
      <c r="Y144" s="73"/>
    </row>
    <row r="145" spans="2:25" ht="17.399999999999999" x14ac:dyDescent="0.3">
      <c r="B145" s="74"/>
      <c r="C145" s="73"/>
      <c r="D145" s="73"/>
      <c r="E145" s="73"/>
      <c r="F145" s="73"/>
      <c r="G145" s="73"/>
      <c r="H145" s="73"/>
      <c r="I145" s="73"/>
      <c r="J145" s="73"/>
      <c r="K145" s="74"/>
      <c r="L145" s="74"/>
      <c r="M145" s="73"/>
      <c r="N145" s="73"/>
      <c r="Q145" s="79"/>
      <c r="R145" s="74"/>
      <c r="S145" s="73"/>
      <c r="T145" s="73"/>
      <c r="U145" s="73"/>
      <c r="V145" s="80"/>
      <c r="W145" s="73"/>
      <c r="X145" s="73"/>
      <c r="Y145" s="73"/>
    </row>
    <row r="146" spans="2:25" ht="17.399999999999999" x14ac:dyDescent="0.3">
      <c r="B146" s="74"/>
      <c r="C146" s="73"/>
      <c r="D146" s="73"/>
      <c r="E146" s="73"/>
      <c r="F146" s="73"/>
      <c r="G146" s="73"/>
      <c r="H146" s="73"/>
      <c r="I146" s="73"/>
      <c r="J146" s="73"/>
      <c r="K146" s="74"/>
      <c r="L146" s="74"/>
      <c r="M146" s="73"/>
      <c r="N146" s="73"/>
      <c r="Q146" s="79"/>
      <c r="R146" s="74"/>
      <c r="S146" s="73"/>
      <c r="T146" s="73"/>
      <c r="U146" s="73"/>
      <c r="V146" s="80"/>
      <c r="W146" s="73"/>
      <c r="X146" s="73"/>
      <c r="Y146" s="73"/>
    </row>
    <row r="147" spans="2:25" ht="17.399999999999999" x14ac:dyDescent="0.3">
      <c r="B147" s="74"/>
      <c r="C147" s="73"/>
      <c r="D147" s="73"/>
      <c r="E147" s="73"/>
      <c r="F147" s="73"/>
      <c r="G147" s="73"/>
      <c r="H147" s="73"/>
      <c r="I147" s="73"/>
      <c r="J147" s="73"/>
      <c r="K147" s="74"/>
      <c r="L147" s="74"/>
      <c r="M147" s="73"/>
      <c r="N147" s="73"/>
      <c r="Q147" s="79"/>
      <c r="R147" s="74"/>
      <c r="S147" s="73"/>
      <c r="T147" s="73"/>
      <c r="U147" s="73"/>
      <c r="V147" s="80"/>
      <c r="W147" s="73"/>
      <c r="X147" s="73"/>
      <c r="Y147" s="73"/>
    </row>
    <row r="148" spans="2:25" ht="17.399999999999999" x14ac:dyDescent="0.3">
      <c r="B148" s="74"/>
      <c r="C148" s="73"/>
      <c r="D148" s="73"/>
      <c r="E148" s="73"/>
      <c r="F148" s="73"/>
      <c r="G148" s="73"/>
      <c r="H148" s="73"/>
      <c r="I148" s="73"/>
      <c r="J148" s="73"/>
      <c r="K148" s="74"/>
      <c r="L148" s="74"/>
      <c r="M148" s="73"/>
      <c r="N148" s="73"/>
      <c r="Q148" s="79"/>
      <c r="R148" s="74"/>
      <c r="S148" s="73"/>
      <c r="T148" s="73"/>
      <c r="U148" s="73"/>
      <c r="V148" s="80"/>
      <c r="W148" s="73"/>
      <c r="X148" s="73"/>
      <c r="Y148" s="73"/>
    </row>
    <row r="149" spans="2:25" ht="17.399999999999999" x14ac:dyDescent="0.3">
      <c r="B149" s="74"/>
      <c r="C149" s="73"/>
      <c r="D149" s="73"/>
      <c r="E149" s="73"/>
      <c r="F149" s="73"/>
      <c r="G149" s="73"/>
      <c r="H149" s="73"/>
      <c r="I149" s="73"/>
      <c r="J149" s="73"/>
      <c r="K149" s="74"/>
      <c r="L149" s="74"/>
      <c r="M149" s="73"/>
      <c r="N149" s="73"/>
      <c r="Q149" s="79"/>
      <c r="R149" s="74"/>
      <c r="S149" s="73"/>
      <c r="T149" s="73"/>
      <c r="U149" s="73"/>
      <c r="V149" s="80"/>
      <c r="W149" s="73"/>
      <c r="X149" s="73"/>
      <c r="Y149" s="73"/>
    </row>
    <row r="150" spans="2:25" ht="17.399999999999999" x14ac:dyDescent="0.3">
      <c r="B150" s="74"/>
      <c r="C150" s="73"/>
      <c r="D150" s="73"/>
      <c r="E150" s="73"/>
      <c r="F150" s="73"/>
      <c r="G150" s="73"/>
      <c r="H150" s="73"/>
      <c r="I150" s="73"/>
      <c r="J150" s="73"/>
      <c r="K150" s="74"/>
      <c r="L150" s="74"/>
      <c r="M150" s="73"/>
      <c r="N150" s="73"/>
      <c r="Q150" s="79"/>
      <c r="R150" s="74"/>
      <c r="S150" s="73"/>
      <c r="T150" s="73"/>
      <c r="U150" s="73"/>
      <c r="V150" s="80"/>
      <c r="W150" s="73"/>
      <c r="X150" s="73"/>
      <c r="Y150" s="73"/>
    </row>
    <row r="151" spans="2:25" ht="17.399999999999999" x14ac:dyDescent="0.3">
      <c r="B151" s="74"/>
      <c r="C151" s="73"/>
      <c r="D151" s="73"/>
      <c r="E151" s="73"/>
      <c r="F151" s="73"/>
      <c r="G151" s="73"/>
      <c r="H151" s="73"/>
      <c r="I151" s="73"/>
      <c r="J151" s="73"/>
      <c r="K151" s="74"/>
      <c r="L151" s="74"/>
      <c r="M151" s="73"/>
      <c r="N151" s="73"/>
      <c r="Q151" s="79"/>
      <c r="R151" s="74"/>
      <c r="S151" s="73"/>
      <c r="T151" s="73"/>
      <c r="U151" s="73"/>
      <c r="V151" s="80"/>
      <c r="W151" s="73"/>
      <c r="X151" s="73"/>
      <c r="Y151" s="73"/>
    </row>
    <row r="152" spans="2:25" ht="17.399999999999999" x14ac:dyDescent="0.3">
      <c r="B152" s="74"/>
      <c r="C152" s="73"/>
      <c r="D152" s="73"/>
      <c r="E152" s="73"/>
      <c r="F152" s="73"/>
      <c r="G152" s="73"/>
      <c r="H152" s="73"/>
      <c r="I152" s="73"/>
      <c r="J152" s="73"/>
      <c r="K152" s="74"/>
      <c r="L152" s="74"/>
      <c r="M152" s="73"/>
      <c r="N152" s="73"/>
      <c r="Q152" s="79"/>
      <c r="R152" s="74"/>
      <c r="S152" s="73"/>
      <c r="T152" s="73"/>
      <c r="U152" s="73"/>
      <c r="V152" s="80"/>
      <c r="W152" s="73"/>
      <c r="X152" s="73"/>
      <c r="Y152" s="73"/>
    </row>
    <row r="153" spans="2:25" ht="17.399999999999999" x14ac:dyDescent="0.3">
      <c r="B153" s="74"/>
      <c r="C153" s="73"/>
      <c r="D153" s="73"/>
      <c r="E153" s="73"/>
      <c r="F153" s="73"/>
      <c r="G153" s="73"/>
      <c r="H153" s="73"/>
      <c r="I153" s="73"/>
      <c r="J153" s="73"/>
      <c r="K153" s="74"/>
      <c r="L153" s="74"/>
      <c r="M153" s="73"/>
      <c r="N153" s="73"/>
      <c r="Q153" s="79"/>
      <c r="R153" s="74"/>
      <c r="S153" s="73"/>
      <c r="T153" s="73"/>
      <c r="U153" s="73"/>
      <c r="V153" s="80"/>
      <c r="W153" s="73"/>
      <c r="X153" s="73"/>
      <c r="Y153" s="73"/>
    </row>
    <row r="154" spans="2:25" ht="17.399999999999999" x14ac:dyDescent="0.3">
      <c r="B154" s="74"/>
      <c r="C154" s="73"/>
      <c r="D154" s="73"/>
      <c r="E154" s="73"/>
      <c r="F154" s="73"/>
      <c r="G154" s="73"/>
      <c r="H154" s="73"/>
      <c r="I154" s="73"/>
      <c r="J154" s="73"/>
      <c r="K154" s="74"/>
      <c r="L154" s="74"/>
      <c r="M154" s="73"/>
      <c r="N154" s="73"/>
      <c r="Q154" s="79"/>
      <c r="R154" s="74"/>
      <c r="S154" s="73"/>
      <c r="T154" s="73"/>
      <c r="U154" s="73"/>
      <c r="V154" s="80"/>
      <c r="W154" s="73"/>
      <c r="X154" s="73"/>
      <c r="Y154" s="73"/>
    </row>
    <row r="155" spans="2:25" ht="17.399999999999999" x14ac:dyDescent="0.3">
      <c r="B155" s="74"/>
      <c r="C155" s="73"/>
      <c r="D155" s="73"/>
      <c r="E155" s="73"/>
      <c r="F155" s="73"/>
      <c r="G155" s="73"/>
      <c r="H155" s="73"/>
      <c r="I155" s="73"/>
      <c r="J155" s="73"/>
      <c r="K155" s="74"/>
      <c r="L155" s="74"/>
      <c r="M155" s="73"/>
      <c r="N155" s="73"/>
      <c r="Q155" s="79"/>
      <c r="R155" s="74"/>
      <c r="S155" s="73"/>
      <c r="T155" s="73"/>
      <c r="U155" s="73"/>
      <c r="V155" s="80"/>
      <c r="W155" s="73"/>
      <c r="X155" s="73"/>
      <c r="Y155" s="73"/>
    </row>
    <row r="156" spans="2:25" ht="17.399999999999999" x14ac:dyDescent="0.3">
      <c r="B156" s="74"/>
      <c r="C156" s="73"/>
      <c r="D156" s="73"/>
      <c r="E156" s="73"/>
      <c r="F156" s="73"/>
      <c r="G156" s="73"/>
      <c r="H156" s="73"/>
      <c r="I156" s="73"/>
      <c r="J156" s="73"/>
      <c r="K156" s="74"/>
      <c r="L156" s="74"/>
      <c r="M156" s="73"/>
      <c r="N156" s="73"/>
      <c r="Q156" s="79"/>
      <c r="R156" s="74"/>
      <c r="S156" s="73"/>
      <c r="T156" s="73"/>
      <c r="U156" s="73"/>
      <c r="V156" s="80"/>
      <c r="W156" s="73"/>
      <c r="X156" s="73"/>
      <c r="Y156" s="73"/>
    </row>
    <row r="157" spans="2:25" ht="17.399999999999999" x14ac:dyDescent="0.3">
      <c r="B157" s="74"/>
      <c r="C157" s="73"/>
      <c r="D157" s="73"/>
      <c r="E157" s="73"/>
      <c r="F157" s="73"/>
      <c r="G157" s="73"/>
      <c r="H157" s="73"/>
      <c r="I157" s="73"/>
      <c r="J157" s="73"/>
      <c r="K157" s="74"/>
      <c r="L157" s="74"/>
      <c r="M157" s="73"/>
      <c r="N157" s="73"/>
      <c r="Q157" s="79"/>
      <c r="R157" s="74"/>
      <c r="S157" s="73"/>
      <c r="T157" s="73"/>
      <c r="U157" s="73"/>
      <c r="V157" s="80"/>
      <c r="W157" s="73"/>
      <c r="X157" s="73"/>
      <c r="Y157" s="73"/>
    </row>
    <row r="158" spans="2:25" ht="17.399999999999999" x14ac:dyDescent="0.3">
      <c r="B158" s="74"/>
      <c r="C158" s="73"/>
      <c r="D158" s="73"/>
      <c r="E158" s="73"/>
      <c r="F158" s="73"/>
      <c r="G158" s="73"/>
      <c r="H158" s="73"/>
      <c r="I158" s="73"/>
      <c r="J158" s="73"/>
      <c r="K158" s="74"/>
      <c r="L158" s="74"/>
      <c r="M158" s="73"/>
      <c r="N158" s="73"/>
      <c r="Q158" s="79"/>
      <c r="R158" s="74"/>
      <c r="S158" s="73"/>
      <c r="T158" s="73"/>
      <c r="U158" s="73"/>
      <c r="V158" s="80"/>
      <c r="W158" s="73"/>
      <c r="X158" s="73"/>
      <c r="Y158" s="73"/>
    </row>
    <row r="159" spans="2:25" ht="17.399999999999999" x14ac:dyDescent="0.3">
      <c r="B159" s="74"/>
      <c r="C159" s="73"/>
      <c r="D159" s="73"/>
      <c r="E159" s="73"/>
      <c r="F159" s="73"/>
      <c r="G159" s="73"/>
      <c r="H159" s="73"/>
      <c r="I159" s="73"/>
      <c r="J159" s="73"/>
      <c r="K159" s="74"/>
      <c r="L159" s="74"/>
      <c r="M159" s="73"/>
      <c r="N159" s="73"/>
      <c r="Q159" s="79"/>
      <c r="R159" s="74"/>
      <c r="S159" s="73"/>
      <c r="T159" s="73"/>
      <c r="U159" s="73"/>
      <c r="V159" s="80"/>
      <c r="W159" s="73"/>
      <c r="X159" s="73"/>
      <c r="Y159" s="73"/>
    </row>
    <row r="160" spans="2:25" ht="17.399999999999999" x14ac:dyDescent="0.3">
      <c r="B160" s="74"/>
      <c r="C160" s="73"/>
      <c r="D160" s="73"/>
      <c r="E160" s="73"/>
      <c r="F160" s="73"/>
      <c r="G160" s="73"/>
      <c r="H160" s="73"/>
      <c r="I160" s="73"/>
      <c r="J160" s="73"/>
      <c r="K160" s="74"/>
      <c r="L160" s="74"/>
      <c r="M160" s="73"/>
      <c r="N160" s="73"/>
      <c r="Q160" s="79"/>
      <c r="R160" s="74"/>
      <c r="S160" s="73"/>
      <c r="T160" s="73"/>
      <c r="U160" s="73"/>
      <c r="V160" s="80"/>
      <c r="W160" s="73"/>
      <c r="X160" s="73"/>
      <c r="Y160" s="73"/>
    </row>
    <row r="161" spans="2:25" ht="17.399999999999999" x14ac:dyDescent="0.3">
      <c r="B161" s="74"/>
      <c r="C161" s="73"/>
      <c r="D161" s="73"/>
      <c r="E161" s="73"/>
      <c r="F161" s="73"/>
      <c r="G161" s="73"/>
      <c r="H161" s="73"/>
      <c r="I161" s="73"/>
      <c r="J161" s="73"/>
      <c r="K161" s="74"/>
      <c r="L161" s="74"/>
      <c r="M161" s="73"/>
      <c r="N161" s="73"/>
      <c r="Q161" s="79"/>
      <c r="R161" s="74"/>
      <c r="S161" s="73"/>
      <c r="T161" s="73"/>
      <c r="U161" s="73"/>
      <c r="V161" s="80"/>
      <c r="W161" s="73"/>
      <c r="X161" s="73"/>
      <c r="Y161" s="73"/>
    </row>
    <row r="162" spans="2:25" ht="17.399999999999999" x14ac:dyDescent="0.3">
      <c r="B162" s="74"/>
      <c r="C162" s="73"/>
      <c r="D162" s="73"/>
      <c r="E162" s="73"/>
      <c r="F162" s="73"/>
      <c r="G162" s="73"/>
      <c r="H162" s="73"/>
      <c r="I162" s="73"/>
      <c r="J162" s="73"/>
      <c r="K162" s="74"/>
      <c r="L162" s="74"/>
      <c r="M162" s="73"/>
      <c r="N162" s="73"/>
      <c r="Q162" s="79"/>
      <c r="R162" s="74"/>
      <c r="S162" s="73"/>
      <c r="T162" s="73"/>
      <c r="U162" s="73"/>
      <c r="V162" s="80"/>
      <c r="W162" s="73"/>
      <c r="X162" s="73"/>
      <c r="Y162" s="73"/>
    </row>
    <row r="163" spans="2:25" ht="17.399999999999999" x14ac:dyDescent="0.3">
      <c r="B163" s="74"/>
      <c r="C163" s="73"/>
      <c r="D163" s="73"/>
      <c r="E163" s="73"/>
      <c r="F163" s="73"/>
      <c r="G163" s="73"/>
      <c r="H163" s="73"/>
      <c r="I163" s="73"/>
      <c r="J163" s="73"/>
      <c r="K163" s="74"/>
      <c r="L163" s="74"/>
      <c r="M163" s="73"/>
      <c r="N163" s="73"/>
      <c r="Q163" s="79"/>
      <c r="R163" s="74"/>
      <c r="S163" s="73"/>
      <c r="T163" s="73"/>
      <c r="U163" s="73"/>
      <c r="V163" s="80"/>
      <c r="W163" s="73"/>
      <c r="X163" s="73"/>
      <c r="Y163" s="73"/>
    </row>
    <row r="164" spans="2:25" ht="17.399999999999999" x14ac:dyDescent="0.3">
      <c r="B164" s="74"/>
      <c r="C164" s="73"/>
      <c r="D164" s="73"/>
      <c r="E164" s="73"/>
      <c r="F164" s="73"/>
      <c r="G164" s="73"/>
      <c r="H164" s="73"/>
      <c r="I164" s="73"/>
      <c r="J164" s="73"/>
      <c r="K164" s="74"/>
      <c r="L164" s="74"/>
      <c r="M164" s="73"/>
      <c r="N164" s="73"/>
      <c r="Q164" s="79"/>
      <c r="R164" s="74"/>
      <c r="S164" s="73"/>
      <c r="T164" s="73"/>
      <c r="U164" s="73"/>
      <c r="V164" s="80"/>
      <c r="W164" s="73"/>
      <c r="X164" s="73"/>
      <c r="Y164" s="73"/>
    </row>
    <row r="165" spans="2:25" ht="17.399999999999999" x14ac:dyDescent="0.3">
      <c r="B165" s="74"/>
      <c r="C165" s="73"/>
      <c r="D165" s="73"/>
      <c r="E165" s="73"/>
      <c r="F165" s="73"/>
      <c r="G165" s="73"/>
      <c r="H165" s="73"/>
      <c r="I165" s="73"/>
      <c r="J165" s="73"/>
      <c r="K165" s="74"/>
      <c r="L165" s="74"/>
      <c r="M165" s="73"/>
      <c r="N165" s="73"/>
      <c r="Q165" s="79"/>
      <c r="R165" s="74"/>
      <c r="S165" s="73"/>
      <c r="T165" s="73"/>
      <c r="U165" s="73"/>
      <c r="V165" s="80"/>
      <c r="W165" s="73"/>
      <c r="X165" s="73"/>
      <c r="Y165" s="73"/>
    </row>
  </sheetData>
  <mergeCells count="22">
    <mergeCell ref="AD3:AD4"/>
    <mergeCell ref="AC3:AC4"/>
    <mergeCell ref="AA2:AD2"/>
    <mergeCell ref="C2:K2"/>
    <mergeCell ref="M2:O2"/>
    <mergeCell ref="E3:J3"/>
    <mergeCell ref="V2:V5"/>
    <mergeCell ref="W2:Y2"/>
    <mergeCell ref="W3:X5"/>
    <mergeCell ref="Y3:Y5"/>
    <mergeCell ref="S2:U2"/>
    <mergeCell ref="Q4:R4"/>
    <mergeCell ref="K4:K5"/>
    <mergeCell ref="S4:S5"/>
    <mergeCell ref="T4:T5"/>
    <mergeCell ref="O4:O5"/>
    <mergeCell ref="AA3:AA4"/>
    <mergeCell ref="AB3:AB4"/>
    <mergeCell ref="S3:T3"/>
    <mergeCell ref="U3:U5"/>
    <mergeCell ref="P4:P5"/>
    <mergeCell ref="M3:P3"/>
  </mergeCells>
  <phoneticPr fontId="3" type="noConversion"/>
  <conditionalFormatting sqref="S6:Y105 Y106 B6:K105">
    <cfRule type="expression" dxfId="0" priority="9">
      <formula>$B6&lt;&gt;""</formula>
    </cfRule>
  </conditionalFormatting>
  <conditionalFormatting sqref="K6:K105">
    <cfRule type="expression" dxfId="10" priority="2">
      <formula>$B6&lt;&gt;""</formula>
    </cfRule>
  </conditionalFormatting>
  <conditionalFormatting sqref="M6:N105">
    <cfRule type="expression" dxfId="9" priority="6">
      <formula>$B6&lt;&gt;""</formula>
    </cfRule>
  </conditionalFormatting>
  <conditionalFormatting sqref="O6:P105">
    <cfRule type="expression" dxfId="8" priority="7">
      <formula>$B6&lt;&gt;""</formula>
    </cfRule>
  </conditionalFormatting>
  <conditionalFormatting sqref="S6:V105">
    <cfRule type="expression" dxfId="7" priority="1">
      <formula>OR(S6&lt;5, S6="c", S6="n/a")</formula>
    </cfRule>
  </conditionalFormatting>
  <hyperlinks>
    <hyperlink ref="D6" r:id="rId1" xr:uid="{802E524B-D45D-4A33-A55C-7547DF1AF00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G113"/>
  <sheetViews>
    <sheetView zoomScale="70" zoomScaleNormal="70" workbookViewId="0">
      <selection activeCell="AD7" sqref="AD7"/>
    </sheetView>
  </sheetViews>
  <sheetFormatPr defaultRowHeight="15.6" x14ac:dyDescent="0.3"/>
  <cols>
    <col min="1" max="1" width="4.109375" style="37" customWidth="1"/>
    <col min="2" max="2" width="5.77734375" style="42" customWidth="1"/>
    <col min="3" max="3" width="23.6640625" style="40" customWidth="1"/>
    <col min="4" max="4" width="6.33203125" style="40" customWidth="1"/>
    <col min="5" max="10" width="5.21875" style="37" customWidth="1"/>
    <col min="11" max="11" width="6.21875" style="37" customWidth="1"/>
    <col min="12" max="12" width="8.88671875" style="37"/>
    <col min="13" max="13" width="5.44140625" style="41" customWidth="1"/>
    <col min="14" max="14" width="28.109375" style="39" customWidth="1"/>
    <col min="15" max="28" width="6.44140625" style="37" customWidth="1"/>
    <col min="29" max="29" width="7.5546875" style="37" customWidth="1"/>
    <col min="30" max="30" width="8" style="37" customWidth="1"/>
    <col min="31" max="31" width="8.88671875" style="37"/>
    <col min="32" max="32" width="9.21875" style="37" bestFit="1" customWidth="1"/>
    <col min="33" max="16384" width="8.88671875" style="37"/>
  </cols>
  <sheetData>
    <row r="2" spans="2:31" ht="24.6" x14ac:dyDescent="0.25">
      <c r="B2" s="160" t="s">
        <v>68</v>
      </c>
      <c r="C2" s="160"/>
      <c r="D2" s="160"/>
      <c r="E2" s="160"/>
      <c r="F2" s="160"/>
      <c r="G2" s="160"/>
      <c r="H2" s="160"/>
      <c r="I2" s="160"/>
      <c r="J2" s="160"/>
      <c r="M2" s="160" t="s">
        <v>69</v>
      </c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</row>
    <row r="3" spans="2:31" ht="18.600000000000001" thickBot="1" x14ac:dyDescent="0.4">
      <c r="B3" s="34"/>
      <c r="C3" s="52"/>
      <c r="D3" s="52"/>
      <c r="E3" s="55"/>
      <c r="F3" s="55"/>
      <c r="G3" s="55"/>
      <c r="H3" s="55"/>
      <c r="I3" s="55"/>
      <c r="J3" s="55"/>
      <c r="K3" s="55"/>
      <c r="L3" s="55"/>
      <c r="M3" s="34"/>
      <c r="N3" s="52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</row>
    <row r="4" spans="2:31" ht="18.75" customHeight="1" thickTop="1" x14ac:dyDescent="0.35">
      <c r="B4" s="34"/>
      <c r="C4" s="122" t="s">
        <v>72</v>
      </c>
      <c r="D4" s="123">
        <v>1</v>
      </c>
      <c r="E4" s="55"/>
      <c r="F4" s="55"/>
      <c r="G4" s="55"/>
      <c r="H4" s="55"/>
      <c r="I4" s="55"/>
      <c r="J4" s="55"/>
      <c r="K4" s="55"/>
      <c r="L4" s="55"/>
      <c r="M4" s="56"/>
      <c r="N4" s="57"/>
      <c r="O4" s="163" t="s">
        <v>46</v>
      </c>
      <c r="P4" s="164"/>
      <c r="Q4" s="163" t="s">
        <v>47</v>
      </c>
      <c r="R4" s="164"/>
      <c r="S4" s="163" t="s">
        <v>48</v>
      </c>
      <c r="T4" s="164"/>
      <c r="U4" s="163" t="s">
        <v>49</v>
      </c>
      <c r="V4" s="164"/>
      <c r="W4" s="163" t="s">
        <v>50</v>
      </c>
      <c r="X4" s="164"/>
      <c r="Y4" s="163" t="s">
        <v>51</v>
      </c>
      <c r="Z4" s="164"/>
      <c r="AA4" s="163" t="s">
        <v>52</v>
      </c>
      <c r="AB4" s="164"/>
      <c r="AC4" s="167" t="s">
        <v>59</v>
      </c>
      <c r="AD4" s="168"/>
    </row>
    <row r="5" spans="2:31" ht="33.6" customHeight="1" thickBot="1" x14ac:dyDescent="0.4">
      <c r="B5" s="34"/>
      <c r="C5" s="52"/>
      <c r="D5" s="58"/>
      <c r="E5" s="126" t="s">
        <v>46</v>
      </c>
      <c r="F5" s="126" t="s">
        <v>47</v>
      </c>
      <c r="G5" s="126" t="s">
        <v>48</v>
      </c>
      <c r="H5" s="126" t="s">
        <v>49</v>
      </c>
      <c r="I5" s="126" t="s">
        <v>50</v>
      </c>
      <c r="J5" s="126" t="s">
        <v>51</v>
      </c>
      <c r="K5" s="55"/>
      <c r="L5" s="55"/>
      <c r="M5" s="59"/>
      <c r="N5" s="60" t="s">
        <v>60</v>
      </c>
      <c r="O5" s="165" t="s">
        <v>61</v>
      </c>
      <c r="P5" s="166"/>
      <c r="Q5" s="161" t="s">
        <v>62</v>
      </c>
      <c r="R5" s="162"/>
      <c r="S5" s="161" t="s">
        <v>63</v>
      </c>
      <c r="T5" s="162"/>
      <c r="U5" s="161" t="s">
        <v>64</v>
      </c>
      <c r="V5" s="162"/>
      <c r="W5" s="161" t="s">
        <v>65</v>
      </c>
      <c r="X5" s="162"/>
      <c r="Y5" s="161" t="s">
        <v>66</v>
      </c>
      <c r="Z5" s="162"/>
      <c r="AA5" s="161" t="s">
        <v>67</v>
      </c>
      <c r="AB5" s="162"/>
      <c r="AC5" s="169"/>
      <c r="AD5" s="170"/>
    </row>
    <row r="6" spans="2:31" ht="92.4" customHeight="1" thickTop="1" thickBot="1" x14ac:dyDescent="0.4">
      <c r="B6" s="61" t="s">
        <v>0</v>
      </c>
      <c r="C6" s="62" t="s">
        <v>1</v>
      </c>
      <c r="D6" s="63" t="s">
        <v>53</v>
      </c>
      <c r="E6" s="64" t="s">
        <v>101</v>
      </c>
      <c r="F6" s="65" t="s">
        <v>54</v>
      </c>
      <c r="G6" s="65" t="s">
        <v>55</v>
      </c>
      <c r="H6" s="65" t="s">
        <v>56</v>
      </c>
      <c r="I6" s="65" t="s">
        <v>57</v>
      </c>
      <c r="J6" s="65" t="s">
        <v>58</v>
      </c>
      <c r="K6" s="119" t="s">
        <v>83</v>
      </c>
      <c r="L6" s="55"/>
      <c r="M6" s="61" t="s">
        <v>0</v>
      </c>
      <c r="N6" s="183" t="s">
        <v>1</v>
      </c>
      <c r="O6" s="184" t="s">
        <v>13</v>
      </c>
      <c r="P6" s="185" t="s">
        <v>70</v>
      </c>
      <c r="Q6" s="184" t="s">
        <v>13</v>
      </c>
      <c r="R6" s="185" t="s">
        <v>70</v>
      </c>
      <c r="S6" s="184" t="s">
        <v>13</v>
      </c>
      <c r="T6" s="185" t="s">
        <v>70</v>
      </c>
      <c r="U6" s="184" t="s">
        <v>13</v>
      </c>
      <c r="V6" s="185" t="s">
        <v>70</v>
      </c>
      <c r="W6" s="184" t="s">
        <v>13</v>
      </c>
      <c r="X6" s="185" t="s">
        <v>70</v>
      </c>
      <c r="Y6" s="184" t="s">
        <v>13</v>
      </c>
      <c r="Z6" s="185" t="s">
        <v>70</v>
      </c>
      <c r="AA6" s="184" t="s">
        <v>13</v>
      </c>
      <c r="AB6" s="185" t="s">
        <v>70</v>
      </c>
      <c r="AC6" s="66" t="s">
        <v>71</v>
      </c>
      <c r="AD6" s="67" t="s">
        <v>73</v>
      </c>
    </row>
    <row r="7" spans="2:31" ht="21" thickTop="1" x14ac:dyDescent="0.35">
      <c r="B7" s="34">
        <f>IF(NOT(ISBLANK(Curs!B6)),Curs!B6,"")</f>
        <v>1</v>
      </c>
      <c r="C7" s="68" t="str">
        <f>IF(NOT(ISBLANK(Curs!C6)),Curs!C6,"")</f>
        <v>Nume, Prenume</v>
      </c>
      <c r="D7" s="34"/>
      <c r="E7" s="33"/>
      <c r="F7" s="33"/>
      <c r="G7" s="33"/>
      <c r="H7" s="33"/>
      <c r="I7" s="33"/>
      <c r="J7" s="33"/>
      <c r="K7" s="34" t="str">
        <f t="shared" ref="K7:K38" si="0">IF(C7&lt;&gt;"",IF(COUNTIF(E7:J7,"a")&lt;&gt;0,COUNTIF(E7:J7,"a")*2,""),"")</f>
        <v/>
      </c>
      <c r="L7" s="55"/>
      <c r="M7" s="69">
        <f t="shared" ref="M7:M38" si="1">IF(NOT(ISBLANK(B7)),B7,"")</f>
        <v>1</v>
      </c>
      <c r="N7" s="70" t="str">
        <f t="shared" ref="N7:N38" si="2">IF(NOT(ISBLANK(C7)),C7,"")</f>
        <v>Nume, Prenume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121"/>
      <c r="AD7" s="124" t="str">
        <f>IF(NOT(ISBLANK(Curs!C6)),IFERROR(SUM(O7,Q7,S7,U7,W7,Y7,AA7)/COUNT(O7,Q7,S7,U7,W7,Y7,AA7),""),"")</f>
        <v/>
      </c>
      <c r="AE7" s="52"/>
    </row>
    <row r="8" spans="2:31" ht="20.399999999999999" x14ac:dyDescent="0.35">
      <c r="B8" s="34" t="str">
        <f>IF(NOT(ISBLANK(Curs!B7)),Curs!B7,"")</f>
        <v/>
      </c>
      <c r="C8" s="68" t="str">
        <f>IF(NOT(ISBLANK(Curs!C7)),Curs!C7,"")</f>
        <v/>
      </c>
      <c r="D8" s="34"/>
      <c r="E8" s="33"/>
      <c r="F8" s="33"/>
      <c r="G8" s="33"/>
      <c r="H8" s="33"/>
      <c r="I8" s="33"/>
      <c r="J8" s="33"/>
      <c r="K8" s="34" t="str">
        <f t="shared" si="0"/>
        <v/>
      </c>
      <c r="L8" s="55"/>
      <c r="M8" s="69" t="str">
        <f t="shared" si="1"/>
        <v/>
      </c>
      <c r="N8" s="70" t="str">
        <f t="shared" si="2"/>
        <v/>
      </c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121"/>
      <c r="AD8" s="124" t="str">
        <f>IF(NOT(ISBLANK(Curs!C7)),IFERROR(SUM(O8,Q8,S8,U8,W8,Y8,AA8)/COUNT(O8,Q8,S8,U8,W8,Y8,AA8),""),"")</f>
        <v/>
      </c>
      <c r="AE8" s="53"/>
    </row>
    <row r="9" spans="2:31" ht="20.399999999999999" x14ac:dyDescent="0.35">
      <c r="B9" s="34" t="str">
        <f>IF(NOT(ISBLANK(Curs!B8)),Curs!B8,"")</f>
        <v/>
      </c>
      <c r="C9" s="68" t="str">
        <f>IF(NOT(ISBLANK(Curs!C8)),Curs!C8,"")</f>
        <v/>
      </c>
      <c r="D9" s="34"/>
      <c r="E9" s="33"/>
      <c r="F9" s="33"/>
      <c r="G9" s="33"/>
      <c r="H9" s="33"/>
      <c r="I9" s="33"/>
      <c r="J9" s="33"/>
      <c r="K9" s="34" t="str">
        <f t="shared" si="0"/>
        <v/>
      </c>
      <c r="L9" s="55"/>
      <c r="M9" s="69" t="str">
        <f t="shared" si="1"/>
        <v/>
      </c>
      <c r="N9" s="70" t="str">
        <f t="shared" si="2"/>
        <v/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121"/>
      <c r="AD9" s="124" t="str">
        <f>IF(NOT(ISBLANK(Curs!C8)),IFERROR(SUM(O9,Q9,S9,U9,W9,Y9,AA9)/COUNT(O9,Q9,S9,U9,W9,Y9,AA9),""),"")</f>
        <v/>
      </c>
      <c r="AE9" s="52"/>
    </row>
    <row r="10" spans="2:31" ht="20.399999999999999" x14ac:dyDescent="0.35">
      <c r="B10" s="34" t="str">
        <f>IF(NOT(ISBLANK(Curs!B9)),Curs!B9,"")</f>
        <v/>
      </c>
      <c r="C10" s="68" t="str">
        <f>IF(NOT(ISBLANK(Curs!C9)),Curs!C9,"")</f>
        <v/>
      </c>
      <c r="D10" s="34"/>
      <c r="E10" s="33"/>
      <c r="F10" s="33"/>
      <c r="G10" s="33"/>
      <c r="H10" s="33"/>
      <c r="I10" s="33"/>
      <c r="J10" s="33"/>
      <c r="K10" s="34" t="str">
        <f t="shared" si="0"/>
        <v/>
      </c>
      <c r="L10" s="55"/>
      <c r="M10" s="69" t="str">
        <f t="shared" si="1"/>
        <v/>
      </c>
      <c r="N10" s="70" t="str">
        <f t="shared" si="2"/>
        <v/>
      </c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121"/>
      <c r="AD10" s="124" t="str">
        <f>IF(NOT(ISBLANK(Curs!C9)),IFERROR(SUM(O10,Q10,S10,U10,W10,Y10,AA10)/COUNT(O10,Q10,S10,U10,W10,Y10,AA10),""),"")</f>
        <v/>
      </c>
      <c r="AE10" s="52"/>
    </row>
    <row r="11" spans="2:31" ht="20.399999999999999" x14ac:dyDescent="0.35">
      <c r="B11" s="34" t="str">
        <f>IF(NOT(ISBLANK(Curs!B10)),Curs!B10,"")</f>
        <v/>
      </c>
      <c r="C11" s="68" t="str">
        <f>IF(NOT(ISBLANK(Curs!C10)),Curs!C10,"")</f>
        <v/>
      </c>
      <c r="D11" s="34"/>
      <c r="E11" s="33"/>
      <c r="F11" s="33"/>
      <c r="G11" s="33"/>
      <c r="H11" s="33"/>
      <c r="I11" s="33"/>
      <c r="J11" s="33"/>
      <c r="K11" s="34" t="str">
        <f t="shared" si="0"/>
        <v/>
      </c>
      <c r="L11" s="55"/>
      <c r="M11" s="69" t="str">
        <f t="shared" si="1"/>
        <v/>
      </c>
      <c r="N11" s="70" t="str">
        <f t="shared" si="2"/>
        <v/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121" t="str">
        <f>IF(NOT(ISBLANK(Curs!C10)),IF(ABS(P11+R11+T11+V11+X11+Z11+AB11)&lt;&gt;0,ABS(P11+R11+T11+V11+X11+Z11+AB11),""),"")</f>
        <v/>
      </c>
      <c r="AD11" s="124" t="str">
        <f>IF(NOT(ISBLANK(Curs!C10)),IFERROR(SUM(O11,Q11,S11,U11,W11,Y11,AA11)/COUNT(O11,Q11,S11,U11,W11,Y11,AA11),""),"")</f>
        <v/>
      </c>
      <c r="AE11" s="52"/>
    </row>
    <row r="12" spans="2:31" ht="20.399999999999999" x14ac:dyDescent="0.35">
      <c r="B12" s="34" t="str">
        <f>IF(NOT(ISBLANK(Curs!B11)),Curs!B11,"")</f>
        <v/>
      </c>
      <c r="C12" s="68" t="str">
        <f>IF(NOT(ISBLANK(Curs!C11)),Curs!C11,"")</f>
        <v/>
      </c>
      <c r="D12" s="34"/>
      <c r="E12" s="33"/>
      <c r="F12" s="33"/>
      <c r="G12" s="33"/>
      <c r="H12" s="33"/>
      <c r="I12" s="33"/>
      <c r="J12" s="33"/>
      <c r="K12" s="34" t="str">
        <f t="shared" si="0"/>
        <v/>
      </c>
      <c r="L12" s="55"/>
      <c r="M12" s="69" t="str">
        <f t="shared" si="1"/>
        <v/>
      </c>
      <c r="N12" s="70" t="str">
        <f t="shared" si="2"/>
        <v/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121" t="str">
        <f>IF(NOT(ISBLANK(Curs!C11)),IF(ABS(P12+R12+T12+V12+X12+Z12+AB12)&lt;&gt;0,ABS(P12+R12+T12+V12+X12+Z12+AB12),""),"")</f>
        <v/>
      </c>
      <c r="AD12" s="124" t="str">
        <f>IF(NOT(ISBLANK(Curs!C11)),IFERROR(SUM(O12,Q12,S12,U12,W12,Y12,AA12)/COUNT(O12,Q12,S12,U12,W12,Y12,AA12),""),"")</f>
        <v/>
      </c>
      <c r="AE12" s="52"/>
    </row>
    <row r="13" spans="2:31" ht="20.399999999999999" x14ac:dyDescent="0.35">
      <c r="B13" s="34" t="str">
        <f>IF(NOT(ISBLANK(Curs!B12)),Curs!B12,"")</f>
        <v/>
      </c>
      <c r="C13" s="68" t="str">
        <f>IF(NOT(ISBLANK(Curs!C12)),Curs!C12,"")</f>
        <v/>
      </c>
      <c r="D13" s="34"/>
      <c r="E13" s="33"/>
      <c r="F13" s="33"/>
      <c r="G13" s="33"/>
      <c r="H13" s="33"/>
      <c r="I13" s="33"/>
      <c r="J13" s="33"/>
      <c r="K13" s="34" t="str">
        <f t="shared" si="0"/>
        <v/>
      </c>
      <c r="L13" s="55"/>
      <c r="M13" s="69" t="str">
        <f t="shared" si="1"/>
        <v/>
      </c>
      <c r="N13" s="70" t="str">
        <f t="shared" si="2"/>
        <v/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121" t="str">
        <f>IF(NOT(ISBLANK(Curs!C12)),IF(ABS(P13+R13+T13+V13+X13+Z13+AB13)&lt;&gt;0,ABS(P13+R13+T13+V13+X13+Z13+AB13),""),"")</f>
        <v/>
      </c>
      <c r="AD13" s="124" t="str">
        <f>IF(NOT(ISBLANK(Curs!C12)),IFERROR(SUM(O13,Q13,S13,U13,W13,Y13,AA13)/COUNT(O13,Q13,S13,U13,W13,Y13,AA13),""),"")</f>
        <v/>
      </c>
      <c r="AE13" s="52"/>
    </row>
    <row r="14" spans="2:31" ht="20.399999999999999" x14ac:dyDescent="0.35">
      <c r="B14" s="34" t="str">
        <f>IF(NOT(ISBLANK(Curs!B13)),Curs!B13,"")</f>
        <v/>
      </c>
      <c r="C14" s="68" t="str">
        <f>IF(NOT(ISBLANK(Curs!C13)),Curs!C13,"")</f>
        <v/>
      </c>
      <c r="D14" s="34"/>
      <c r="E14" s="33"/>
      <c r="F14" s="33"/>
      <c r="G14" s="33"/>
      <c r="H14" s="33"/>
      <c r="I14" s="33"/>
      <c r="J14" s="33"/>
      <c r="K14" s="34" t="str">
        <f t="shared" si="0"/>
        <v/>
      </c>
      <c r="L14" s="55"/>
      <c r="M14" s="69" t="str">
        <f t="shared" si="1"/>
        <v/>
      </c>
      <c r="N14" s="70" t="str">
        <f t="shared" si="2"/>
        <v/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121" t="str">
        <f>IF(NOT(ISBLANK(Curs!C13)),IF(ABS(P14+R14+T14+V14+X14+Z14+AB14)&lt;&gt;0,ABS(P14+R14+T14+V14+X14+Z14+AB14),""),"")</f>
        <v/>
      </c>
      <c r="AD14" s="124" t="str">
        <f>IF(NOT(ISBLANK(Curs!C13)),IFERROR(SUM(O14,Q14,S14,U14,W14,Y14,AA14)/COUNT(O14,Q14,S14,U14,W14,Y14,AA14),""),"")</f>
        <v/>
      </c>
      <c r="AE14" s="52"/>
    </row>
    <row r="15" spans="2:31" ht="20.399999999999999" x14ac:dyDescent="0.35">
      <c r="B15" s="34" t="str">
        <f>IF(NOT(ISBLANK(Curs!B14)),Curs!B14,"")</f>
        <v/>
      </c>
      <c r="C15" s="68" t="str">
        <f>IF(NOT(ISBLANK(Curs!C14)),Curs!C14,"")</f>
        <v/>
      </c>
      <c r="D15" s="34"/>
      <c r="E15" s="33"/>
      <c r="F15" s="33"/>
      <c r="G15" s="33"/>
      <c r="H15" s="33"/>
      <c r="I15" s="33"/>
      <c r="J15" s="33"/>
      <c r="K15" s="34" t="str">
        <f t="shared" si="0"/>
        <v/>
      </c>
      <c r="L15" s="55"/>
      <c r="M15" s="69" t="str">
        <f t="shared" si="1"/>
        <v/>
      </c>
      <c r="N15" s="70" t="str">
        <f t="shared" si="2"/>
        <v/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121" t="str">
        <f>IF(NOT(ISBLANK(Curs!C14)),IF(ABS(P15+R15+T15+V15+X15+Z15+AB15)&lt;&gt;0,ABS(P15+R15+T15+V15+X15+Z15+AB15),""),"")</f>
        <v/>
      </c>
      <c r="AD15" s="124" t="str">
        <f>IF(NOT(ISBLANK(Curs!C14)),IFERROR(SUM(O15,Q15,S15,U15,W15,Y15,AA15)/COUNT(O15,Q15,S15,U15,W15,Y15,AA15),""),"")</f>
        <v/>
      </c>
      <c r="AE15" s="52"/>
    </row>
    <row r="16" spans="2:31" ht="20.399999999999999" x14ac:dyDescent="0.35">
      <c r="B16" s="34" t="str">
        <f>IF(NOT(ISBLANK(Curs!B15)),Curs!B15,"")</f>
        <v/>
      </c>
      <c r="C16" s="68" t="str">
        <f>IF(NOT(ISBLANK(Curs!C15)),Curs!C15,"")</f>
        <v/>
      </c>
      <c r="D16" s="34"/>
      <c r="E16" s="33"/>
      <c r="F16" s="33"/>
      <c r="G16" s="33"/>
      <c r="H16" s="33"/>
      <c r="I16" s="33"/>
      <c r="J16" s="33"/>
      <c r="K16" s="34" t="str">
        <f t="shared" si="0"/>
        <v/>
      </c>
      <c r="L16" s="55"/>
      <c r="M16" s="69" t="str">
        <f t="shared" si="1"/>
        <v/>
      </c>
      <c r="N16" s="70" t="str">
        <f t="shared" si="2"/>
        <v/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121" t="str">
        <f>IF(NOT(ISBLANK(Curs!C15)),IF(ABS(P16+R16+T16+V16+X16+Z16+AB16)&lt;&gt;0,ABS(P16+R16+T16+V16+X16+Z16+AB16),""),"")</f>
        <v/>
      </c>
      <c r="AD16" s="124" t="str">
        <f>IF(NOT(ISBLANK(Curs!C15)),IFERROR(SUM(O16,Q16,S16,U16,W16,Y16,AA16)/COUNT(O16,Q16,S16,U16,W16,Y16,AA16),""),"")</f>
        <v/>
      </c>
      <c r="AE16" s="52"/>
    </row>
    <row r="17" spans="2:31" ht="20.399999999999999" x14ac:dyDescent="0.35">
      <c r="B17" s="34" t="str">
        <f>IF(NOT(ISBLANK(Curs!B16)),Curs!B16,"")</f>
        <v/>
      </c>
      <c r="C17" s="68" t="str">
        <f>IF(NOT(ISBLANK(Curs!C16)),Curs!C16,"")</f>
        <v/>
      </c>
      <c r="D17" s="34"/>
      <c r="E17" s="33"/>
      <c r="F17" s="33"/>
      <c r="G17" s="33"/>
      <c r="H17" s="33"/>
      <c r="I17" s="33"/>
      <c r="J17" s="33"/>
      <c r="K17" s="34" t="str">
        <f t="shared" si="0"/>
        <v/>
      </c>
      <c r="L17" s="55"/>
      <c r="M17" s="69" t="str">
        <f t="shared" si="1"/>
        <v/>
      </c>
      <c r="N17" s="70" t="str">
        <f t="shared" si="2"/>
        <v/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121" t="str">
        <f>IF(NOT(ISBLANK(Curs!C16)),IF(ABS(P17+R17+T17+V17+X17+Z17+AB17)&lt;&gt;0,ABS(P17+R17+T17+V17+X17+Z17+AB17),""),"")</f>
        <v/>
      </c>
      <c r="AD17" s="124" t="str">
        <f>IF(NOT(ISBLANK(Curs!C16)),IFERROR(SUM(O17,Q17,S17,U17,W17,Y17,AA17)/COUNT(O17,Q17,S17,U17,W17,Y17,AA17),""),"")</f>
        <v/>
      </c>
      <c r="AE17" s="52"/>
    </row>
    <row r="18" spans="2:31" ht="20.399999999999999" x14ac:dyDescent="0.35">
      <c r="B18" s="34" t="str">
        <f>IF(NOT(ISBLANK(Curs!B17)),Curs!B17,"")</f>
        <v/>
      </c>
      <c r="C18" s="68" t="str">
        <f>IF(NOT(ISBLANK(Curs!C17)),Curs!C17,"")</f>
        <v/>
      </c>
      <c r="D18" s="34"/>
      <c r="E18" s="33"/>
      <c r="F18" s="33"/>
      <c r="G18" s="33"/>
      <c r="H18" s="33"/>
      <c r="I18" s="33"/>
      <c r="J18" s="33"/>
      <c r="K18" s="34" t="str">
        <f t="shared" si="0"/>
        <v/>
      </c>
      <c r="L18" s="55"/>
      <c r="M18" s="69" t="str">
        <f t="shared" si="1"/>
        <v/>
      </c>
      <c r="N18" s="70" t="str">
        <f t="shared" si="2"/>
        <v/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121" t="str">
        <f>IF(NOT(ISBLANK(Curs!C17)),IF(ABS(P18+R18+T18+V18+X18+Z18+AB18)&lt;&gt;0,ABS(P18+R18+T18+V18+X18+Z18+AB18),""),"")</f>
        <v/>
      </c>
      <c r="AD18" s="124" t="str">
        <f>IF(NOT(ISBLANK(Curs!C17)),IFERROR(SUM(O18,Q18,S18,U18,W18,Y18,AA18)/COUNT(O18,Q18,S18,U18,W18,Y18,AA18),""),"")</f>
        <v/>
      </c>
      <c r="AE18" s="52"/>
    </row>
    <row r="19" spans="2:31" ht="20.399999999999999" x14ac:dyDescent="0.35">
      <c r="B19" s="34" t="str">
        <f>IF(NOT(ISBLANK(Curs!B18)),Curs!B18,"")</f>
        <v/>
      </c>
      <c r="C19" s="68" t="str">
        <f>IF(NOT(ISBLANK(Curs!C18)),Curs!C18,"")</f>
        <v/>
      </c>
      <c r="D19" s="34"/>
      <c r="E19" s="33"/>
      <c r="F19" s="33"/>
      <c r="G19" s="33"/>
      <c r="H19" s="33"/>
      <c r="I19" s="33"/>
      <c r="J19" s="33"/>
      <c r="K19" s="34" t="str">
        <f t="shared" si="0"/>
        <v/>
      </c>
      <c r="L19" s="55"/>
      <c r="M19" s="69" t="str">
        <f t="shared" si="1"/>
        <v/>
      </c>
      <c r="N19" s="70" t="str">
        <f t="shared" si="2"/>
        <v/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121" t="str">
        <f>IF(NOT(ISBLANK(Curs!C18)),IF(ABS(P19+R19+T19+V19+X19+Z19+AB19)&lt;&gt;0,ABS(P19+R19+T19+V19+X19+Z19+AB19),""),"")</f>
        <v/>
      </c>
      <c r="AD19" s="124" t="str">
        <f>IF(NOT(ISBLANK(Curs!C18)),IFERROR(SUM(O19,Q19,S19,U19,W19,Y19,AA19)/COUNT(O19,Q19,S19,U19,W19,Y19,AA19),""),"")</f>
        <v/>
      </c>
      <c r="AE19" s="52"/>
    </row>
    <row r="20" spans="2:31" ht="20.399999999999999" x14ac:dyDescent="0.35">
      <c r="B20" s="34" t="str">
        <f>IF(NOT(ISBLANK(Curs!B19)),Curs!B19,"")</f>
        <v/>
      </c>
      <c r="C20" s="68" t="str">
        <f>IF(NOT(ISBLANK(Curs!C19)),Curs!C19,"")</f>
        <v/>
      </c>
      <c r="D20" s="34"/>
      <c r="E20" s="33"/>
      <c r="F20" s="33"/>
      <c r="G20" s="33"/>
      <c r="H20" s="33"/>
      <c r="I20" s="33"/>
      <c r="J20" s="33"/>
      <c r="K20" s="34" t="str">
        <f t="shared" si="0"/>
        <v/>
      </c>
      <c r="L20" s="55"/>
      <c r="M20" s="69" t="str">
        <f t="shared" si="1"/>
        <v/>
      </c>
      <c r="N20" s="70" t="str">
        <f t="shared" si="2"/>
        <v/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121" t="str">
        <f>IF(NOT(ISBLANK(Curs!C19)),IF(ABS(P20+R20+T20+V20+X20+Z20+AB20)&lt;&gt;0,ABS(P20+R20+T20+V20+X20+Z20+AB20),""),"")</f>
        <v/>
      </c>
      <c r="AD20" s="124" t="str">
        <f>IF(NOT(ISBLANK(Curs!C19)),IFERROR(SUM(O20,Q20,S20,U20,W20,Y20,AA20)/COUNT(O20,Q20,S20,U20,W20,Y20,AA20),""),"")</f>
        <v/>
      </c>
      <c r="AE20" s="52"/>
    </row>
    <row r="21" spans="2:31" ht="20.399999999999999" x14ac:dyDescent="0.35">
      <c r="B21" s="34" t="str">
        <f>IF(NOT(ISBLANK(Curs!B20)),Curs!B20,"")</f>
        <v/>
      </c>
      <c r="C21" s="68" t="str">
        <f>IF(NOT(ISBLANK(Curs!C20)),Curs!C20,"")</f>
        <v/>
      </c>
      <c r="D21" s="34"/>
      <c r="E21" s="33"/>
      <c r="F21" s="33"/>
      <c r="G21" s="33"/>
      <c r="H21" s="33"/>
      <c r="I21" s="33"/>
      <c r="J21" s="33"/>
      <c r="K21" s="34" t="str">
        <f t="shared" si="0"/>
        <v/>
      </c>
      <c r="L21" s="55"/>
      <c r="M21" s="69" t="str">
        <f t="shared" si="1"/>
        <v/>
      </c>
      <c r="N21" s="70" t="str">
        <f t="shared" si="2"/>
        <v/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121" t="str">
        <f>IF(NOT(ISBLANK(Curs!C20)),IF(ABS(P21+R21+T21+V21+X21+Z21+AB21)&lt;&gt;0,ABS(P21+R21+T21+V21+X21+Z21+AB21),""),"")</f>
        <v/>
      </c>
      <c r="AD21" s="124" t="str">
        <f>IF(NOT(ISBLANK(Curs!C20)),IFERROR(SUM(O21,Q21,S21,U21,W21,Y21,AA21)/COUNT(O21,Q21,S21,U21,W21,Y21,AA21),""),"")</f>
        <v/>
      </c>
      <c r="AE21" s="52"/>
    </row>
    <row r="22" spans="2:31" ht="20.399999999999999" x14ac:dyDescent="0.35">
      <c r="B22" s="34" t="str">
        <f>IF(NOT(ISBLANK(Curs!B21)),Curs!B21,"")</f>
        <v/>
      </c>
      <c r="C22" s="68" t="str">
        <f>IF(NOT(ISBLANK(Curs!C21)),Curs!C21,"")</f>
        <v/>
      </c>
      <c r="D22" s="34"/>
      <c r="E22" s="33"/>
      <c r="F22" s="33"/>
      <c r="G22" s="33"/>
      <c r="H22" s="33"/>
      <c r="I22" s="33"/>
      <c r="J22" s="33"/>
      <c r="K22" s="34" t="str">
        <f t="shared" si="0"/>
        <v/>
      </c>
      <c r="L22" s="55"/>
      <c r="M22" s="69" t="str">
        <f t="shared" si="1"/>
        <v/>
      </c>
      <c r="N22" s="70" t="str">
        <f t="shared" si="2"/>
        <v/>
      </c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121" t="str">
        <f>IF(NOT(ISBLANK(Curs!C21)),IF(ABS(P22+R22+T22+V22+X22+Z22+AB22)&lt;&gt;0,ABS(P22+R22+T22+V22+X22+Z22+AB22),""),"")</f>
        <v/>
      </c>
      <c r="AD22" s="124" t="str">
        <f>IF(NOT(ISBLANK(Curs!C21)),IFERROR(SUM(O22,Q22,S22,U22,W22,Y22,AA22)/COUNT(O22,Q22,S22,U22,W22,Y22,AA22),""),"")</f>
        <v/>
      </c>
      <c r="AE22" s="52"/>
    </row>
    <row r="23" spans="2:31" ht="20.399999999999999" x14ac:dyDescent="0.35">
      <c r="B23" s="34" t="str">
        <f>IF(NOT(ISBLANK(Curs!B22)),Curs!B22,"")</f>
        <v/>
      </c>
      <c r="C23" s="68" t="str">
        <f>IF(NOT(ISBLANK(Curs!C22)),Curs!C22,"")</f>
        <v/>
      </c>
      <c r="D23" s="34"/>
      <c r="E23" s="33"/>
      <c r="F23" s="33"/>
      <c r="G23" s="33"/>
      <c r="H23" s="33"/>
      <c r="I23" s="33"/>
      <c r="J23" s="33"/>
      <c r="K23" s="34" t="str">
        <f t="shared" si="0"/>
        <v/>
      </c>
      <c r="L23" s="55"/>
      <c r="M23" s="69" t="str">
        <f t="shared" si="1"/>
        <v/>
      </c>
      <c r="N23" s="70" t="str">
        <f t="shared" si="2"/>
        <v/>
      </c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121" t="str">
        <f>IF(NOT(ISBLANK(Curs!C22)),IF(ABS(P23+R23+T23+V23+X23+Z23+AB23)&lt;&gt;0,ABS(P23+R23+T23+V23+X23+Z23+AB23),""),"")</f>
        <v/>
      </c>
      <c r="AD23" s="124" t="str">
        <f>IF(NOT(ISBLANK(Curs!C22)),IFERROR(SUM(O23,Q23,S23,U23,W23,Y23,AA23)/COUNT(O23,Q23,S23,U23,W23,Y23,AA23),""),"")</f>
        <v/>
      </c>
      <c r="AE23" s="52"/>
    </row>
    <row r="24" spans="2:31" ht="20.399999999999999" x14ac:dyDescent="0.35">
      <c r="B24" s="34" t="str">
        <f>IF(NOT(ISBLANK(Curs!B23)),Curs!B23,"")</f>
        <v/>
      </c>
      <c r="C24" s="68" t="str">
        <f>IF(NOT(ISBLANK(Curs!C23)),Curs!C23,"")</f>
        <v/>
      </c>
      <c r="D24" s="34"/>
      <c r="E24" s="33"/>
      <c r="F24" s="33"/>
      <c r="G24" s="33"/>
      <c r="H24" s="33"/>
      <c r="I24" s="33"/>
      <c r="J24" s="33"/>
      <c r="K24" s="34" t="str">
        <f t="shared" si="0"/>
        <v/>
      </c>
      <c r="L24" s="55"/>
      <c r="M24" s="69" t="str">
        <f t="shared" si="1"/>
        <v/>
      </c>
      <c r="N24" s="70" t="str">
        <f t="shared" si="2"/>
        <v/>
      </c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121" t="str">
        <f>IF(NOT(ISBLANK(Curs!C23)),IF(ABS(P24+R24+T24+V24+X24+Z24+AB24)&lt;&gt;0,ABS(P24+R24+T24+V24+X24+Z24+AB24),""),"")</f>
        <v/>
      </c>
      <c r="AD24" s="124" t="str">
        <f>IF(NOT(ISBLANK(Curs!C23)),IFERROR(SUM(O24,Q24,S24,U24,W24,Y24,AA24)/COUNT(O24,Q24,S24,U24,W24,Y24,AA24),""),"")</f>
        <v/>
      </c>
      <c r="AE24" s="52"/>
    </row>
    <row r="25" spans="2:31" ht="20.399999999999999" x14ac:dyDescent="0.35">
      <c r="B25" s="34" t="str">
        <f>IF(NOT(ISBLANK(Curs!B24)),Curs!B24,"")</f>
        <v/>
      </c>
      <c r="C25" s="68" t="str">
        <f>IF(NOT(ISBLANK(Curs!C24)),Curs!C24,"")</f>
        <v/>
      </c>
      <c r="D25" s="34"/>
      <c r="E25" s="33"/>
      <c r="F25" s="33"/>
      <c r="G25" s="33"/>
      <c r="H25" s="33"/>
      <c r="I25" s="33"/>
      <c r="J25" s="33"/>
      <c r="K25" s="34" t="str">
        <f t="shared" si="0"/>
        <v/>
      </c>
      <c r="L25" s="55"/>
      <c r="M25" s="69" t="str">
        <f t="shared" si="1"/>
        <v/>
      </c>
      <c r="N25" s="70" t="str">
        <f t="shared" si="2"/>
        <v/>
      </c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121" t="str">
        <f>IF(NOT(ISBLANK(Curs!C24)),IF(ABS(P25+R25+T25+V25+X25+Z25+AB25)&lt;&gt;0,ABS(P25+R25+T25+V25+X25+Z25+AB25),""),"")</f>
        <v/>
      </c>
      <c r="AD25" s="124" t="str">
        <f>IF(NOT(ISBLANK(Curs!C24)),IFERROR(SUM(O25,Q25,S25,U25,W25,Y25,AA25)/COUNT(O25,Q25,S25,U25,W25,Y25,AA25),""),"")</f>
        <v/>
      </c>
      <c r="AE25" s="52"/>
    </row>
    <row r="26" spans="2:31" ht="20.399999999999999" x14ac:dyDescent="0.35">
      <c r="B26" s="34" t="str">
        <f>IF(NOT(ISBLANK(Curs!B25)),Curs!B25,"")</f>
        <v/>
      </c>
      <c r="C26" s="68" t="str">
        <f>IF(NOT(ISBLANK(Curs!C25)),Curs!C25,"")</f>
        <v/>
      </c>
      <c r="D26" s="34"/>
      <c r="E26" s="33"/>
      <c r="F26" s="33"/>
      <c r="G26" s="33"/>
      <c r="H26" s="33"/>
      <c r="I26" s="33"/>
      <c r="J26" s="33"/>
      <c r="K26" s="34" t="str">
        <f t="shared" si="0"/>
        <v/>
      </c>
      <c r="L26" s="55"/>
      <c r="M26" s="69" t="str">
        <f t="shared" si="1"/>
        <v/>
      </c>
      <c r="N26" s="70" t="str">
        <f t="shared" si="2"/>
        <v/>
      </c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121" t="str">
        <f>IF(NOT(ISBLANK(Curs!C25)),IF(ABS(P26+R26+T26+V26+X26+Z26+AB26)&lt;&gt;0,ABS(P26+R26+T26+V26+X26+Z26+AB26),""),"")</f>
        <v/>
      </c>
      <c r="AD26" s="124" t="str">
        <f>IF(NOT(ISBLANK(Curs!C25)),IFERROR(SUM(O26,Q26,S26,U26,W26,Y26,AA26)/COUNT(O26,Q26,S26,U26,W26,Y26,AA26),""),"")</f>
        <v/>
      </c>
      <c r="AE26" s="52"/>
    </row>
    <row r="27" spans="2:31" ht="20.399999999999999" x14ac:dyDescent="0.35">
      <c r="B27" s="34" t="str">
        <f>IF(NOT(ISBLANK(Curs!B26)),Curs!B26,"")</f>
        <v/>
      </c>
      <c r="C27" s="68" t="str">
        <f>IF(NOT(ISBLANK(Curs!C26)),Curs!C26,"")</f>
        <v/>
      </c>
      <c r="D27" s="34"/>
      <c r="E27" s="33"/>
      <c r="F27" s="33"/>
      <c r="G27" s="33"/>
      <c r="H27" s="33"/>
      <c r="I27" s="33"/>
      <c r="J27" s="33"/>
      <c r="K27" s="34" t="str">
        <f t="shared" si="0"/>
        <v/>
      </c>
      <c r="L27" s="55"/>
      <c r="M27" s="69" t="str">
        <f t="shared" si="1"/>
        <v/>
      </c>
      <c r="N27" s="70" t="str">
        <f t="shared" si="2"/>
        <v/>
      </c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121" t="str">
        <f>IF(NOT(ISBLANK(Curs!C26)),IF(ABS(P27+R27+T27+V27+X27+Z27+AB27)&lt;&gt;0,ABS(P27+R27+T27+V27+X27+Z27+AB27),""),"")</f>
        <v/>
      </c>
      <c r="AD27" s="124" t="str">
        <f>IF(NOT(ISBLANK(Curs!C26)),IFERROR(SUM(O27,Q27,S27,U27,W27,Y27,AA27)/COUNT(O27,Q27,S27,U27,W27,Y27,AA27),""),"")</f>
        <v/>
      </c>
      <c r="AE27" s="52"/>
    </row>
    <row r="28" spans="2:31" ht="20.399999999999999" x14ac:dyDescent="0.35">
      <c r="B28" s="34" t="str">
        <f>IF(NOT(ISBLANK(Curs!B27)),Curs!B27,"")</f>
        <v/>
      </c>
      <c r="C28" s="68" t="str">
        <f>IF(NOT(ISBLANK(Curs!C27)),Curs!C27,"")</f>
        <v/>
      </c>
      <c r="D28" s="34"/>
      <c r="E28" s="33"/>
      <c r="F28" s="33"/>
      <c r="G28" s="33"/>
      <c r="H28" s="33"/>
      <c r="I28" s="33"/>
      <c r="J28" s="33"/>
      <c r="K28" s="34" t="str">
        <f t="shared" si="0"/>
        <v/>
      </c>
      <c r="L28" s="55"/>
      <c r="M28" s="69" t="str">
        <f t="shared" si="1"/>
        <v/>
      </c>
      <c r="N28" s="70" t="str">
        <f t="shared" si="2"/>
        <v/>
      </c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121" t="str">
        <f>IF(NOT(ISBLANK(Curs!C27)),IF(ABS(P28+R28+T28+V28+X28+Z28+AB28)&lt;&gt;0,ABS(P28+R28+T28+V28+X28+Z28+AB28),""),"")</f>
        <v/>
      </c>
      <c r="AD28" s="124" t="str">
        <f>IF(NOT(ISBLANK(Curs!C27)),IFERROR(SUM(O28,Q28,S28,U28,W28,Y28,AA28)/COUNT(O28,Q28,S28,U28,W28,Y28,AA28),""),"")</f>
        <v/>
      </c>
      <c r="AE28" s="52"/>
    </row>
    <row r="29" spans="2:31" ht="20.399999999999999" x14ac:dyDescent="0.35">
      <c r="B29" s="34" t="str">
        <f>IF(NOT(ISBLANK(Curs!B28)),Curs!B28,"")</f>
        <v/>
      </c>
      <c r="C29" s="68" t="str">
        <f>IF(NOT(ISBLANK(Curs!C28)),Curs!C28,"")</f>
        <v/>
      </c>
      <c r="D29" s="34"/>
      <c r="E29" s="33"/>
      <c r="F29" s="33"/>
      <c r="G29" s="33"/>
      <c r="H29" s="33"/>
      <c r="I29" s="33"/>
      <c r="J29" s="33"/>
      <c r="K29" s="34" t="str">
        <f t="shared" si="0"/>
        <v/>
      </c>
      <c r="L29" s="55"/>
      <c r="M29" s="69" t="str">
        <f t="shared" si="1"/>
        <v/>
      </c>
      <c r="N29" s="70" t="str">
        <f t="shared" si="2"/>
        <v/>
      </c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121" t="str">
        <f>IF(NOT(ISBLANK(Curs!C28)),IF(ABS(P29+R29+T29+V29+X29+Z29+AB29)&lt;&gt;0,ABS(P29+R29+T29+V29+X29+Z29+AB29),""),"")</f>
        <v/>
      </c>
      <c r="AD29" s="124" t="str">
        <f>IF(NOT(ISBLANK(Curs!C28)),IFERROR(SUM(O29,Q29,S29,U29,W29,Y29,AA29)/COUNT(O29,Q29,S29,U29,W29,Y29,AA29),""),"")</f>
        <v/>
      </c>
      <c r="AE29" s="52"/>
    </row>
    <row r="30" spans="2:31" ht="20.399999999999999" x14ac:dyDescent="0.35">
      <c r="B30" s="34" t="str">
        <f>IF(NOT(ISBLANK(Curs!B29)),Curs!B29,"")</f>
        <v/>
      </c>
      <c r="C30" s="68" t="str">
        <f>IF(NOT(ISBLANK(Curs!C29)),Curs!C29,"")</f>
        <v/>
      </c>
      <c r="D30" s="34"/>
      <c r="E30" s="33"/>
      <c r="F30" s="33"/>
      <c r="G30" s="33"/>
      <c r="H30" s="33"/>
      <c r="I30" s="33"/>
      <c r="J30" s="33"/>
      <c r="K30" s="34" t="str">
        <f t="shared" si="0"/>
        <v/>
      </c>
      <c r="L30" s="55"/>
      <c r="M30" s="69" t="str">
        <f t="shared" si="1"/>
        <v/>
      </c>
      <c r="N30" s="70" t="str">
        <f t="shared" si="2"/>
        <v/>
      </c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121" t="str">
        <f>IF(NOT(ISBLANK(Curs!C29)),IF(ABS(P30+R30+T30+V30+X30+Z30+AB30)&lt;&gt;0,ABS(P30+R30+T30+V30+X30+Z30+AB30),""),"")</f>
        <v/>
      </c>
      <c r="AD30" s="124" t="str">
        <f>IF(NOT(ISBLANK(Curs!C29)),IFERROR(SUM(O30,Q30,S30,U30,W30,Y30,AA30)/COUNT(O30,Q30,S30,U30,W30,Y30,AA30),""),"")</f>
        <v/>
      </c>
      <c r="AE30" s="52"/>
    </row>
    <row r="31" spans="2:31" ht="20.399999999999999" x14ac:dyDescent="0.35">
      <c r="B31" s="34" t="str">
        <f>IF(NOT(ISBLANK(Curs!B30)),Curs!B30,"")</f>
        <v/>
      </c>
      <c r="C31" s="68" t="str">
        <f>IF(NOT(ISBLANK(Curs!C30)),Curs!C30,"")</f>
        <v/>
      </c>
      <c r="D31" s="34"/>
      <c r="E31" s="33"/>
      <c r="F31" s="33"/>
      <c r="G31" s="33"/>
      <c r="H31" s="33"/>
      <c r="I31" s="33"/>
      <c r="J31" s="33"/>
      <c r="K31" s="34" t="str">
        <f t="shared" si="0"/>
        <v/>
      </c>
      <c r="L31" s="55"/>
      <c r="M31" s="69" t="str">
        <f t="shared" si="1"/>
        <v/>
      </c>
      <c r="N31" s="70" t="str">
        <f t="shared" si="2"/>
        <v/>
      </c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121" t="str">
        <f>IF(NOT(ISBLANK(Curs!C30)),IF(ABS(P31+R31+T31+V31+X31+Z31+AB31)&lt;&gt;0,ABS(P31+R31+T31+V31+X31+Z31+AB31),""),"")</f>
        <v/>
      </c>
      <c r="AD31" s="124" t="str">
        <f>IF(NOT(ISBLANK(Curs!C30)),IFERROR(SUM(O31,Q31,S31,U31,W31,Y31,AA31)/COUNT(O31,Q31,S31,U31,W31,Y31,AA31),""),"")</f>
        <v/>
      </c>
      <c r="AE31" s="52"/>
    </row>
    <row r="32" spans="2:31" ht="20.399999999999999" x14ac:dyDescent="0.35">
      <c r="B32" s="34" t="str">
        <f>IF(NOT(ISBLANK(Curs!B31)),Curs!B31,"")</f>
        <v/>
      </c>
      <c r="C32" s="68" t="str">
        <f>IF(NOT(ISBLANK(Curs!C31)),Curs!C31,"")</f>
        <v/>
      </c>
      <c r="D32" s="34"/>
      <c r="E32" s="33"/>
      <c r="F32" s="33"/>
      <c r="G32" s="33"/>
      <c r="H32" s="33"/>
      <c r="I32" s="33"/>
      <c r="J32" s="33"/>
      <c r="K32" s="34" t="str">
        <f t="shared" si="0"/>
        <v/>
      </c>
      <c r="L32" s="55"/>
      <c r="M32" s="69" t="str">
        <f t="shared" si="1"/>
        <v/>
      </c>
      <c r="N32" s="70" t="str">
        <f t="shared" si="2"/>
        <v/>
      </c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121" t="str">
        <f>IF(NOT(ISBLANK(Curs!C31)),IF(ABS(P32+R32+T32+V32+X32+Z32+AB32)&lt;&gt;0,ABS(P32+R32+T32+V32+X32+Z32+AB32),""),"")</f>
        <v/>
      </c>
      <c r="AD32" s="124" t="str">
        <f>IF(NOT(ISBLANK(Curs!C31)),IFERROR(SUM(O32,Q32,S32,U32,W32,Y32,AA32)/COUNT(O32,Q32,S32,U32,W32,Y32,AA32),""),"")</f>
        <v/>
      </c>
      <c r="AE32" s="52"/>
    </row>
    <row r="33" spans="2:33" ht="20.399999999999999" x14ac:dyDescent="0.35">
      <c r="B33" s="34" t="str">
        <f>IF(NOT(ISBLANK(Curs!B32)),Curs!B32,"")</f>
        <v/>
      </c>
      <c r="C33" s="68" t="str">
        <f>IF(NOT(ISBLANK(Curs!C32)),Curs!C32,"")</f>
        <v/>
      </c>
      <c r="D33" s="34"/>
      <c r="E33" s="33"/>
      <c r="F33" s="33"/>
      <c r="G33" s="33"/>
      <c r="H33" s="33"/>
      <c r="I33" s="33"/>
      <c r="J33" s="33"/>
      <c r="K33" s="34" t="str">
        <f t="shared" si="0"/>
        <v/>
      </c>
      <c r="L33" s="55"/>
      <c r="M33" s="69" t="str">
        <f t="shared" si="1"/>
        <v/>
      </c>
      <c r="N33" s="70" t="str">
        <f t="shared" si="2"/>
        <v/>
      </c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121" t="str">
        <f>IF(NOT(ISBLANK(Curs!C32)),IF(ABS(P33+R33+T33+V33+X33+Z33+AB33)&lt;&gt;0,ABS(P33+R33+T33+V33+X33+Z33+AB33),""),"")</f>
        <v/>
      </c>
      <c r="AD33" s="124" t="str">
        <f>IF(NOT(ISBLANK(Curs!C32)),IFERROR(SUM(O33,Q33,S33,U33,W33,Y33,AA33)/COUNT(O33,Q33,S33,U33,W33,Y33,AA33),""),"")</f>
        <v/>
      </c>
      <c r="AE33" s="52"/>
    </row>
    <row r="34" spans="2:33" ht="20.399999999999999" x14ac:dyDescent="0.35">
      <c r="B34" s="34" t="str">
        <f>IF(NOT(ISBLANK(Curs!B33)),Curs!B33,"")</f>
        <v/>
      </c>
      <c r="C34" s="68" t="str">
        <f>IF(NOT(ISBLANK(Curs!C33)),Curs!C33,"")</f>
        <v/>
      </c>
      <c r="D34" s="34"/>
      <c r="E34" s="33"/>
      <c r="F34" s="33"/>
      <c r="G34" s="33"/>
      <c r="H34" s="33"/>
      <c r="I34" s="33"/>
      <c r="J34" s="33"/>
      <c r="K34" s="34" t="str">
        <f t="shared" si="0"/>
        <v/>
      </c>
      <c r="L34" s="55"/>
      <c r="M34" s="69" t="str">
        <f t="shared" si="1"/>
        <v/>
      </c>
      <c r="N34" s="70" t="str">
        <f t="shared" si="2"/>
        <v/>
      </c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121" t="str">
        <f>IF(NOT(ISBLANK(Curs!C33)),IF(ABS(P34+R34+T34+V34+X34+Z34+AB34)&lt;&gt;0,ABS(P34+R34+T34+V34+X34+Z34+AB34),""),"")</f>
        <v/>
      </c>
      <c r="AD34" s="124" t="str">
        <f>IF(NOT(ISBLANK(Curs!C33)),IFERROR(SUM(O34,Q34,S34,U34,W34,Y34,AA34)/COUNT(O34,Q34,S34,U34,W34,Y34,AA34),""),"")</f>
        <v/>
      </c>
      <c r="AE34" s="52"/>
    </row>
    <row r="35" spans="2:33" ht="20.399999999999999" x14ac:dyDescent="0.35">
      <c r="B35" s="34" t="str">
        <f>IF(NOT(ISBLANK(Curs!B34)),Curs!B34,"")</f>
        <v/>
      </c>
      <c r="C35" s="68" t="str">
        <f>IF(NOT(ISBLANK(Curs!C34)),Curs!C34,"")</f>
        <v/>
      </c>
      <c r="D35" s="34"/>
      <c r="E35" s="33"/>
      <c r="F35" s="33"/>
      <c r="G35" s="33"/>
      <c r="H35" s="33"/>
      <c r="I35" s="33"/>
      <c r="J35" s="33"/>
      <c r="K35" s="34" t="str">
        <f t="shared" si="0"/>
        <v/>
      </c>
      <c r="L35" s="55"/>
      <c r="M35" s="69" t="str">
        <f t="shared" si="1"/>
        <v/>
      </c>
      <c r="N35" s="70" t="str">
        <f t="shared" si="2"/>
        <v/>
      </c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121" t="str">
        <f>IF(NOT(ISBLANK(Curs!C34)),IF(ABS(P35+R35+T35+V35+X35+Z35+AB35)&lt;&gt;0,ABS(P35+R35+T35+V35+X35+Z35+AB35),""),"")</f>
        <v/>
      </c>
      <c r="AD35" s="124" t="str">
        <f>IF(NOT(ISBLANK(Curs!C34)),IFERROR(SUM(O35,Q35,S35,U35,W35,Y35,AA35)/COUNT(O35,Q35,S35,U35,W35,Y35,AA35),""),"")</f>
        <v/>
      </c>
      <c r="AE35" s="52"/>
    </row>
    <row r="36" spans="2:33" ht="20.399999999999999" x14ac:dyDescent="0.35">
      <c r="B36" s="34" t="str">
        <f>IF(NOT(ISBLANK(Curs!B35)),Curs!B35,"")</f>
        <v/>
      </c>
      <c r="C36" s="68" t="str">
        <f>IF(NOT(ISBLANK(Curs!C35)),Curs!C35,"")</f>
        <v/>
      </c>
      <c r="D36" s="34"/>
      <c r="E36" s="33"/>
      <c r="F36" s="33"/>
      <c r="G36" s="33"/>
      <c r="H36" s="33"/>
      <c r="I36" s="33"/>
      <c r="J36" s="33"/>
      <c r="K36" s="34" t="str">
        <f t="shared" si="0"/>
        <v/>
      </c>
      <c r="L36" s="55"/>
      <c r="M36" s="69" t="str">
        <f t="shared" si="1"/>
        <v/>
      </c>
      <c r="N36" s="70" t="str">
        <f t="shared" si="2"/>
        <v/>
      </c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121" t="str">
        <f>IF(NOT(ISBLANK(Curs!C35)),IF(ABS(P36+R36+T36+V36+X36+Z36+AB36)&lt;&gt;0,ABS(P36+R36+T36+V36+X36+Z36+AB36),""),"")</f>
        <v/>
      </c>
      <c r="AD36" s="124" t="str">
        <f>IF(NOT(ISBLANK(Curs!C35)),IFERROR(SUM(O36,Q36,S36,U36,W36,Y36,AA36)/COUNT(O36,Q36,S36,U36,W36,Y36,AA36),""),"")</f>
        <v/>
      </c>
      <c r="AE36" s="52"/>
    </row>
    <row r="37" spans="2:33" ht="20.399999999999999" x14ac:dyDescent="0.35">
      <c r="B37" s="34" t="str">
        <f>IF(NOT(ISBLANK(Curs!B36)),Curs!B36,"")</f>
        <v/>
      </c>
      <c r="C37" s="68" t="str">
        <f>IF(NOT(ISBLANK(Curs!C36)),Curs!C36,"")</f>
        <v/>
      </c>
      <c r="D37" s="34"/>
      <c r="E37" s="33"/>
      <c r="F37" s="33"/>
      <c r="G37" s="33"/>
      <c r="H37" s="33"/>
      <c r="I37" s="33"/>
      <c r="J37" s="33"/>
      <c r="K37" s="34" t="str">
        <f t="shared" si="0"/>
        <v/>
      </c>
      <c r="L37" s="55"/>
      <c r="M37" s="69" t="str">
        <f t="shared" si="1"/>
        <v/>
      </c>
      <c r="N37" s="70" t="str">
        <f t="shared" si="2"/>
        <v/>
      </c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121" t="str">
        <f>IF(NOT(ISBLANK(Curs!C36)),IF(ABS(P37+R37+T37+V37+X37+Z37+AB37)&lt;&gt;0,ABS(P37+R37+T37+V37+X37+Z37+AB37),""),"")</f>
        <v/>
      </c>
      <c r="AD37" s="124" t="str">
        <f>IF(NOT(ISBLANK(Curs!C36)),IFERROR(SUM(O37,Q37,S37,U37,W37,Y37,AA37)/COUNT(O37,Q37,S37,U37,W37,Y37,AA37),""),"")</f>
        <v/>
      </c>
      <c r="AE37" s="52"/>
    </row>
    <row r="38" spans="2:33" ht="20.399999999999999" x14ac:dyDescent="0.35">
      <c r="B38" s="34" t="str">
        <f>IF(NOT(ISBLANK(Curs!B37)),Curs!B37,"")</f>
        <v/>
      </c>
      <c r="C38" s="68" t="str">
        <f>IF(NOT(ISBLANK(Curs!C37)),Curs!C37,"")</f>
        <v/>
      </c>
      <c r="D38" s="34"/>
      <c r="E38" s="33"/>
      <c r="F38" s="33"/>
      <c r="G38" s="33"/>
      <c r="H38" s="33"/>
      <c r="I38" s="33"/>
      <c r="J38" s="33"/>
      <c r="K38" s="34" t="str">
        <f t="shared" si="0"/>
        <v/>
      </c>
      <c r="L38" s="55"/>
      <c r="M38" s="69" t="str">
        <f t="shared" si="1"/>
        <v/>
      </c>
      <c r="N38" s="70" t="str">
        <f t="shared" si="2"/>
        <v/>
      </c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121" t="str">
        <f>IF(NOT(ISBLANK(Curs!C37)),IF(ABS(P38+R38+T38+V38+X38+Z38+AB38)&lt;&gt;0,ABS(P38+R38+T38+V38+X38+Z38+AB38),""),"")</f>
        <v/>
      </c>
      <c r="AD38" s="124" t="str">
        <f>IF(NOT(ISBLANK(Curs!C37)),IFERROR(SUM(O38,Q38,S38,U38,W38,Y38,AA38)/COUNT(O38,Q38,S38,U38,W38,Y38,AA38),""),"")</f>
        <v/>
      </c>
      <c r="AE38" s="52"/>
    </row>
    <row r="39" spans="2:33" ht="20.399999999999999" x14ac:dyDescent="0.35">
      <c r="B39" s="34" t="str">
        <f>IF(NOT(ISBLANK(Curs!B38)),Curs!B38,"")</f>
        <v/>
      </c>
      <c r="C39" s="68" t="str">
        <f>IF(NOT(ISBLANK(Curs!C38)),Curs!C38,"")</f>
        <v/>
      </c>
      <c r="D39" s="34"/>
      <c r="E39" s="33"/>
      <c r="F39" s="33"/>
      <c r="G39" s="33"/>
      <c r="H39" s="33"/>
      <c r="I39" s="33"/>
      <c r="J39" s="33"/>
      <c r="K39" s="34" t="str">
        <f t="shared" ref="K39:K70" si="3">IF(C39&lt;&gt;"",IF(COUNTIF(E39:J39,"a")&lt;&gt;0,COUNTIF(E39:J39,"a")*2,""),"")</f>
        <v/>
      </c>
      <c r="L39" s="55"/>
      <c r="M39" s="69" t="str">
        <f t="shared" ref="M39:M71" si="4">IF(NOT(ISBLANK(B39)),B39,"")</f>
        <v/>
      </c>
      <c r="N39" s="70" t="str">
        <f t="shared" ref="N39:N71" si="5">IF(NOT(ISBLANK(C39)),C39,"")</f>
        <v/>
      </c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121" t="str">
        <f>IF(NOT(ISBLANK(Curs!C38)),IF(ABS(P39+R39+T39+V39+X39+Z39+AB39)&lt;&gt;0,ABS(P39+R39+T39+V39+X39+Z39+AB39),""),"")</f>
        <v/>
      </c>
      <c r="AD39" s="124" t="str">
        <f>IF(NOT(ISBLANK(Curs!C38)),IFERROR(SUM(O39,Q39,S39,U39,W39,Y39,AA39)/COUNT(O39,Q39,S39,U39,W39,Y39,AA39),""),"")</f>
        <v/>
      </c>
      <c r="AE39" s="52"/>
    </row>
    <row r="40" spans="2:33" ht="20.399999999999999" x14ac:dyDescent="0.35">
      <c r="B40" s="34" t="str">
        <f>IF(NOT(ISBLANK(Curs!B39)),Curs!B39,"")</f>
        <v/>
      </c>
      <c r="C40" s="68" t="str">
        <f>IF(NOT(ISBLANK(Curs!C39)),Curs!C39,"")</f>
        <v/>
      </c>
      <c r="D40" s="34"/>
      <c r="E40" s="33"/>
      <c r="F40" s="33"/>
      <c r="G40" s="33"/>
      <c r="H40" s="33"/>
      <c r="I40" s="33"/>
      <c r="J40" s="33"/>
      <c r="K40" s="34" t="str">
        <f t="shared" si="3"/>
        <v/>
      </c>
      <c r="L40" s="55"/>
      <c r="M40" s="69" t="str">
        <f t="shared" si="4"/>
        <v/>
      </c>
      <c r="N40" s="70" t="str">
        <f t="shared" si="5"/>
        <v/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121" t="str">
        <f>IF(NOT(ISBLANK(Curs!C39)),IF(ABS(P40+R40+T40+V40+X40+Z40+AB40)&lt;&gt;0,ABS(P40+R40+T40+V40+X40+Z40+AB40),""),"")</f>
        <v/>
      </c>
      <c r="AD40" s="124" t="str">
        <f>IF(NOT(ISBLANK(Curs!C39)),IFERROR(SUM(O40,Q40,S40,U40,W40,Y40,AA40)/COUNT(O40,Q40,S40,U40,W40,Y40,AA40),""),"")</f>
        <v/>
      </c>
      <c r="AE40" s="52"/>
    </row>
    <row r="41" spans="2:33" ht="20.399999999999999" x14ac:dyDescent="0.35">
      <c r="B41" s="34" t="str">
        <f>IF(NOT(ISBLANK(Curs!B40)),Curs!B40,"")</f>
        <v/>
      </c>
      <c r="C41" s="68" t="str">
        <f>IF(NOT(ISBLANK(Curs!C40)),Curs!C40,"")</f>
        <v/>
      </c>
      <c r="D41" s="34"/>
      <c r="E41" s="33"/>
      <c r="F41" s="33"/>
      <c r="G41" s="33"/>
      <c r="H41" s="33"/>
      <c r="I41" s="33"/>
      <c r="J41" s="33"/>
      <c r="K41" s="34" t="str">
        <f t="shared" si="3"/>
        <v/>
      </c>
      <c r="L41" s="55"/>
      <c r="M41" s="69" t="str">
        <f t="shared" si="4"/>
        <v/>
      </c>
      <c r="N41" s="70" t="str">
        <f t="shared" si="5"/>
        <v/>
      </c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121" t="str">
        <f>IF(NOT(ISBLANK(Curs!C40)),IF(ABS(P41+R41+T41+V41+X41+Z41+AB41)&lt;&gt;0,ABS(P41+R41+T41+V41+X41+Z41+AB41),""),"")</f>
        <v/>
      </c>
      <c r="AD41" s="124" t="str">
        <f>IF(NOT(ISBLANK(Curs!C40)),IFERROR(SUM(O41,Q41,S41,U41,W41,Y41,AA41)/COUNT(O41,Q41,S41,U41,W41,Y41,AA41),""),"")</f>
        <v/>
      </c>
      <c r="AE41" s="52"/>
    </row>
    <row r="42" spans="2:33" ht="20.399999999999999" x14ac:dyDescent="0.35">
      <c r="B42" s="34" t="str">
        <f>IF(NOT(ISBLANK(Curs!B41)),Curs!B41,"")</f>
        <v/>
      </c>
      <c r="C42" s="68" t="str">
        <f>IF(NOT(ISBLANK(Curs!C41)),Curs!C41,"")</f>
        <v/>
      </c>
      <c r="D42" s="34"/>
      <c r="E42" s="33"/>
      <c r="F42" s="33"/>
      <c r="G42" s="33"/>
      <c r="H42" s="33"/>
      <c r="I42" s="33"/>
      <c r="J42" s="33"/>
      <c r="K42" s="34" t="str">
        <f t="shared" si="3"/>
        <v/>
      </c>
      <c r="L42" s="55"/>
      <c r="M42" s="69" t="str">
        <f t="shared" si="4"/>
        <v/>
      </c>
      <c r="N42" s="70" t="str">
        <f t="shared" si="5"/>
        <v/>
      </c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121" t="str">
        <f>IF(NOT(ISBLANK(Curs!C41)),IF(ABS(P42+R42+T42+V42+X42+Z42+AB42)&lt;&gt;0,ABS(P42+R42+T42+V42+X42+Z42+AB42),""),"")</f>
        <v/>
      </c>
      <c r="AD42" s="124" t="str">
        <f>IF(NOT(ISBLANK(Curs!C41)),IFERROR(SUM(O42,Q42,S42,U42,W42,Y42,AA42)/COUNT(O42,Q42,S42,U42,W42,Y42,AA42),""),"")</f>
        <v/>
      </c>
      <c r="AE42" s="52"/>
    </row>
    <row r="43" spans="2:33" ht="20.399999999999999" x14ac:dyDescent="0.35">
      <c r="B43" s="34" t="str">
        <f>IF(NOT(ISBLANK(Curs!B42)),Curs!B42,"")</f>
        <v/>
      </c>
      <c r="C43" s="68" t="str">
        <f>IF(NOT(ISBLANK(Curs!C42)),Curs!C42,"")</f>
        <v/>
      </c>
      <c r="D43" s="34"/>
      <c r="E43" s="33"/>
      <c r="F43" s="33"/>
      <c r="G43" s="33"/>
      <c r="H43" s="33"/>
      <c r="I43" s="33"/>
      <c r="J43" s="33"/>
      <c r="K43" s="34" t="str">
        <f t="shared" si="3"/>
        <v/>
      </c>
      <c r="L43" s="55"/>
      <c r="M43" s="69" t="str">
        <f t="shared" si="4"/>
        <v/>
      </c>
      <c r="N43" s="70" t="str">
        <f t="shared" si="5"/>
        <v/>
      </c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121" t="str">
        <f>IF(NOT(ISBLANK(Curs!C42)),IF(ABS(P43+R43+T43+V43+X43+Z43+AB43)&lt;&gt;0,ABS(P43+R43+T43+V43+X43+Z43+AB43),""),"")</f>
        <v/>
      </c>
      <c r="AD43" s="124" t="str">
        <f>IF(NOT(ISBLANK(Curs!C42)),IFERROR(SUM(O43,Q43,S43,U43,W43,Y43,AA43)/COUNT(O43,Q43,S43,U43,W43,Y43,AA43),""),"")</f>
        <v/>
      </c>
      <c r="AE43" s="52"/>
    </row>
    <row r="44" spans="2:33" ht="20.399999999999999" x14ac:dyDescent="0.35">
      <c r="B44" s="34" t="str">
        <f>IF(NOT(ISBLANK(Curs!B43)),Curs!B43,"")</f>
        <v/>
      </c>
      <c r="C44" s="68" t="str">
        <f>IF(NOT(ISBLANK(Curs!C43)),Curs!C43,"")</f>
        <v/>
      </c>
      <c r="D44" s="34"/>
      <c r="E44" s="33"/>
      <c r="F44" s="33"/>
      <c r="G44" s="33"/>
      <c r="H44" s="33"/>
      <c r="I44" s="33"/>
      <c r="J44" s="33"/>
      <c r="K44" s="34" t="str">
        <f t="shared" si="3"/>
        <v/>
      </c>
      <c r="L44" s="55"/>
      <c r="M44" s="69" t="str">
        <f t="shared" si="4"/>
        <v/>
      </c>
      <c r="N44" s="70" t="str">
        <f t="shared" si="5"/>
        <v/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121" t="str">
        <f>IF(NOT(ISBLANK(Curs!C43)),IF(ABS(P44+R44+T44+V44+X44+Z44+AB44)&lt;&gt;0,ABS(P44+R44+T44+V44+X44+Z44+AB44),""),"")</f>
        <v/>
      </c>
      <c r="AD44" s="124" t="str">
        <f>IF(NOT(ISBLANK(Curs!C43)),IFERROR(SUM(O44,Q44,S44,U44,W44,Y44,AA44)/COUNT(O44,Q44,S44,U44,W44,Y44,AA44),""),"")</f>
        <v/>
      </c>
      <c r="AE44" s="52"/>
    </row>
    <row r="45" spans="2:33" ht="20.399999999999999" x14ac:dyDescent="0.35">
      <c r="B45" s="34" t="str">
        <f>IF(NOT(ISBLANK(Curs!B44)),Curs!B44,"")</f>
        <v/>
      </c>
      <c r="C45" s="68" t="str">
        <f>IF(NOT(ISBLANK(Curs!C44)),Curs!C44,"")</f>
        <v/>
      </c>
      <c r="D45" s="34"/>
      <c r="E45" s="33"/>
      <c r="F45" s="33"/>
      <c r="G45" s="33"/>
      <c r="H45" s="33"/>
      <c r="I45" s="33"/>
      <c r="J45" s="33"/>
      <c r="K45" s="34" t="str">
        <f t="shared" si="3"/>
        <v/>
      </c>
      <c r="L45" s="55"/>
      <c r="M45" s="69" t="str">
        <f t="shared" si="4"/>
        <v/>
      </c>
      <c r="N45" s="70" t="str">
        <f t="shared" si="5"/>
        <v/>
      </c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121" t="str">
        <f>IF(NOT(ISBLANK(Curs!C44)),IF(ABS(P45+R45+T45+V45+X45+Z45+AB45)&lt;&gt;0,ABS(P45+R45+T45+V45+X45+Z45+AB45),""),"")</f>
        <v/>
      </c>
      <c r="AD45" s="124" t="str">
        <f>IF(NOT(ISBLANK(Curs!C44)),IFERROR(SUM(O45,Q45,S45,U45,W45,Y45,AA45)/COUNT(O45,Q45,S45,U45,W45,Y45,AA45),""),"")</f>
        <v/>
      </c>
      <c r="AE45" s="52"/>
    </row>
    <row r="46" spans="2:33" ht="20.399999999999999" x14ac:dyDescent="0.35">
      <c r="B46" s="34" t="str">
        <f>IF(NOT(ISBLANK(Curs!B45)),Curs!B45,"")</f>
        <v/>
      </c>
      <c r="C46" s="68" t="str">
        <f>IF(NOT(ISBLANK(Curs!C45)),Curs!C45,"")</f>
        <v/>
      </c>
      <c r="D46" s="34"/>
      <c r="E46" s="33"/>
      <c r="F46" s="33"/>
      <c r="G46" s="33"/>
      <c r="H46" s="33"/>
      <c r="I46" s="33"/>
      <c r="J46" s="33"/>
      <c r="K46" s="34" t="str">
        <f t="shared" si="3"/>
        <v/>
      </c>
      <c r="L46" s="55"/>
      <c r="M46" s="69" t="str">
        <f t="shared" si="4"/>
        <v/>
      </c>
      <c r="N46" s="70" t="str">
        <f t="shared" si="5"/>
        <v/>
      </c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121" t="str">
        <f>IF(NOT(ISBLANK(Curs!C45)),IF(ABS(P46+R46+T46+V46+X46+Z46+AB46)&lt;&gt;0,ABS(P46+R46+T46+V46+X46+Z46+AB46),""),"")</f>
        <v/>
      </c>
      <c r="AD46" s="124" t="str">
        <f>IF(NOT(ISBLANK(Curs!C45)),IFERROR(SUM(O46,Q46,S46,U46,W46,Y46,AA46)/COUNT(O46,Q46,S46,U46,W46,Y46,AA46),""),"")</f>
        <v/>
      </c>
      <c r="AE46" s="52"/>
    </row>
    <row r="47" spans="2:33" ht="20.399999999999999" x14ac:dyDescent="0.35">
      <c r="B47" s="34" t="str">
        <f>IF(NOT(ISBLANK(Curs!B46)),Curs!B46,"")</f>
        <v/>
      </c>
      <c r="C47" s="68" t="str">
        <f>IF(NOT(ISBLANK(Curs!C46)),Curs!C46,"")</f>
        <v/>
      </c>
      <c r="D47" s="34"/>
      <c r="E47" s="33"/>
      <c r="F47" s="33"/>
      <c r="G47" s="33"/>
      <c r="H47" s="33"/>
      <c r="I47" s="33"/>
      <c r="J47" s="33"/>
      <c r="K47" s="34" t="str">
        <f t="shared" si="3"/>
        <v/>
      </c>
      <c r="L47" s="55"/>
      <c r="M47" s="69" t="str">
        <f t="shared" si="4"/>
        <v/>
      </c>
      <c r="N47" s="70" t="str">
        <f t="shared" si="5"/>
        <v/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121" t="str">
        <f>IF(NOT(ISBLANK(Curs!C46)),IF(ABS(P47+R47+T47+V47+X47+Z47+AB47)&lt;&gt;0,ABS(P47+R47+T47+V47+X47+Z47+AB47),""),"")</f>
        <v/>
      </c>
      <c r="AD47" s="124" t="str">
        <f>IF(NOT(ISBLANK(Curs!C46)),IFERROR(SUM(O47,Q47,S47,U47,W47,Y47,AA47)/COUNT(O47,Q47,S47,U47,W47,Y47,AA47),""),"")</f>
        <v/>
      </c>
      <c r="AE47" s="52"/>
    </row>
    <row r="48" spans="2:33" ht="15" customHeight="1" x14ac:dyDescent="0.35">
      <c r="B48" s="34" t="str">
        <f>IF(NOT(ISBLANK(Curs!B47)),Curs!B47,"")</f>
        <v/>
      </c>
      <c r="C48" s="68" t="str">
        <f>IF(NOT(ISBLANK(Curs!C47)),Curs!C47,"")</f>
        <v/>
      </c>
      <c r="D48" s="34"/>
      <c r="E48" s="33"/>
      <c r="F48" s="33"/>
      <c r="G48" s="33"/>
      <c r="H48" s="33"/>
      <c r="I48" s="33"/>
      <c r="J48" s="33"/>
      <c r="K48" s="34" t="str">
        <f t="shared" si="3"/>
        <v/>
      </c>
      <c r="L48" s="55"/>
      <c r="M48" s="69" t="str">
        <f t="shared" si="4"/>
        <v/>
      </c>
      <c r="N48" s="70" t="str">
        <f t="shared" si="5"/>
        <v/>
      </c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121" t="str">
        <f>IF(NOT(ISBLANK(Curs!C47)),IF(ABS(P48+R48+T48+V48+X48+Z48+AB48)&lt;&gt;0,ABS(P48+R48+T48+V48+X48+Z48+AB48),""),"")</f>
        <v/>
      </c>
      <c r="AD48" s="124" t="str">
        <f>IF(NOT(ISBLANK(Curs!C47)),IFERROR(SUM(O48,Q48,S48,U48,W48,Y48,AA48)/COUNT(O48,Q48,S48,U48,W48,Y48,AA48),""),"")</f>
        <v/>
      </c>
      <c r="AE48" s="54"/>
      <c r="AF48" s="38"/>
      <c r="AG48" s="38"/>
    </row>
    <row r="49" spans="2:33" ht="15" customHeight="1" x14ac:dyDescent="0.35">
      <c r="B49" s="34" t="str">
        <f>IF(NOT(ISBLANK(Curs!B48)),Curs!B48,"")</f>
        <v/>
      </c>
      <c r="C49" s="68" t="str">
        <f>IF(NOT(ISBLANK(Curs!C48)),Curs!C48,"")</f>
        <v/>
      </c>
      <c r="D49" s="34"/>
      <c r="E49" s="33"/>
      <c r="F49" s="33"/>
      <c r="G49" s="33"/>
      <c r="H49" s="33"/>
      <c r="I49" s="33"/>
      <c r="J49" s="33"/>
      <c r="K49" s="34" t="str">
        <f t="shared" si="3"/>
        <v/>
      </c>
      <c r="L49" s="55"/>
      <c r="M49" s="69" t="str">
        <f t="shared" si="4"/>
        <v/>
      </c>
      <c r="N49" s="70" t="str">
        <f t="shared" si="5"/>
        <v/>
      </c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121" t="str">
        <f>IF(NOT(ISBLANK(Curs!C48)),IF(ABS(P49+R49+T49+V49+X49+Z49+AB49)&lt;&gt;0,ABS(P49+R49+T49+V49+X49+Z49+AB49),""),"")</f>
        <v/>
      </c>
      <c r="AD49" s="124" t="str">
        <f>IF(NOT(ISBLANK(Curs!C48)),IFERROR(SUM(O49,Q49,S49,U49,W49,Y49,AA49)/COUNT(O49,Q49,S49,U49,W49,Y49,AA49),""),"")</f>
        <v/>
      </c>
      <c r="AE49" s="54"/>
      <c r="AF49" s="38"/>
      <c r="AG49" s="38"/>
    </row>
    <row r="50" spans="2:33" ht="15" customHeight="1" x14ac:dyDescent="0.35">
      <c r="B50" s="34" t="str">
        <f>IF(NOT(ISBLANK(Curs!B49)),Curs!B49,"")</f>
        <v/>
      </c>
      <c r="C50" s="68" t="str">
        <f>IF(NOT(ISBLANK(Curs!C49)),Curs!C49,"")</f>
        <v/>
      </c>
      <c r="D50" s="34"/>
      <c r="E50" s="33"/>
      <c r="F50" s="33"/>
      <c r="G50" s="33"/>
      <c r="H50" s="33"/>
      <c r="I50" s="33"/>
      <c r="J50" s="33"/>
      <c r="K50" s="34" t="str">
        <f t="shared" si="3"/>
        <v/>
      </c>
      <c r="L50" s="55"/>
      <c r="M50" s="69" t="str">
        <f t="shared" si="4"/>
        <v/>
      </c>
      <c r="N50" s="70" t="str">
        <f t="shared" si="5"/>
        <v/>
      </c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121" t="str">
        <f>IF(NOT(ISBLANK(Curs!C49)),IF(ABS(P50+R50+T50+V50+X50+Z50+AB50)&lt;&gt;0,ABS(P50+R50+T50+V50+X50+Z50+AB50),""),"")</f>
        <v/>
      </c>
      <c r="AD50" s="124" t="str">
        <f>IF(NOT(ISBLANK(Curs!C49)),IFERROR(SUM(O50,Q50,S50,U50,W50,Y50,AA50)/COUNT(O50,Q50,S50,U50,W50,Y50,AA50),""),"")</f>
        <v/>
      </c>
      <c r="AE50" s="54"/>
      <c r="AF50" s="38"/>
      <c r="AG50" s="38"/>
    </row>
    <row r="51" spans="2:33" ht="15" customHeight="1" x14ac:dyDescent="0.35">
      <c r="B51" s="34" t="str">
        <f>IF(NOT(ISBLANK(Curs!B50)),Curs!B50,"")</f>
        <v/>
      </c>
      <c r="C51" s="68" t="str">
        <f>IF(NOT(ISBLANK(Curs!C50)),Curs!C50,"")</f>
        <v/>
      </c>
      <c r="D51" s="34"/>
      <c r="E51" s="33"/>
      <c r="F51" s="33"/>
      <c r="G51" s="33"/>
      <c r="H51" s="33"/>
      <c r="I51" s="33"/>
      <c r="J51" s="33"/>
      <c r="K51" s="34" t="str">
        <f t="shared" si="3"/>
        <v/>
      </c>
      <c r="L51" s="55"/>
      <c r="M51" s="69" t="str">
        <f t="shared" si="4"/>
        <v/>
      </c>
      <c r="N51" s="70" t="str">
        <f t="shared" si="5"/>
        <v/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121" t="str">
        <f>IF(NOT(ISBLANK(Curs!C50)),IF(ABS(P51+R51+T51+V51+X51+Z51+AB51)&lt;&gt;0,ABS(P51+R51+T51+V51+X51+Z51+AB51),""),"")</f>
        <v/>
      </c>
      <c r="AD51" s="124" t="str">
        <f>IF(NOT(ISBLANK(Curs!C50)),IFERROR(SUM(O51,Q51,S51,U51,W51,Y51,AA51)/COUNT(O51,Q51,S51,U51,W51,Y51,AA51),""),"")</f>
        <v/>
      </c>
      <c r="AE51" s="54"/>
      <c r="AF51" s="38"/>
      <c r="AG51" s="38"/>
    </row>
    <row r="52" spans="2:33" ht="15" customHeight="1" x14ac:dyDescent="0.35">
      <c r="B52" s="34" t="str">
        <f>IF(NOT(ISBLANK(Curs!B51)),Curs!B51,"")</f>
        <v/>
      </c>
      <c r="C52" s="68" t="str">
        <f>IF(NOT(ISBLANK(Curs!C51)),Curs!C51,"")</f>
        <v/>
      </c>
      <c r="D52" s="34"/>
      <c r="E52" s="33"/>
      <c r="F52" s="33"/>
      <c r="G52" s="33"/>
      <c r="H52" s="33"/>
      <c r="I52" s="33"/>
      <c r="J52" s="33"/>
      <c r="K52" s="34" t="str">
        <f t="shared" si="3"/>
        <v/>
      </c>
      <c r="L52" s="55"/>
      <c r="M52" s="69" t="str">
        <f t="shared" si="4"/>
        <v/>
      </c>
      <c r="N52" s="70" t="str">
        <f t="shared" si="5"/>
        <v/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121" t="str">
        <f>IF(NOT(ISBLANK(Curs!C51)),IF(ABS(P52+R52+T52+V52+X52+Z52+AB52)&lt;&gt;0,ABS(P52+R52+T52+V52+X52+Z52+AB52),""),"")</f>
        <v/>
      </c>
      <c r="AD52" s="124" t="str">
        <f>IF(NOT(ISBLANK(Curs!C51)),IFERROR(SUM(O52,Q52,S52,U52,W52,Y52,AA52)/COUNT(O52,Q52,S52,U52,W52,Y52,AA52),""),"")</f>
        <v/>
      </c>
      <c r="AE52" s="54"/>
      <c r="AF52" s="38"/>
      <c r="AG52" s="38"/>
    </row>
    <row r="53" spans="2:33" ht="15" customHeight="1" x14ac:dyDescent="0.35">
      <c r="B53" s="34" t="str">
        <f>IF(NOT(ISBLANK(Curs!B52)),Curs!B52,"")</f>
        <v/>
      </c>
      <c r="C53" s="68" t="str">
        <f>IF(NOT(ISBLANK(Curs!C52)),Curs!C52,"")</f>
        <v/>
      </c>
      <c r="D53" s="34"/>
      <c r="E53" s="33"/>
      <c r="F53" s="33"/>
      <c r="G53" s="33"/>
      <c r="H53" s="33"/>
      <c r="I53" s="33"/>
      <c r="J53" s="33"/>
      <c r="K53" s="34" t="str">
        <f t="shared" si="3"/>
        <v/>
      </c>
      <c r="L53" s="55"/>
      <c r="M53" s="69" t="str">
        <f t="shared" si="4"/>
        <v/>
      </c>
      <c r="N53" s="70" t="str">
        <f t="shared" si="5"/>
        <v/>
      </c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121" t="str">
        <f>IF(NOT(ISBLANK(Curs!C52)),IF(ABS(P53+R53+T53+V53+X53+Z53+AB53)&lt;&gt;0,ABS(P53+R53+T53+V53+X53+Z53+AB53),""),"")</f>
        <v/>
      </c>
      <c r="AD53" s="124" t="str">
        <f>IF(NOT(ISBLANK(Curs!C52)),IFERROR(SUM(O53,Q53,S53,U53,W53,Y53,AA53)/COUNT(O53,Q53,S53,U53,W53,Y53,AA53),""),"")</f>
        <v/>
      </c>
      <c r="AE53" s="54"/>
      <c r="AF53" s="38"/>
      <c r="AG53" s="38"/>
    </row>
    <row r="54" spans="2:33" ht="15" customHeight="1" x14ac:dyDescent="0.35">
      <c r="B54" s="34" t="str">
        <f>IF(NOT(ISBLANK(Curs!B53)),Curs!B53,"")</f>
        <v/>
      </c>
      <c r="C54" s="68" t="str">
        <f>IF(NOT(ISBLANK(Curs!C53)),Curs!C53,"")</f>
        <v/>
      </c>
      <c r="D54" s="34"/>
      <c r="E54" s="33"/>
      <c r="F54" s="33"/>
      <c r="G54" s="33"/>
      <c r="H54" s="33"/>
      <c r="I54" s="33"/>
      <c r="J54" s="33"/>
      <c r="K54" s="34" t="str">
        <f t="shared" si="3"/>
        <v/>
      </c>
      <c r="L54" s="55"/>
      <c r="M54" s="69" t="str">
        <f t="shared" si="4"/>
        <v/>
      </c>
      <c r="N54" s="70" t="str">
        <f t="shared" si="5"/>
        <v/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121" t="str">
        <f>IF(NOT(ISBLANK(Curs!C53)),IF(ABS(P54+R54+T54+V54+X54+Z54+AB54)&lt;&gt;0,ABS(P54+R54+T54+V54+X54+Z54+AB54),""),"")</f>
        <v/>
      </c>
      <c r="AD54" s="124" t="str">
        <f>IF(NOT(ISBLANK(Curs!C53)),IFERROR(SUM(O54,Q54,S54,U54,W54,Y54,AA54)/COUNT(O54,Q54,S54,U54,W54,Y54,AA54),""),"")</f>
        <v/>
      </c>
      <c r="AE54" s="54"/>
      <c r="AF54" s="38"/>
      <c r="AG54" s="38"/>
    </row>
    <row r="55" spans="2:33" ht="15" customHeight="1" x14ac:dyDescent="0.35">
      <c r="B55" s="34" t="str">
        <f>IF(NOT(ISBLANK(Curs!B54)),Curs!B54,"")</f>
        <v/>
      </c>
      <c r="C55" s="68" t="str">
        <f>IF(NOT(ISBLANK(Curs!C54)),Curs!C54,"")</f>
        <v/>
      </c>
      <c r="D55" s="34"/>
      <c r="E55" s="33"/>
      <c r="F55" s="33"/>
      <c r="G55" s="33"/>
      <c r="H55" s="33"/>
      <c r="I55" s="33"/>
      <c r="J55" s="33"/>
      <c r="K55" s="34" t="str">
        <f t="shared" si="3"/>
        <v/>
      </c>
      <c r="L55" s="55"/>
      <c r="M55" s="69" t="str">
        <f t="shared" si="4"/>
        <v/>
      </c>
      <c r="N55" s="70" t="str">
        <f t="shared" si="5"/>
        <v/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121" t="str">
        <f>IF(NOT(ISBLANK(Curs!C54)),IF(ABS(P55+R55+T55+V55+X55+Z55+AB55)&lt;&gt;0,ABS(P55+R55+T55+V55+X55+Z55+AB55),""),"")</f>
        <v/>
      </c>
      <c r="AD55" s="124" t="str">
        <f>IF(NOT(ISBLANK(Curs!C54)),IFERROR(SUM(O55,Q55,S55,U55,W55,Y55,AA55)/COUNT(O55,Q55,S55,U55,W55,Y55,AA55),""),"")</f>
        <v/>
      </c>
      <c r="AE55" s="54"/>
      <c r="AF55" s="38"/>
      <c r="AG55" s="38"/>
    </row>
    <row r="56" spans="2:33" ht="15" customHeight="1" x14ac:dyDescent="0.35">
      <c r="B56" s="34" t="str">
        <f>IF(NOT(ISBLANK(Curs!B55)),Curs!B55,"")</f>
        <v/>
      </c>
      <c r="C56" s="68" t="str">
        <f>IF(NOT(ISBLANK(Curs!C55)),Curs!C55,"")</f>
        <v/>
      </c>
      <c r="D56" s="34"/>
      <c r="E56" s="33"/>
      <c r="F56" s="33"/>
      <c r="G56" s="33"/>
      <c r="H56" s="33"/>
      <c r="I56" s="33"/>
      <c r="J56" s="33"/>
      <c r="K56" s="34" t="str">
        <f t="shared" si="3"/>
        <v/>
      </c>
      <c r="L56" s="55"/>
      <c r="M56" s="69" t="str">
        <f t="shared" si="4"/>
        <v/>
      </c>
      <c r="N56" s="70" t="str">
        <f t="shared" si="5"/>
        <v/>
      </c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121" t="str">
        <f>IF(NOT(ISBLANK(Curs!C55)),IF(ABS(P56+R56+T56+V56+X56+Z56+AB56)&lt;&gt;0,ABS(P56+R56+T56+V56+X56+Z56+AB56),""),"")</f>
        <v/>
      </c>
      <c r="AD56" s="124" t="str">
        <f>IF(NOT(ISBLANK(Curs!C55)),IFERROR(SUM(O56,Q56,S56,U56,W56,Y56,AA56)/COUNT(O56,Q56,S56,U56,W56,Y56,AA56),""),"")</f>
        <v/>
      </c>
      <c r="AE56" s="54"/>
      <c r="AF56" s="38"/>
      <c r="AG56" s="38"/>
    </row>
    <row r="57" spans="2:33" ht="15" customHeight="1" x14ac:dyDescent="0.35">
      <c r="B57" s="34" t="str">
        <f>IF(NOT(ISBLANK(Curs!B56)),Curs!B56,"")</f>
        <v/>
      </c>
      <c r="C57" s="68" t="str">
        <f>IF(NOT(ISBLANK(Curs!C56)),Curs!C56,"")</f>
        <v/>
      </c>
      <c r="D57" s="34"/>
      <c r="E57" s="33"/>
      <c r="F57" s="33"/>
      <c r="G57" s="33"/>
      <c r="H57" s="33"/>
      <c r="I57" s="33"/>
      <c r="J57" s="33"/>
      <c r="K57" s="34" t="str">
        <f t="shared" si="3"/>
        <v/>
      </c>
      <c r="L57" s="55"/>
      <c r="M57" s="69" t="str">
        <f t="shared" si="4"/>
        <v/>
      </c>
      <c r="N57" s="70" t="str">
        <f t="shared" si="5"/>
        <v/>
      </c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121" t="str">
        <f>IF(NOT(ISBLANK(Curs!C56)),IF(ABS(P57+R57+T57+V57+X57+Z57+AB57)&lt;&gt;0,ABS(P57+R57+T57+V57+X57+Z57+AB57),""),"")</f>
        <v/>
      </c>
      <c r="AD57" s="124" t="str">
        <f>IF(NOT(ISBLANK(Curs!C56)),IFERROR(SUM(O57,Q57,S57,U57,W57,Y57,AA57)/COUNT(O57,Q57,S57,U57,W57,Y57,AA57),""),"")</f>
        <v/>
      </c>
      <c r="AE57" s="54"/>
      <c r="AF57" s="38"/>
      <c r="AG57" s="38"/>
    </row>
    <row r="58" spans="2:33" ht="15" customHeight="1" x14ac:dyDescent="0.35">
      <c r="B58" s="34" t="str">
        <f>IF(NOT(ISBLANK(Curs!B57)),Curs!B57,"")</f>
        <v/>
      </c>
      <c r="C58" s="68" t="str">
        <f>IF(NOT(ISBLANK(Curs!C57)),Curs!C57,"")</f>
        <v/>
      </c>
      <c r="D58" s="34"/>
      <c r="E58" s="33"/>
      <c r="F58" s="33"/>
      <c r="G58" s="33"/>
      <c r="H58" s="33"/>
      <c r="I58" s="33"/>
      <c r="J58" s="33"/>
      <c r="K58" s="34" t="str">
        <f t="shared" si="3"/>
        <v/>
      </c>
      <c r="L58" s="55"/>
      <c r="M58" s="69" t="str">
        <f t="shared" si="4"/>
        <v/>
      </c>
      <c r="N58" s="70" t="str">
        <f t="shared" si="5"/>
        <v/>
      </c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121" t="str">
        <f>IF(NOT(ISBLANK(Curs!C57)),IF(ABS(P58+R58+T58+V58+X58+Z58+AB58)&lt;&gt;0,ABS(P58+R58+T58+V58+X58+Z58+AB58),""),"")</f>
        <v/>
      </c>
      <c r="AD58" s="124" t="str">
        <f>IF(NOT(ISBLANK(Curs!C57)),IFERROR(SUM(O58,Q58,S58,U58,W58,Y58,AA58)/COUNT(O58,Q58,S58,U58,W58,Y58,AA58),""),"")</f>
        <v/>
      </c>
      <c r="AE58" s="54"/>
      <c r="AF58" s="38"/>
      <c r="AG58" s="38"/>
    </row>
    <row r="59" spans="2:33" ht="15" customHeight="1" x14ac:dyDescent="0.35">
      <c r="B59" s="34" t="str">
        <f>IF(NOT(ISBLANK(Curs!B58)),Curs!B58,"")</f>
        <v/>
      </c>
      <c r="C59" s="68" t="str">
        <f>IF(NOT(ISBLANK(Curs!C58)),Curs!C58,"")</f>
        <v/>
      </c>
      <c r="D59" s="34"/>
      <c r="E59" s="33"/>
      <c r="F59" s="33"/>
      <c r="G59" s="33"/>
      <c r="H59" s="33"/>
      <c r="I59" s="33"/>
      <c r="J59" s="33"/>
      <c r="K59" s="34" t="str">
        <f t="shared" si="3"/>
        <v/>
      </c>
      <c r="L59" s="55"/>
      <c r="M59" s="69" t="str">
        <f t="shared" si="4"/>
        <v/>
      </c>
      <c r="N59" s="70" t="str">
        <f t="shared" si="5"/>
        <v/>
      </c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121" t="str">
        <f>IF(NOT(ISBLANK(Curs!C58)),IF(ABS(P59+R59+T59+V59+X59+Z59+AB59)&lt;&gt;0,ABS(P59+R59+T59+V59+X59+Z59+AB59),""),"")</f>
        <v/>
      </c>
      <c r="AD59" s="124" t="str">
        <f>IF(NOT(ISBLANK(Curs!C58)),IFERROR(SUM(O59,Q59,S59,U59,W59,Y59,AA59)/COUNT(O59,Q59,S59,U59,W59,Y59,AA59),""),"")</f>
        <v/>
      </c>
      <c r="AE59" s="54"/>
      <c r="AF59" s="38"/>
      <c r="AG59" s="38"/>
    </row>
    <row r="60" spans="2:33" ht="15" customHeight="1" x14ac:dyDescent="0.35">
      <c r="B60" s="34" t="str">
        <f>IF(NOT(ISBLANK(Curs!B59)),Curs!B59,"")</f>
        <v/>
      </c>
      <c r="C60" s="68" t="str">
        <f>IF(NOT(ISBLANK(Curs!C59)),Curs!C59,"")</f>
        <v/>
      </c>
      <c r="D60" s="34"/>
      <c r="E60" s="33"/>
      <c r="F60" s="33"/>
      <c r="G60" s="33"/>
      <c r="H60" s="33"/>
      <c r="I60" s="33"/>
      <c r="J60" s="33"/>
      <c r="K60" s="34" t="str">
        <f t="shared" si="3"/>
        <v/>
      </c>
      <c r="L60" s="55"/>
      <c r="M60" s="69" t="str">
        <f t="shared" si="4"/>
        <v/>
      </c>
      <c r="N60" s="70" t="str">
        <f t="shared" si="5"/>
        <v/>
      </c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121" t="str">
        <f>IF(NOT(ISBLANK(Curs!C59)),IF(ABS(P60+R60+T60+V60+X60+Z60+AB60)&lt;&gt;0,ABS(P60+R60+T60+V60+X60+Z60+AB60),""),"")</f>
        <v/>
      </c>
      <c r="AD60" s="124" t="str">
        <f>IF(NOT(ISBLANK(Curs!C59)),IFERROR(SUM(O60,Q60,S60,U60,W60,Y60,AA60)/COUNT(O60,Q60,S60,U60,W60,Y60,AA60),""),"")</f>
        <v/>
      </c>
      <c r="AE60" s="54"/>
      <c r="AF60" s="38"/>
      <c r="AG60" s="38"/>
    </row>
    <row r="61" spans="2:33" ht="15" customHeight="1" x14ac:dyDescent="0.35">
      <c r="B61" s="34" t="str">
        <f>IF(NOT(ISBLANK(Curs!B60)),Curs!B60,"")</f>
        <v/>
      </c>
      <c r="C61" s="68" t="str">
        <f>IF(NOT(ISBLANK(Curs!C60)),Curs!C60,"")</f>
        <v/>
      </c>
      <c r="D61" s="34"/>
      <c r="E61" s="33"/>
      <c r="F61" s="33"/>
      <c r="G61" s="33"/>
      <c r="H61" s="33"/>
      <c r="I61" s="33"/>
      <c r="J61" s="33"/>
      <c r="K61" s="34" t="str">
        <f t="shared" si="3"/>
        <v/>
      </c>
      <c r="L61" s="55"/>
      <c r="M61" s="69" t="str">
        <f t="shared" si="4"/>
        <v/>
      </c>
      <c r="N61" s="70" t="str">
        <f t="shared" si="5"/>
        <v/>
      </c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121" t="str">
        <f>IF(NOT(ISBLANK(Curs!C60)),IF(ABS(P61+R61+T61+V61+X61+Z61+AB61)&lt;&gt;0,ABS(P61+R61+T61+V61+X61+Z61+AB61),""),"")</f>
        <v/>
      </c>
      <c r="AD61" s="124" t="str">
        <f>IF(NOT(ISBLANK(Curs!C60)),IFERROR(SUM(O61,Q61,S61,U61,W61,Y61,AA61)/COUNT(O61,Q61,S61,U61,W61,Y61,AA61),""),"")</f>
        <v/>
      </c>
      <c r="AE61" s="54"/>
      <c r="AF61" s="38"/>
      <c r="AG61" s="38"/>
    </row>
    <row r="62" spans="2:33" ht="15" customHeight="1" x14ac:dyDescent="0.35">
      <c r="B62" s="34" t="str">
        <f>IF(NOT(ISBLANK(Curs!B61)),Curs!B61,"")</f>
        <v/>
      </c>
      <c r="C62" s="68" t="str">
        <f>IF(NOT(ISBLANK(Curs!C61)),Curs!C61,"")</f>
        <v/>
      </c>
      <c r="D62" s="34"/>
      <c r="E62" s="33"/>
      <c r="F62" s="33"/>
      <c r="G62" s="33"/>
      <c r="H62" s="33"/>
      <c r="I62" s="33"/>
      <c r="J62" s="33"/>
      <c r="K62" s="34" t="str">
        <f t="shared" si="3"/>
        <v/>
      </c>
      <c r="L62" s="55"/>
      <c r="M62" s="69" t="str">
        <f t="shared" si="4"/>
        <v/>
      </c>
      <c r="N62" s="70" t="str">
        <f t="shared" si="5"/>
        <v/>
      </c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121" t="str">
        <f>IF(NOT(ISBLANK(Curs!C61)),IF(ABS(P62+R62+T62+V62+X62+Z62+AB62)&lt;&gt;0,ABS(P62+R62+T62+V62+X62+Z62+AB62),""),"")</f>
        <v/>
      </c>
      <c r="AD62" s="124" t="str">
        <f>IF(NOT(ISBLANK(Curs!C61)),IFERROR(SUM(O62,Q62,S62,U62,W62,Y62,AA62)/COUNT(O62,Q62,S62,U62,W62,Y62,AA62),""),"")</f>
        <v/>
      </c>
      <c r="AE62" s="54"/>
      <c r="AF62" s="38"/>
      <c r="AG62" s="38"/>
    </row>
    <row r="63" spans="2:33" ht="15" customHeight="1" x14ac:dyDescent="0.35">
      <c r="B63" s="34" t="str">
        <f>IF(NOT(ISBLANK(Curs!B62)),Curs!B62,"")</f>
        <v/>
      </c>
      <c r="C63" s="68" t="str">
        <f>IF(NOT(ISBLANK(Curs!C62)),Curs!C62,"")</f>
        <v/>
      </c>
      <c r="D63" s="34"/>
      <c r="E63" s="33"/>
      <c r="F63" s="33"/>
      <c r="G63" s="33"/>
      <c r="H63" s="33"/>
      <c r="I63" s="33"/>
      <c r="J63" s="33"/>
      <c r="K63" s="34" t="str">
        <f t="shared" si="3"/>
        <v/>
      </c>
      <c r="L63" s="55"/>
      <c r="M63" s="69" t="str">
        <f t="shared" si="4"/>
        <v/>
      </c>
      <c r="N63" s="70" t="str">
        <f t="shared" si="5"/>
        <v/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121" t="str">
        <f>IF(NOT(ISBLANK(Curs!C62)),IF(ABS(P63+R63+T63+V63+X63+Z63+AB63)&lt;&gt;0,ABS(P63+R63+T63+V63+X63+Z63+AB63),""),"")</f>
        <v/>
      </c>
      <c r="AD63" s="124" t="str">
        <f>IF(NOT(ISBLANK(Curs!C62)),IFERROR(SUM(O63,Q63,S63,U63,W63,Y63,AA63)/COUNT(O63,Q63,S63,U63,W63,Y63,AA63),""),"")</f>
        <v/>
      </c>
      <c r="AE63" s="54"/>
      <c r="AF63" s="38"/>
      <c r="AG63" s="38"/>
    </row>
    <row r="64" spans="2:33" ht="15" customHeight="1" x14ac:dyDescent="0.35">
      <c r="B64" s="34" t="str">
        <f>IF(NOT(ISBLANK(Curs!B63)),Curs!B63,"")</f>
        <v/>
      </c>
      <c r="C64" s="68" t="str">
        <f>IF(NOT(ISBLANK(Curs!C63)),Curs!C63,"")</f>
        <v/>
      </c>
      <c r="D64" s="34"/>
      <c r="E64" s="33"/>
      <c r="F64" s="33"/>
      <c r="G64" s="33"/>
      <c r="H64" s="33"/>
      <c r="I64" s="33"/>
      <c r="J64" s="33"/>
      <c r="K64" s="34" t="str">
        <f t="shared" si="3"/>
        <v/>
      </c>
      <c r="L64" s="55"/>
      <c r="M64" s="69" t="str">
        <f t="shared" si="4"/>
        <v/>
      </c>
      <c r="N64" s="70" t="str">
        <f t="shared" si="5"/>
        <v/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121" t="str">
        <f>IF(NOT(ISBLANK(Curs!C63)),IF(ABS(P64+R64+T64+V64+X64+Z64+AB64)&lt;&gt;0,ABS(P64+R64+T64+V64+X64+Z64+AB64),""),"")</f>
        <v/>
      </c>
      <c r="AD64" s="124" t="str">
        <f>IF(NOT(ISBLANK(Curs!C63)),IFERROR(SUM(O64,Q64,S64,U64,W64,Y64,AA64)/COUNT(O64,Q64,S64,U64,W64,Y64,AA64),""),"")</f>
        <v/>
      </c>
      <c r="AE64" s="54"/>
      <c r="AF64" s="38"/>
      <c r="AG64" s="38"/>
    </row>
    <row r="65" spans="2:33" ht="15" customHeight="1" x14ac:dyDescent="0.35">
      <c r="B65" s="34" t="str">
        <f>IF(NOT(ISBLANK(Curs!B64)),Curs!B64,"")</f>
        <v/>
      </c>
      <c r="C65" s="68" t="str">
        <f>IF(NOT(ISBLANK(Curs!C64)),Curs!C64,"")</f>
        <v/>
      </c>
      <c r="D65" s="34"/>
      <c r="E65" s="33"/>
      <c r="F65" s="33"/>
      <c r="G65" s="33"/>
      <c r="H65" s="33"/>
      <c r="I65" s="33"/>
      <c r="J65" s="33"/>
      <c r="K65" s="34" t="str">
        <f t="shared" si="3"/>
        <v/>
      </c>
      <c r="L65" s="55"/>
      <c r="M65" s="69" t="str">
        <f t="shared" si="4"/>
        <v/>
      </c>
      <c r="N65" s="70" t="str">
        <f t="shared" si="5"/>
        <v/>
      </c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121" t="str">
        <f>IF(NOT(ISBLANK(Curs!C64)),IF(ABS(P65+R65+T65+V65+X65+Z65+AB65)&lt;&gt;0,ABS(P65+R65+T65+V65+X65+Z65+AB65),""),"")</f>
        <v/>
      </c>
      <c r="AD65" s="124" t="str">
        <f>IF(NOT(ISBLANK(Curs!C64)),IFERROR(SUM(O65,Q65,S65,U65,W65,Y65,AA65)/COUNT(O65,Q65,S65,U65,W65,Y65,AA65),""),"")</f>
        <v/>
      </c>
      <c r="AE65" s="54"/>
      <c r="AF65" s="38"/>
      <c r="AG65" s="38"/>
    </row>
    <row r="66" spans="2:33" ht="15" customHeight="1" x14ac:dyDescent="0.35">
      <c r="B66" s="34" t="str">
        <f>IF(NOT(ISBLANK(Curs!B65)),Curs!B65,"")</f>
        <v/>
      </c>
      <c r="C66" s="68" t="str">
        <f>IF(NOT(ISBLANK(Curs!C65)),Curs!C65,"")</f>
        <v/>
      </c>
      <c r="D66" s="34"/>
      <c r="E66" s="33"/>
      <c r="F66" s="33"/>
      <c r="G66" s="33"/>
      <c r="H66" s="33"/>
      <c r="I66" s="33"/>
      <c r="J66" s="33"/>
      <c r="K66" s="34" t="str">
        <f t="shared" si="3"/>
        <v/>
      </c>
      <c r="L66" s="55"/>
      <c r="M66" s="69" t="str">
        <f t="shared" si="4"/>
        <v/>
      </c>
      <c r="N66" s="70" t="str">
        <f t="shared" si="5"/>
        <v/>
      </c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121" t="str">
        <f>IF(NOT(ISBLANK(Curs!C65)),IF(ABS(P66+R66+T66+V66+X66+Z66+AB66)&lt;&gt;0,ABS(P66+R66+T66+V66+X66+Z66+AB66),""),"")</f>
        <v/>
      </c>
      <c r="AD66" s="124" t="str">
        <f>IF(NOT(ISBLANK(Curs!C65)),IFERROR(SUM(O66,Q66,S66,U66,W66,Y66,AA66)/COUNT(O66,Q66,S66,U66,W66,Y66,AA66),""),"")</f>
        <v/>
      </c>
      <c r="AE66" s="54"/>
      <c r="AF66" s="38"/>
      <c r="AG66" s="38"/>
    </row>
    <row r="67" spans="2:33" ht="15" customHeight="1" x14ac:dyDescent="0.35">
      <c r="B67" s="34" t="str">
        <f>IF(NOT(ISBLANK(Curs!B66)),Curs!B66,"")</f>
        <v/>
      </c>
      <c r="C67" s="68" t="str">
        <f>IF(NOT(ISBLANK(Curs!C66)),Curs!C66,"")</f>
        <v/>
      </c>
      <c r="D67" s="34"/>
      <c r="E67" s="33"/>
      <c r="F67" s="33"/>
      <c r="G67" s="33"/>
      <c r="H67" s="33"/>
      <c r="I67" s="33"/>
      <c r="J67" s="33"/>
      <c r="K67" s="34" t="str">
        <f t="shared" si="3"/>
        <v/>
      </c>
      <c r="L67" s="55"/>
      <c r="M67" s="69" t="str">
        <f t="shared" si="4"/>
        <v/>
      </c>
      <c r="N67" s="70" t="str">
        <f t="shared" si="5"/>
        <v/>
      </c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121" t="str">
        <f>IF(NOT(ISBLANK(Curs!C66)),IF(ABS(P67+R67+T67+V67+X67+Z67+AB67)&lt;&gt;0,ABS(P67+R67+T67+V67+X67+Z67+AB67),""),"")</f>
        <v/>
      </c>
      <c r="AD67" s="124" t="str">
        <f>IF(NOT(ISBLANK(Curs!C66)),IFERROR(SUM(O67,Q67,S67,U67,W67,Y67,AA67)/COUNT(O67,Q67,S67,U67,W67,Y67,AA67),""),"")</f>
        <v/>
      </c>
      <c r="AE67" s="54"/>
      <c r="AF67" s="38"/>
      <c r="AG67" s="38"/>
    </row>
    <row r="68" spans="2:33" ht="20.399999999999999" x14ac:dyDescent="0.35">
      <c r="B68" s="34" t="str">
        <f>IF(NOT(ISBLANK(Curs!B67)),Curs!B67,"")</f>
        <v/>
      </c>
      <c r="C68" s="68" t="str">
        <f>IF(NOT(ISBLANK(Curs!C67)),Curs!C67,"")</f>
        <v/>
      </c>
      <c r="D68" s="34"/>
      <c r="E68" s="33"/>
      <c r="F68" s="33"/>
      <c r="G68" s="33"/>
      <c r="H68" s="33"/>
      <c r="I68" s="33"/>
      <c r="J68" s="33"/>
      <c r="K68" s="34" t="str">
        <f t="shared" si="3"/>
        <v/>
      </c>
      <c r="L68" s="55"/>
      <c r="M68" s="69" t="str">
        <f t="shared" si="4"/>
        <v/>
      </c>
      <c r="N68" s="70" t="str">
        <f t="shared" si="5"/>
        <v/>
      </c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121" t="str">
        <f>IF(NOT(ISBLANK(Curs!C67)),IF(ABS(P68+R68+T68+V68+X68+Z68+AB68)&lt;&gt;0,ABS(P68+R68+T68+V68+X68+Z68+AB68),""),"")</f>
        <v/>
      </c>
      <c r="AD68" s="124" t="str">
        <f>IF(NOT(ISBLANK(Curs!C67)),IFERROR(SUM(O68,Q68,S68,U68,W68,Y68,AA68)/COUNT(O68,Q68,S68,U68,W68,Y68,AA68),""),"")</f>
        <v/>
      </c>
      <c r="AE68" s="52"/>
    </row>
    <row r="69" spans="2:33" ht="20.399999999999999" x14ac:dyDescent="0.35">
      <c r="B69" s="34" t="str">
        <f>IF(NOT(ISBLANK(Curs!B68)),Curs!B68,"")</f>
        <v/>
      </c>
      <c r="C69" s="68" t="str">
        <f>IF(NOT(ISBLANK(Curs!C68)),Curs!C68,"")</f>
        <v/>
      </c>
      <c r="D69" s="34"/>
      <c r="E69" s="33"/>
      <c r="F69" s="33"/>
      <c r="G69" s="33"/>
      <c r="H69" s="33"/>
      <c r="I69" s="33"/>
      <c r="J69" s="33"/>
      <c r="K69" s="34" t="str">
        <f t="shared" si="3"/>
        <v/>
      </c>
      <c r="L69" s="55"/>
      <c r="M69" s="69" t="str">
        <f t="shared" si="4"/>
        <v/>
      </c>
      <c r="N69" s="70" t="str">
        <f t="shared" si="5"/>
        <v/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121" t="str">
        <f>IF(NOT(ISBLANK(Curs!C68)),IF(ABS(P69+R69+T69+V69+X69+Z69+AB69)&lt;&gt;0,ABS(P69+R69+T69+V69+X69+Z69+AB69),""),"")</f>
        <v/>
      </c>
      <c r="AD69" s="124" t="str">
        <f>IF(NOT(ISBLANK(Curs!C68)),IFERROR(SUM(O69,Q69,S69,U69,W69,Y69,AA69)/COUNT(O69,Q69,S69,U69,W69,Y69,AA69),""),"")</f>
        <v/>
      </c>
      <c r="AE69" s="52"/>
    </row>
    <row r="70" spans="2:33" ht="20.399999999999999" x14ac:dyDescent="0.35">
      <c r="B70" s="34" t="str">
        <f>IF(NOT(ISBLANK(Curs!B69)),Curs!B69,"")</f>
        <v/>
      </c>
      <c r="C70" s="68" t="str">
        <f>IF(NOT(ISBLANK(Curs!C69)),Curs!C69,"")</f>
        <v/>
      </c>
      <c r="D70" s="34"/>
      <c r="E70" s="33"/>
      <c r="F70" s="33"/>
      <c r="G70" s="33"/>
      <c r="H70" s="33"/>
      <c r="I70" s="33"/>
      <c r="J70" s="33"/>
      <c r="K70" s="34" t="str">
        <f t="shared" si="3"/>
        <v/>
      </c>
      <c r="L70" s="55"/>
      <c r="M70" s="69" t="str">
        <f t="shared" si="4"/>
        <v/>
      </c>
      <c r="N70" s="70" t="str">
        <f t="shared" si="5"/>
        <v/>
      </c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121" t="str">
        <f>IF(NOT(ISBLANK(Curs!C69)),IF(ABS(P70+R70+T70+V70+X70+Z70+AB70)&lt;&gt;0,ABS(P70+R70+T70+V70+X70+Z70+AB70),""),"")</f>
        <v/>
      </c>
      <c r="AD70" s="124" t="str">
        <f>IF(NOT(ISBLANK(Curs!C69)),IFERROR(SUM(O70,Q70,S70,U70,W70,Y70,AA70)/COUNT(O70,Q70,S70,U70,W70,Y70,AA70),""),"")</f>
        <v/>
      </c>
      <c r="AE70" s="52"/>
    </row>
    <row r="71" spans="2:33" ht="20.399999999999999" x14ac:dyDescent="0.35">
      <c r="B71" s="34" t="str">
        <f>IF(NOT(ISBLANK(Curs!B70)),Curs!B70,"")</f>
        <v/>
      </c>
      <c r="C71" s="68" t="str">
        <f>IF(NOT(ISBLANK(Curs!C70)),Curs!C70,"")</f>
        <v/>
      </c>
      <c r="D71" s="34"/>
      <c r="E71" s="33"/>
      <c r="F71" s="33"/>
      <c r="G71" s="33"/>
      <c r="H71" s="33"/>
      <c r="I71" s="33"/>
      <c r="J71" s="33"/>
      <c r="K71" s="34" t="str">
        <f t="shared" ref="K71:K102" si="6">IF(C71&lt;&gt;"",IF(COUNTIF(E71:J71,"a")&lt;&gt;0,COUNTIF(E71:J71,"a")*2,""),"")</f>
        <v/>
      </c>
      <c r="L71" s="55"/>
      <c r="M71" s="69" t="str">
        <f t="shared" si="4"/>
        <v/>
      </c>
      <c r="N71" s="70" t="str">
        <f t="shared" si="5"/>
        <v/>
      </c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121" t="str">
        <f>IF(NOT(ISBLANK(Curs!C70)),IF(ABS(P71+R71+T71+V71+X71+Z71+AB71)&lt;&gt;0,ABS(P71+R71+T71+V71+X71+Z71+AB71),""),"")</f>
        <v/>
      </c>
      <c r="AD71" s="124" t="str">
        <f>IF(NOT(ISBLANK(Curs!C70)),IFERROR(SUM(O71,Q71,S71,U71,W71,Y71,AA71)/COUNT(O71,Q71,S71,U71,W71,Y71,AA71),""),"")</f>
        <v/>
      </c>
      <c r="AE71" s="52"/>
    </row>
    <row r="72" spans="2:33" ht="20.399999999999999" x14ac:dyDescent="0.35">
      <c r="B72" s="34" t="str">
        <f>IF(NOT(ISBLANK(Curs!B71)),Curs!B71,"")</f>
        <v/>
      </c>
      <c r="C72" s="68" t="str">
        <f>IF(NOT(ISBLANK(Curs!C71)),Curs!C71,"")</f>
        <v/>
      </c>
      <c r="D72" s="34"/>
      <c r="E72" s="33"/>
      <c r="F72" s="33"/>
      <c r="G72" s="33"/>
      <c r="H72" s="33"/>
      <c r="I72" s="33"/>
      <c r="J72" s="33"/>
      <c r="K72" s="34" t="str">
        <f t="shared" si="6"/>
        <v/>
      </c>
      <c r="L72" s="55"/>
      <c r="M72" s="69" t="str">
        <f t="shared" ref="M72:M106" si="7">IF(NOT(ISBLANK(B72)),B72,"")</f>
        <v/>
      </c>
      <c r="N72" s="70" t="str">
        <f t="shared" ref="N72:N106" si="8">IF(NOT(ISBLANK(C72)),C72,"")</f>
        <v/>
      </c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121" t="str">
        <f>IF(NOT(ISBLANK(Curs!C71)),IF(ABS(P72+R72+T72+V72+X72+Z72+AB72)&lt;&gt;0,ABS(P72+R72+T72+V72+X72+Z72+AB72),""),"")</f>
        <v/>
      </c>
      <c r="AD72" s="124" t="str">
        <f>IF(NOT(ISBLANK(Curs!C71)),IFERROR(SUM(O72,Q72,S72,U72,W72,Y72,AA72)/COUNT(O72,Q72,S72,U72,W72,Y72,AA72),""),"")</f>
        <v/>
      </c>
      <c r="AE72" s="52"/>
    </row>
    <row r="73" spans="2:33" ht="20.399999999999999" x14ac:dyDescent="0.35">
      <c r="B73" s="34" t="str">
        <f>IF(NOT(ISBLANK(Curs!B72)),Curs!B72,"")</f>
        <v/>
      </c>
      <c r="C73" s="68" t="str">
        <f>IF(NOT(ISBLANK(Curs!C72)),Curs!C72,"")</f>
        <v/>
      </c>
      <c r="D73" s="34"/>
      <c r="E73" s="33"/>
      <c r="F73" s="33"/>
      <c r="G73" s="33"/>
      <c r="H73" s="33"/>
      <c r="I73" s="33"/>
      <c r="J73" s="33"/>
      <c r="K73" s="34" t="str">
        <f t="shared" si="6"/>
        <v/>
      </c>
      <c r="L73" s="55"/>
      <c r="M73" s="69" t="str">
        <f t="shared" si="7"/>
        <v/>
      </c>
      <c r="N73" s="70" t="str">
        <f t="shared" si="8"/>
        <v/>
      </c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121" t="str">
        <f>IF(NOT(ISBLANK(Curs!C72)),IF(ABS(P73+R73+T73+V73+X73+Z73+AB73)&lt;&gt;0,ABS(P73+R73+T73+V73+X73+Z73+AB73),""),"")</f>
        <v/>
      </c>
      <c r="AD73" s="124" t="str">
        <f>IF(NOT(ISBLANK(Curs!C72)),IFERROR(SUM(O73,Q73,S73,U73,W73,Y73,AA73)/COUNT(O73,Q73,S73,U73,W73,Y73,AA73),""),"")</f>
        <v/>
      </c>
      <c r="AE73" s="52"/>
    </row>
    <row r="74" spans="2:33" ht="20.399999999999999" x14ac:dyDescent="0.35">
      <c r="B74" s="34" t="str">
        <f>IF(NOT(ISBLANK(Curs!B73)),Curs!B73,"")</f>
        <v/>
      </c>
      <c r="C74" s="68" t="str">
        <f>IF(NOT(ISBLANK(Curs!C73)),Curs!C73,"")</f>
        <v/>
      </c>
      <c r="D74" s="34"/>
      <c r="E74" s="33"/>
      <c r="F74" s="33"/>
      <c r="G74" s="33"/>
      <c r="H74" s="33"/>
      <c r="I74" s="33"/>
      <c r="J74" s="33"/>
      <c r="K74" s="34" t="str">
        <f t="shared" si="6"/>
        <v/>
      </c>
      <c r="L74" s="55"/>
      <c r="M74" s="69" t="str">
        <f t="shared" si="7"/>
        <v/>
      </c>
      <c r="N74" s="70" t="str">
        <f t="shared" si="8"/>
        <v/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121" t="str">
        <f>IF(NOT(ISBLANK(Curs!C73)),IF(ABS(P74+R74+T74+V74+X74+Z74+AB74)&lt;&gt;0,ABS(P74+R74+T74+V74+X74+Z74+AB74),""),"")</f>
        <v/>
      </c>
      <c r="AD74" s="124" t="str">
        <f>IF(NOT(ISBLANK(Curs!C73)),IFERROR(SUM(O74,Q74,S74,U74,W74,Y74,AA74)/COUNT(O74,Q74,S74,U74,W74,Y74,AA74),""),"")</f>
        <v/>
      </c>
      <c r="AE74" s="52"/>
    </row>
    <row r="75" spans="2:33" ht="20.399999999999999" x14ac:dyDescent="0.35">
      <c r="B75" s="34" t="str">
        <f>IF(NOT(ISBLANK(Curs!B74)),Curs!B74,"")</f>
        <v/>
      </c>
      <c r="C75" s="68" t="str">
        <f>IF(NOT(ISBLANK(Curs!C74)),Curs!C74,"")</f>
        <v/>
      </c>
      <c r="D75" s="34"/>
      <c r="E75" s="33"/>
      <c r="F75" s="33"/>
      <c r="G75" s="33"/>
      <c r="H75" s="33"/>
      <c r="I75" s="33"/>
      <c r="J75" s="33"/>
      <c r="K75" s="34" t="str">
        <f t="shared" si="6"/>
        <v/>
      </c>
      <c r="L75" s="55"/>
      <c r="M75" s="69" t="str">
        <f t="shared" si="7"/>
        <v/>
      </c>
      <c r="N75" s="70" t="str">
        <f t="shared" si="8"/>
        <v/>
      </c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121" t="str">
        <f>IF(NOT(ISBLANK(Curs!C74)),IF(ABS(P75+R75+T75+V75+X75+Z75+AB75)&lt;&gt;0,ABS(P75+R75+T75+V75+X75+Z75+AB75),""),"")</f>
        <v/>
      </c>
      <c r="AD75" s="124" t="str">
        <f>IF(NOT(ISBLANK(Curs!C74)),IFERROR(SUM(O75,Q75,S75,U75,W75,Y75,AA75)/COUNT(O75,Q75,S75,U75,W75,Y75,AA75),""),"")</f>
        <v/>
      </c>
      <c r="AE75" s="52"/>
    </row>
    <row r="76" spans="2:33" ht="20.399999999999999" x14ac:dyDescent="0.35">
      <c r="B76" s="34" t="str">
        <f>IF(NOT(ISBLANK(Curs!B75)),Curs!B75,"")</f>
        <v/>
      </c>
      <c r="C76" s="68" t="str">
        <f>IF(NOT(ISBLANK(Curs!C75)),Curs!C75,"")</f>
        <v/>
      </c>
      <c r="D76" s="34"/>
      <c r="E76" s="33"/>
      <c r="F76" s="33"/>
      <c r="G76" s="33"/>
      <c r="H76" s="33"/>
      <c r="I76" s="33"/>
      <c r="J76" s="33"/>
      <c r="K76" s="34" t="str">
        <f t="shared" si="6"/>
        <v/>
      </c>
      <c r="L76" s="55"/>
      <c r="M76" s="69" t="str">
        <f t="shared" si="7"/>
        <v/>
      </c>
      <c r="N76" s="70" t="str">
        <f t="shared" si="8"/>
        <v/>
      </c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121" t="str">
        <f>IF(NOT(ISBLANK(Curs!C75)),IF(ABS(P76+R76+T76+V76+X76+Z76+AB76)&lt;&gt;0,ABS(P76+R76+T76+V76+X76+Z76+AB76),""),"")</f>
        <v/>
      </c>
      <c r="AD76" s="124" t="str">
        <f>IF(NOT(ISBLANK(Curs!C75)),IFERROR(SUM(O76,Q76,S76,U76,W76,Y76,AA76)/COUNT(O76,Q76,S76,U76,W76,Y76,AA76),""),"")</f>
        <v/>
      </c>
      <c r="AE76" s="52"/>
    </row>
    <row r="77" spans="2:33" ht="20.399999999999999" x14ac:dyDescent="0.35">
      <c r="B77" s="34" t="str">
        <f>IF(NOT(ISBLANK(Curs!B76)),Curs!B76,"")</f>
        <v/>
      </c>
      <c r="C77" s="68" t="str">
        <f>IF(NOT(ISBLANK(Curs!C76)),Curs!C76,"")</f>
        <v/>
      </c>
      <c r="D77" s="34"/>
      <c r="E77" s="33"/>
      <c r="F77" s="33"/>
      <c r="G77" s="33"/>
      <c r="H77" s="33"/>
      <c r="I77" s="33"/>
      <c r="J77" s="33"/>
      <c r="K77" s="34" t="str">
        <f t="shared" si="6"/>
        <v/>
      </c>
      <c r="L77" s="55"/>
      <c r="M77" s="69" t="str">
        <f t="shared" si="7"/>
        <v/>
      </c>
      <c r="N77" s="70" t="str">
        <f t="shared" si="8"/>
        <v/>
      </c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121" t="str">
        <f>IF(NOT(ISBLANK(Curs!C76)),IF(ABS(P77+R77+T77+V77+X77+Z77+AB77)&lt;&gt;0,ABS(P77+R77+T77+V77+X77+Z77+AB77),""),"")</f>
        <v/>
      </c>
      <c r="AD77" s="124" t="str">
        <f>IF(NOT(ISBLANK(Curs!C76)),IFERROR(SUM(O77,Q77,S77,U77,W77,Y77,AA77)/COUNT(O77,Q77,S77,U77,W77,Y77,AA77),""),"")</f>
        <v/>
      </c>
      <c r="AE77" s="52"/>
    </row>
    <row r="78" spans="2:33" ht="20.399999999999999" x14ac:dyDescent="0.35">
      <c r="B78" s="34" t="str">
        <f>IF(NOT(ISBLANK(Curs!B77)),Curs!B77,"")</f>
        <v/>
      </c>
      <c r="C78" s="68" t="str">
        <f>IF(NOT(ISBLANK(Curs!C77)),Curs!C77,"")</f>
        <v/>
      </c>
      <c r="D78" s="34"/>
      <c r="E78" s="33"/>
      <c r="F78" s="33"/>
      <c r="G78" s="33"/>
      <c r="H78" s="33"/>
      <c r="I78" s="33"/>
      <c r="J78" s="33"/>
      <c r="K78" s="34" t="str">
        <f t="shared" si="6"/>
        <v/>
      </c>
      <c r="L78" s="55"/>
      <c r="M78" s="69" t="str">
        <f t="shared" si="7"/>
        <v/>
      </c>
      <c r="N78" s="70" t="str">
        <f t="shared" si="8"/>
        <v/>
      </c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121" t="str">
        <f>IF(NOT(ISBLANK(Curs!C77)),IF(ABS(P78+R78+T78+V78+X78+Z78+AB78)&lt;&gt;0,ABS(P78+R78+T78+V78+X78+Z78+AB78),""),"")</f>
        <v/>
      </c>
      <c r="AD78" s="124" t="str">
        <f>IF(NOT(ISBLANK(Curs!C77)),IFERROR(SUM(O78,Q78,S78,U78,W78,Y78,AA78)/COUNT(O78,Q78,S78,U78,W78,Y78,AA78),""),"")</f>
        <v/>
      </c>
      <c r="AE78" s="52"/>
    </row>
    <row r="79" spans="2:33" ht="20.399999999999999" x14ac:dyDescent="0.35">
      <c r="B79" s="34" t="str">
        <f>IF(NOT(ISBLANK(Curs!B78)),Curs!B78,"")</f>
        <v/>
      </c>
      <c r="C79" s="68" t="str">
        <f>IF(NOT(ISBLANK(Curs!C78)),Curs!C78,"")</f>
        <v/>
      </c>
      <c r="D79" s="34"/>
      <c r="E79" s="33"/>
      <c r="F79" s="33"/>
      <c r="G79" s="33"/>
      <c r="H79" s="33"/>
      <c r="I79" s="33"/>
      <c r="J79" s="33"/>
      <c r="K79" s="34" t="str">
        <f t="shared" si="6"/>
        <v/>
      </c>
      <c r="L79" s="55"/>
      <c r="M79" s="69" t="str">
        <f t="shared" si="7"/>
        <v/>
      </c>
      <c r="N79" s="70" t="str">
        <f t="shared" si="8"/>
        <v/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121" t="str">
        <f>IF(NOT(ISBLANK(Curs!C78)),IF(ABS(P79+R79+T79+V79+X79+Z79+AB79)&lt;&gt;0,ABS(P79+R79+T79+V79+X79+Z79+AB79),""),"")</f>
        <v/>
      </c>
      <c r="AD79" s="124" t="str">
        <f>IF(NOT(ISBLANK(Curs!C78)),IFERROR(SUM(O79,Q79,S79,U79,W79,Y79,AA79)/COUNT(O79,Q79,S79,U79,W79,Y79,AA79),""),"")</f>
        <v/>
      </c>
      <c r="AE79" s="52"/>
    </row>
    <row r="80" spans="2:33" ht="20.399999999999999" x14ac:dyDescent="0.35">
      <c r="B80" s="34" t="str">
        <f>IF(NOT(ISBLANK(Curs!B79)),Curs!B79,"")</f>
        <v/>
      </c>
      <c r="C80" s="68" t="str">
        <f>IF(NOT(ISBLANK(Curs!C79)),Curs!C79,"")</f>
        <v/>
      </c>
      <c r="D80" s="34"/>
      <c r="E80" s="33"/>
      <c r="F80" s="33"/>
      <c r="G80" s="33"/>
      <c r="H80" s="33"/>
      <c r="I80" s="33"/>
      <c r="J80" s="33"/>
      <c r="K80" s="34" t="str">
        <f t="shared" si="6"/>
        <v/>
      </c>
      <c r="L80" s="55"/>
      <c r="M80" s="69" t="str">
        <f t="shared" si="7"/>
        <v/>
      </c>
      <c r="N80" s="70" t="str">
        <f t="shared" si="8"/>
        <v/>
      </c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121" t="str">
        <f>IF(NOT(ISBLANK(Curs!C79)),IF(ABS(P80+R80+T80+V80+X80+Z80+AB80)&lt;&gt;0,ABS(P80+R80+T80+V80+X80+Z80+AB80),""),"")</f>
        <v/>
      </c>
      <c r="AD80" s="124" t="str">
        <f>IF(NOT(ISBLANK(Curs!C79)),IFERROR(SUM(O80,Q80,S80,U80,W80,Y80,AA80)/COUNT(O80,Q80,S80,U80,W80,Y80,AA80),""),"")</f>
        <v/>
      </c>
      <c r="AE80" s="52"/>
    </row>
    <row r="81" spans="2:31" ht="20.399999999999999" x14ac:dyDescent="0.35">
      <c r="B81" s="34" t="str">
        <f>IF(NOT(ISBLANK(Curs!B80)),Curs!B80,"")</f>
        <v/>
      </c>
      <c r="C81" s="68" t="str">
        <f>IF(NOT(ISBLANK(Curs!C80)),Curs!C80,"")</f>
        <v/>
      </c>
      <c r="D81" s="34"/>
      <c r="E81" s="33"/>
      <c r="F81" s="33"/>
      <c r="G81" s="33"/>
      <c r="H81" s="33"/>
      <c r="I81" s="33"/>
      <c r="J81" s="33"/>
      <c r="K81" s="34" t="str">
        <f t="shared" si="6"/>
        <v/>
      </c>
      <c r="L81" s="55"/>
      <c r="M81" s="69" t="str">
        <f t="shared" si="7"/>
        <v/>
      </c>
      <c r="N81" s="70" t="str">
        <f t="shared" si="8"/>
        <v/>
      </c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121" t="str">
        <f>IF(NOT(ISBLANK(Curs!C80)),IF(ABS(P81+R81+T81+V81+X81+Z81+AB81)&lt;&gt;0,ABS(P81+R81+T81+V81+X81+Z81+AB81),""),"")</f>
        <v/>
      </c>
      <c r="AD81" s="124" t="str">
        <f>IF(NOT(ISBLANK(Curs!C80)),IFERROR(SUM(O81,Q81,S81,U81,W81,Y81,AA81)/COUNT(O81,Q81,S81,U81,W81,Y81,AA81),""),"")</f>
        <v/>
      </c>
      <c r="AE81" s="52"/>
    </row>
    <row r="82" spans="2:31" ht="20.399999999999999" x14ac:dyDescent="0.35">
      <c r="B82" s="34" t="str">
        <f>IF(NOT(ISBLANK(Curs!B81)),Curs!B81,"")</f>
        <v/>
      </c>
      <c r="C82" s="68" t="str">
        <f>IF(NOT(ISBLANK(Curs!C81)),Curs!C81,"")</f>
        <v/>
      </c>
      <c r="D82" s="34"/>
      <c r="E82" s="33"/>
      <c r="F82" s="33"/>
      <c r="G82" s="33"/>
      <c r="H82" s="33"/>
      <c r="I82" s="33"/>
      <c r="J82" s="33"/>
      <c r="K82" s="34" t="str">
        <f t="shared" si="6"/>
        <v/>
      </c>
      <c r="L82" s="55"/>
      <c r="M82" s="69" t="str">
        <f t="shared" si="7"/>
        <v/>
      </c>
      <c r="N82" s="70" t="str">
        <f t="shared" si="8"/>
        <v/>
      </c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121" t="str">
        <f>IF(NOT(ISBLANK(Curs!C81)),IF(ABS(P82+R82+T82+V82+X82+Z82+AB82)&lt;&gt;0,ABS(P82+R82+T82+V82+X82+Z82+AB82),""),"")</f>
        <v/>
      </c>
      <c r="AD82" s="124" t="str">
        <f>IF(NOT(ISBLANK(Curs!C81)),IFERROR(SUM(O82,Q82,S82,U82,W82,Y82,AA82)/COUNT(O82,Q82,S82,U82,W82,Y82,AA82),""),"")</f>
        <v/>
      </c>
      <c r="AE82" s="52"/>
    </row>
    <row r="83" spans="2:31" ht="20.399999999999999" x14ac:dyDescent="0.35">
      <c r="B83" s="34" t="str">
        <f>IF(NOT(ISBLANK(Curs!B82)),Curs!B82,"")</f>
        <v/>
      </c>
      <c r="C83" s="68" t="str">
        <f>IF(NOT(ISBLANK(Curs!C82)),Curs!C82,"")</f>
        <v/>
      </c>
      <c r="D83" s="34"/>
      <c r="E83" s="33"/>
      <c r="F83" s="33"/>
      <c r="G83" s="33"/>
      <c r="H83" s="33"/>
      <c r="I83" s="33"/>
      <c r="J83" s="33"/>
      <c r="K83" s="34" t="str">
        <f t="shared" si="6"/>
        <v/>
      </c>
      <c r="L83" s="55"/>
      <c r="M83" s="69" t="str">
        <f t="shared" si="7"/>
        <v/>
      </c>
      <c r="N83" s="70" t="str">
        <f t="shared" si="8"/>
        <v/>
      </c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121" t="str">
        <f>IF(NOT(ISBLANK(Curs!C82)),IF(ABS(P83+R83+T83+V83+X83+Z83+AB83)&lt;&gt;0,ABS(P83+R83+T83+V83+X83+Z83+AB83),""),"")</f>
        <v/>
      </c>
      <c r="AD83" s="124" t="str">
        <f>IF(NOT(ISBLANK(Curs!C82)),IFERROR(SUM(O83,Q83,S83,U83,W83,Y83,AA83)/COUNT(O83,Q83,S83,U83,W83,Y83,AA83),""),"")</f>
        <v/>
      </c>
      <c r="AE83" s="52"/>
    </row>
    <row r="84" spans="2:31" ht="20.399999999999999" x14ac:dyDescent="0.35">
      <c r="B84" s="34" t="str">
        <f>IF(NOT(ISBLANK(Curs!B83)),Curs!B83,"")</f>
        <v/>
      </c>
      <c r="C84" s="68" t="str">
        <f>IF(NOT(ISBLANK(Curs!C83)),Curs!C83,"")</f>
        <v/>
      </c>
      <c r="D84" s="34"/>
      <c r="E84" s="33"/>
      <c r="F84" s="33"/>
      <c r="G84" s="33"/>
      <c r="H84" s="33"/>
      <c r="I84" s="33"/>
      <c r="J84" s="33"/>
      <c r="K84" s="34" t="str">
        <f t="shared" si="6"/>
        <v/>
      </c>
      <c r="L84" s="55"/>
      <c r="M84" s="69" t="str">
        <f t="shared" si="7"/>
        <v/>
      </c>
      <c r="N84" s="70" t="str">
        <f t="shared" si="8"/>
        <v/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121" t="str">
        <f>IF(NOT(ISBLANK(Curs!C83)),IF(ABS(P84+R84+T84+V84+X84+Z84+AB84)&lt;&gt;0,ABS(P84+R84+T84+V84+X84+Z84+AB84),""),"")</f>
        <v/>
      </c>
      <c r="AD84" s="124" t="str">
        <f>IF(NOT(ISBLANK(Curs!C83)),IFERROR(SUM(O84,Q84,S84,U84,W84,Y84,AA84)/COUNT(O84,Q84,S84,U84,W84,Y84,AA84),""),"")</f>
        <v/>
      </c>
      <c r="AE84" s="52"/>
    </row>
    <row r="85" spans="2:31" ht="20.399999999999999" x14ac:dyDescent="0.35">
      <c r="B85" s="34" t="str">
        <f>IF(NOT(ISBLANK(Curs!B84)),Curs!B84,"")</f>
        <v/>
      </c>
      <c r="C85" s="68" t="str">
        <f>IF(NOT(ISBLANK(Curs!C84)),Curs!C84,"")</f>
        <v/>
      </c>
      <c r="D85" s="34"/>
      <c r="E85" s="33"/>
      <c r="F85" s="33"/>
      <c r="G85" s="33"/>
      <c r="H85" s="33"/>
      <c r="I85" s="33"/>
      <c r="J85" s="33"/>
      <c r="K85" s="34" t="str">
        <f t="shared" si="6"/>
        <v/>
      </c>
      <c r="L85" s="55"/>
      <c r="M85" s="69" t="str">
        <f t="shared" si="7"/>
        <v/>
      </c>
      <c r="N85" s="70" t="str">
        <f t="shared" si="8"/>
        <v/>
      </c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121" t="str">
        <f>IF(NOT(ISBLANK(Curs!C84)),IF(ABS(P85+R85+T85+V85+X85+Z85+AB85)&lt;&gt;0,ABS(P85+R85+T85+V85+X85+Z85+AB85),""),"")</f>
        <v/>
      </c>
      <c r="AD85" s="124" t="str">
        <f>IF(NOT(ISBLANK(Curs!C84)),IFERROR(SUM(O85,Q85,S85,U85,W85,Y85,AA85)/COUNT(O85,Q85,S85,U85,W85,Y85,AA85),""),"")</f>
        <v/>
      </c>
      <c r="AE85" s="52"/>
    </row>
    <row r="86" spans="2:31" ht="20.399999999999999" x14ac:dyDescent="0.35">
      <c r="B86" s="34" t="str">
        <f>IF(NOT(ISBLANK(Curs!B85)),Curs!B85,"")</f>
        <v/>
      </c>
      <c r="C86" s="68" t="str">
        <f>IF(NOT(ISBLANK(Curs!C85)),Curs!C85,"")</f>
        <v/>
      </c>
      <c r="D86" s="34"/>
      <c r="E86" s="33"/>
      <c r="F86" s="33"/>
      <c r="G86" s="33"/>
      <c r="H86" s="33"/>
      <c r="I86" s="33"/>
      <c r="J86" s="33"/>
      <c r="K86" s="34" t="str">
        <f t="shared" si="6"/>
        <v/>
      </c>
      <c r="L86" s="55"/>
      <c r="M86" s="69" t="str">
        <f t="shared" si="7"/>
        <v/>
      </c>
      <c r="N86" s="70" t="str">
        <f t="shared" si="8"/>
        <v/>
      </c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121" t="str">
        <f>IF(NOT(ISBLANK(Curs!C85)),IF(ABS(P86+R86+T86+V86+X86+Z86+AB86)&lt;&gt;0,ABS(P86+R86+T86+V86+X86+Z86+AB86),""),"")</f>
        <v/>
      </c>
      <c r="AD86" s="124" t="str">
        <f>IF(NOT(ISBLANK(Curs!C85)),IFERROR(SUM(O86,Q86,S86,U86,W86,Y86,AA86)/COUNT(O86,Q86,S86,U86,W86,Y86,AA86),""),"")</f>
        <v/>
      </c>
      <c r="AE86" s="52"/>
    </row>
    <row r="87" spans="2:31" ht="20.399999999999999" x14ac:dyDescent="0.35">
      <c r="B87" s="34" t="str">
        <f>IF(NOT(ISBLANK(Curs!B86)),Curs!B86,"")</f>
        <v/>
      </c>
      <c r="C87" s="68" t="str">
        <f>IF(NOT(ISBLANK(Curs!C86)),Curs!C86,"")</f>
        <v/>
      </c>
      <c r="D87" s="34"/>
      <c r="E87" s="33"/>
      <c r="F87" s="33"/>
      <c r="G87" s="33"/>
      <c r="H87" s="33"/>
      <c r="I87" s="33"/>
      <c r="J87" s="33"/>
      <c r="K87" s="34" t="str">
        <f t="shared" si="6"/>
        <v/>
      </c>
      <c r="L87" s="55"/>
      <c r="M87" s="69" t="str">
        <f t="shared" si="7"/>
        <v/>
      </c>
      <c r="N87" s="70" t="str">
        <f t="shared" si="8"/>
        <v/>
      </c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121" t="str">
        <f>IF(NOT(ISBLANK(Curs!C86)),IF(ABS(P87+R87+T87+V87+X87+Z87+AB87)&lt;&gt;0,ABS(P87+R87+T87+V87+X87+Z87+AB87),""),"")</f>
        <v/>
      </c>
      <c r="AD87" s="124" t="str">
        <f>IF(NOT(ISBLANK(Curs!C86)),IFERROR(SUM(O87,Q87,S87,U87,W87,Y87,AA87)/COUNT(O87,Q87,S87,U87,W87,Y87,AA87),""),"")</f>
        <v/>
      </c>
      <c r="AE87" s="52"/>
    </row>
    <row r="88" spans="2:31" ht="20.399999999999999" x14ac:dyDescent="0.35">
      <c r="B88" s="34" t="str">
        <f>IF(NOT(ISBLANK(Curs!B87)),Curs!B87,"")</f>
        <v/>
      </c>
      <c r="C88" s="68" t="str">
        <f>IF(NOT(ISBLANK(Curs!C87)),Curs!C87,"")</f>
        <v/>
      </c>
      <c r="D88" s="34"/>
      <c r="E88" s="33"/>
      <c r="F88" s="33"/>
      <c r="G88" s="33"/>
      <c r="H88" s="33"/>
      <c r="I88" s="33"/>
      <c r="J88" s="33"/>
      <c r="K88" s="34" t="str">
        <f t="shared" si="6"/>
        <v/>
      </c>
      <c r="L88" s="55"/>
      <c r="M88" s="69" t="str">
        <f t="shared" si="7"/>
        <v/>
      </c>
      <c r="N88" s="70" t="str">
        <f t="shared" si="8"/>
        <v/>
      </c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121" t="str">
        <f>IF(NOT(ISBLANK(Curs!C87)),IF(ABS(P88+R88+T88+V88+X88+Z88+AB88)&lt;&gt;0,ABS(P88+R88+T88+V88+X88+Z88+AB88),""),"")</f>
        <v/>
      </c>
      <c r="AD88" s="124" t="str">
        <f>IF(NOT(ISBLANK(Curs!C87)),IFERROR(SUM(O88,Q88,S88,U88,W88,Y88,AA88)/COUNT(O88,Q88,S88,U88,W88,Y88,AA88),""),"")</f>
        <v/>
      </c>
      <c r="AE88" s="52"/>
    </row>
    <row r="89" spans="2:31" ht="20.399999999999999" x14ac:dyDescent="0.35">
      <c r="B89" s="34" t="str">
        <f>IF(NOT(ISBLANK(Curs!B88)),Curs!B88,"")</f>
        <v/>
      </c>
      <c r="C89" s="68" t="str">
        <f>IF(NOT(ISBLANK(Curs!C88)),Curs!C88,"")</f>
        <v/>
      </c>
      <c r="D89" s="34"/>
      <c r="E89" s="33"/>
      <c r="F89" s="33"/>
      <c r="G89" s="33"/>
      <c r="H89" s="33"/>
      <c r="I89" s="33"/>
      <c r="J89" s="33"/>
      <c r="K89" s="34" t="str">
        <f t="shared" si="6"/>
        <v/>
      </c>
      <c r="L89" s="55"/>
      <c r="M89" s="69" t="str">
        <f t="shared" si="7"/>
        <v/>
      </c>
      <c r="N89" s="70" t="str">
        <f t="shared" si="8"/>
        <v/>
      </c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121" t="str">
        <f>IF(NOT(ISBLANK(Curs!C88)),IF(ABS(P89+R89+T89+V89+X89+Z89+AB89)&lt;&gt;0,ABS(P89+R89+T89+V89+X89+Z89+AB89),""),"")</f>
        <v/>
      </c>
      <c r="AD89" s="124" t="str">
        <f>IF(NOT(ISBLANK(Curs!C88)),IFERROR(SUM(O89,Q89,S89,U89,W89,Y89,AA89)/COUNT(O89,Q89,S89,U89,W89,Y89,AA89),""),"")</f>
        <v/>
      </c>
      <c r="AE89" s="52"/>
    </row>
    <row r="90" spans="2:31" ht="20.399999999999999" x14ac:dyDescent="0.35">
      <c r="B90" s="34" t="str">
        <f>IF(NOT(ISBLANK(Curs!B89)),Curs!B89,"")</f>
        <v/>
      </c>
      <c r="C90" s="68" t="str">
        <f>IF(NOT(ISBLANK(Curs!C89)),Curs!C89,"")</f>
        <v/>
      </c>
      <c r="D90" s="34"/>
      <c r="E90" s="33"/>
      <c r="F90" s="33"/>
      <c r="G90" s="33"/>
      <c r="H90" s="33"/>
      <c r="I90" s="33"/>
      <c r="J90" s="33"/>
      <c r="K90" s="34" t="str">
        <f t="shared" si="6"/>
        <v/>
      </c>
      <c r="L90" s="55"/>
      <c r="M90" s="69" t="str">
        <f t="shared" si="7"/>
        <v/>
      </c>
      <c r="N90" s="70" t="str">
        <f t="shared" si="8"/>
        <v/>
      </c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121" t="str">
        <f>IF(NOT(ISBLANK(Curs!C89)),IF(ABS(P90+R90+T90+V90+X90+Z90+AB90)&lt;&gt;0,ABS(P90+R90+T90+V90+X90+Z90+AB90),""),"")</f>
        <v/>
      </c>
      <c r="AD90" s="124" t="str">
        <f>IF(NOT(ISBLANK(Curs!C89)),IFERROR(SUM(O90,Q90,S90,U90,W90,Y90,AA90)/COUNT(O90,Q90,S90,U90,W90,Y90,AA90),""),"")</f>
        <v/>
      </c>
      <c r="AE90" s="52"/>
    </row>
    <row r="91" spans="2:31" ht="20.399999999999999" x14ac:dyDescent="0.35">
      <c r="B91" s="34" t="str">
        <f>IF(NOT(ISBLANK(Curs!B90)),Curs!B90,"")</f>
        <v/>
      </c>
      <c r="C91" s="68" t="str">
        <f>IF(NOT(ISBLANK(Curs!C90)),Curs!C90,"")</f>
        <v/>
      </c>
      <c r="D91" s="34"/>
      <c r="E91" s="33"/>
      <c r="F91" s="33"/>
      <c r="G91" s="33"/>
      <c r="H91" s="33"/>
      <c r="I91" s="33"/>
      <c r="J91" s="33"/>
      <c r="K91" s="34" t="str">
        <f t="shared" si="6"/>
        <v/>
      </c>
      <c r="L91" s="55"/>
      <c r="M91" s="69" t="str">
        <f t="shared" si="7"/>
        <v/>
      </c>
      <c r="N91" s="70" t="str">
        <f t="shared" si="8"/>
        <v/>
      </c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121" t="str">
        <f>IF(NOT(ISBLANK(Curs!C90)),IF(ABS(P91+R91+T91+V91+X91+Z91+AB91)&lt;&gt;0,ABS(P91+R91+T91+V91+X91+Z91+AB91),""),"")</f>
        <v/>
      </c>
      <c r="AD91" s="124" t="str">
        <f>IF(NOT(ISBLANK(Curs!C90)),IFERROR(SUM(O91,Q91,S91,U91,W91,Y91,AA91)/COUNT(O91,Q91,S91,U91,W91,Y91,AA91),""),"")</f>
        <v/>
      </c>
      <c r="AE91" s="52"/>
    </row>
    <row r="92" spans="2:31" ht="20.399999999999999" x14ac:dyDescent="0.35">
      <c r="B92" s="34" t="str">
        <f>IF(NOT(ISBLANK(Curs!B91)),Curs!B91,"")</f>
        <v/>
      </c>
      <c r="C92" s="68" t="str">
        <f>IF(NOT(ISBLANK(Curs!C91)),Curs!C91,"")</f>
        <v/>
      </c>
      <c r="D92" s="34"/>
      <c r="E92" s="33"/>
      <c r="F92" s="33"/>
      <c r="G92" s="33"/>
      <c r="H92" s="33"/>
      <c r="I92" s="33"/>
      <c r="J92" s="33"/>
      <c r="K92" s="34" t="str">
        <f t="shared" si="6"/>
        <v/>
      </c>
      <c r="L92" s="55"/>
      <c r="M92" s="69" t="str">
        <f t="shared" si="7"/>
        <v/>
      </c>
      <c r="N92" s="70" t="str">
        <f t="shared" si="8"/>
        <v/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121" t="str">
        <f>IF(NOT(ISBLANK(Curs!C91)),IF(ABS(P92+R92+T92+V92+X92+Z92+AB92)&lt;&gt;0,ABS(P92+R92+T92+V92+X92+Z92+AB92),""),"")</f>
        <v/>
      </c>
      <c r="AD92" s="124" t="str">
        <f>IF(NOT(ISBLANK(Curs!C91)),IFERROR(SUM(O92,Q92,S92,U92,W92,Y92,AA92)/COUNT(O92,Q92,S92,U92,W92,Y92,AA92),""),"")</f>
        <v/>
      </c>
      <c r="AE92" s="52"/>
    </row>
    <row r="93" spans="2:31" ht="20.399999999999999" x14ac:dyDescent="0.35">
      <c r="B93" s="34" t="str">
        <f>IF(NOT(ISBLANK(Curs!B92)),Curs!B92,"")</f>
        <v/>
      </c>
      <c r="C93" s="68" t="str">
        <f>IF(NOT(ISBLANK(Curs!C92)),Curs!C92,"")</f>
        <v/>
      </c>
      <c r="D93" s="34"/>
      <c r="E93" s="33"/>
      <c r="F93" s="33"/>
      <c r="G93" s="33"/>
      <c r="H93" s="33"/>
      <c r="I93" s="33"/>
      <c r="J93" s="33"/>
      <c r="K93" s="34" t="str">
        <f t="shared" si="6"/>
        <v/>
      </c>
      <c r="L93" s="55"/>
      <c r="M93" s="69" t="str">
        <f t="shared" si="7"/>
        <v/>
      </c>
      <c r="N93" s="70" t="str">
        <f t="shared" si="8"/>
        <v/>
      </c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121" t="str">
        <f>IF(NOT(ISBLANK(Curs!C92)),IF(ABS(P93+R93+T93+V93+X93+Z93+AB93)&lt;&gt;0,ABS(P93+R93+T93+V93+X93+Z93+AB93),""),"")</f>
        <v/>
      </c>
      <c r="AD93" s="124" t="str">
        <f>IF(NOT(ISBLANK(Curs!C92)),IFERROR(SUM(O93,Q93,S93,U93,W93,Y93,AA93)/COUNT(O93,Q93,S93,U93,W93,Y93,AA93),""),"")</f>
        <v/>
      </c>
      <c r="AE93" s="52"/>
    </row>
    <row r="94" spans="2:31" ht="20.399999999999999" x14ac:dyDescent="0.35">
      <c r="B94" s="34" t="str">
        <f>IF(NOT(ISBLANK(Curs!B93)),Curs!B93,"")</f>
        <v/>
      </c>
      <c r="C94" s="68" t="str">
        <f>IF(NOT(ISBLANK(Curs!C93)),Curs!C93,"")</f>
        <v/>
      </c>
      <c r="D94" s="34"/>
      <c r="E94" s="33"/>
      <c r="F94" s="33"/>
      <c r="G94" s="33"/>
      <c r="H94" s="33"/>
      <c r="I94" s="33"/>
      <c r="J94" s="33"/>
      <c r="K94" s="34" t="str">
        <f t="shared" si="6"/>
        <v/>
      </c>
      <c r="L94" s="55"/>
      <c r="M94" s="69" t="str">
        <f t="shared" si="7"/>
        <v/>
      </c>
      <c r="N94" s="70" t="str">
        <f t="shared" si="8"/>
        <v/>
      </c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121" t="str">
        <f>IF(NOT(ISBLANK(Curs!C93)),IF(ABS(P94+R94+T94+V94+X94+Z94+AB94)&lt;&gt;0,ABS(P94+R94+T94+V94+X94+Z94+AB94),""),"")</f>
        <v/>
      </c>
      <c r="AD94" s="124" t="str">
        <f>IF(NOT(ISBLANK(Curs!C93)),IFERROR(SUM(O94,Q94,S94,U94,W94,Y94,AA94)/COUNT(O94,Q94,S94,U94,W94,Y94,AA94),""),"")</f>
        <v/>
      </c>
      <c r="AE94" s="52"/>
    </row>
    <row r="95" spans="2:31" ht="20.399999999999999" x14ac:dyDescent="0.35">
      <c r="B95" s="34" t="str">
        <f>IF(NOT(ISBLANK(Curs!B94)),Curs!B94,"")</f>
        <v/>
      </c>
      <c r="C95" s="68" t="str">
        <f>IF(NOT(ISBLANK(Curs!C94)),Curs!C94,"")</f>
        <v/>
      </c>
      <c r="D95" s="34"/>
      <c r="E95" s="33"/>
      <c r="F95" s="33"/>
      <c r="G95" s="33"/>
      <c r="H95" s="33"/>
      <c r="I95" s="33"/>
      <c r="J95" s="33"/>
      <c r="K95" s="34" t="str">
        <f t="shared" si="6"/>
        <v/>
      </c>
      <c r="L95" s="55"/>
      <c r="M95" s="69" t="str">
        <f t="shared" si="7"/>
        <v/>
      </c>
      <c r="N95" s="70" t="str">
        <f t="shared" si="8"/>
        <v/>
      </c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121" t="str">
        <f>IF(NOT(ISBLANK(Curs!C94)),IF(ABS(P95+R95+T95+V95+X95+Z95+AB95)&lt;&gt;0,ABS(P95+R95+T95+V95+X95+Z95+AB95),""),"")</f>
        <v/>
      </c>
      <c r="AD95" s="124" t="str">
        <f>IF(NOT(ISBLANK(Curs!C94)),IFERROR(SUM(O95,Q95,S95,U95,W95,Y95,AA95)/COUNT(O95,Q95,S95,U95,W95,Y95,AA95),""),"")</f>
        <v/>
      </c>
      <c r="AE95" s="52"/>
    </row>
    <row r="96" spans="2:31" ht="20.399999999999999" x14ac:dyDescent="0.35">
      <c r="B96" s="34" t="str">
        <f>IF(NOT(ISBLANK(Curs!B95)),Curs!B95,"")</f>
        <v/>
      </c>
      <c r="C96" s="68" t="str">
        <f>IF(NOT(ISBLANK(Curs!C95)),Curs!C95,"")</f>
        <v/>
      </c>
      <c r="D96" s="34"/>
      <c r="E96" s="33"/>
      <c r="F96" s="33"/>
      <c r="G96" s="33"/>
      <c r="H96" s="33"/>
      <c r="I96" s="33"/>
      <c r="J96" s="33"/>
      <c r="K96" s="34" t="str">
        <f t="shared" si="6"/>
        <v/>
      </c>
      <c r="L96" s="55"/>
      <c r="M96" s="69" t="str">
        <f t="shared" si="7"/>
        <v/>
      </c>
      <c r="N96" s="70" t="str">
        <f t="shared" si="8"/>
        <v/>
      </c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121" t="str">
        <f>IF(NOT(ISBLANK(Curs!C95)),IF(ABS(P96+R96+T96+V96+X96+Z96+AB96)&lt;&gt;0,ABS(P96+R96+T96+V96+X96+Z96+AB96),""),"")</f>
        <v/>
      </c>
      <c r="AD96" s="124" t="str">
        <f>IF(NOT(ISBLANK(Curs!C95)),IFERROR(SUM(O96,Q96,S96,U96,W96,Y96,AA96)/COUNT(O96,Q96,S96,U96,W96,Y96,AA96),""),"")</f>
        <v/>
      </c>
      <c r="AE96" s="52"/>
    </row>
    <row r="97" spans="2:31" ht="20.399999999999999" x14ac:dyDescent="0.35">
      <c r="B97" s="34" t="str">
        <f>IF(NOT(ISBLANK(Curs!B96)),Curs!B96,"")</f>
        <v/>
      </c>
      <c r="C97" s="68" t="str">
        <f>IF(NOT(ISBLANK(Curs!C96)),Curs!C96,"")</f>
        <v/>
      </c>
      <c r="D97" s="34"/>
      <c r="E97" s="33"/>
      <c r="F97" s="33"/>
      <c r="G97" s="33"/>
      <c r="H97" s="33"/>
      <c r="I97" s="33"/>
      <c r="J97" s="33"/>
      <c r="K97" s="34" t="str">
        <f t="shared" si="6"/>
        <v/>
      </c>
      <c r="L97" s="55"/>
      <c r="M97" s="69" t="str">
        <f t="shared" si="7"/>
        <v/>
      </c>
      <c r="N97" s="70" t="str">
        <f t="shared" si="8"/>
        <v/>
      </c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121" t="str">
        <f>IF(NOT(ISBLANK(Curs!C96)),IF(ABS(P97+R97+T97+V97+X97+Z97+AB97)&lt;&gt;0,ABS(P97+R97+T97+V97+X97+Z97+AB97),""),"")</f>
        <v/>
      </c>
      <c r="AD97" s="124" t="str">
        <f>IF(NOT(ISBLANK(Curs!C96)),IFERROR(SUM(O97,Q97,S97,U97,W97,Y97,AA97)/COUNT(O97,Q97,S97,U97,W97,Y97,AA97),""),"")</f>
        <v/>
      </c>
      <c r="AE97" s="52"/>
    </row>
    <row r="98" spans="2:31" ht="20.399999999999999" x14ac:dyDescent="0.35">
      <c r="B98" s="34" t="str">
        <f>IF(NOT(ISBLANK(Curs!B97)),Curs!B97,"")</f>
        <v/>
      </c>
      <c r="C98" s="68" t="str">
        <f>IF(NOT(ISBLANK(Curs!C97)),Curs!C97,"")</f>
        <v/>
      </c>
      <c r="D98" s="34"/>
      <c r="E98" s="33"/>
      <c r="F98" s="33"/>
      <c r="G98" s="33"/>
      <c r="H98" s="33"/>
      <c r="I98" s="33"/>
      <c r="J98" s="33"/>
      <c r="K98" s="34" t="str">
        <f t="shared" si="6"/>
        <v/>
      </c>
      <c r="L98" s="55"/>
      <c r="M98" s="69" t="str">
        <f t="shared" si="7"/>
        <v/>
      </c>
      <c r="N98" s="70" t="str">
        <f t="shared" si="8"/>
        <v/>
      </c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121" t="str">
        <f>IF(NOT(ISBLANK(Curs!C97)),IF(ABS(P98+R98+T98+V98+X98+Z98+AB98)&lt;&gt;0,ABS(P98+R98+T98+V98+X98+Z98+AB98),""),"")</f>
        <v/>
      </c>
      <c r="AD98" s="124" t="str">
        <f>IF(NOT(ISBLANK(Curs!C97)),IFERROR(SUM(O98,Q98,S98,U98,W98,Y98,AA98)/COUNT(O98,Q98,S98,U98,W98,Y98,AA98),""),"")</f>
        <v/>
      </c>
      <c r="AE98" s="52"/>
    </row>
    <row r="99" spans="2:31" ht="20.399999999999999" x14ac:dyDescent="0.35">
      <c r="B99" s="34" t="str">
        <f>IF(NOT(ISBLANK(Curs!B98)),Curs!B98,"")</f>
        <v/>
      </c>
      <c r="C99" s="68" t="str">
        <f>IF(NOT(ISBLANK(Curs!C98)),Curs!C98,"")</f>
        <v/>
      </c>
      <c r="D99" s="34"/>
      <c r="E99" s="33"/>
      <c r="F99" s="33"/>
      <c r="G99" s="33"/>
      <c r="H99" s="33"/>
      <c r="I99" s="33"/>
      <c r="J99" s="33"/>
      <c r="K99" s="34" t="str">
        <f t="shared" si="6"/>
        <v/>
      </c>
      <c r="L99" s="55"/>
      <c r="M99" s="69" t="str">
        <f t="shared" si="7"/>
        <v/>
      </c>
      <c r="N99" s="70" t="str">
        <f t="shared" si="8"/>
        <v/>
      </c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121" t="str">
        <f>IF(NOT(ISBLANK(Curs!C98)),IF(ABS(P99+R99+T99+V99+X99+Z99+AB99)&lt;&gt;0,ABS(P99+R99+T99+V99+X99+Z99+AB99),""),"")</f>
        <v/>
      </c>
      <c r="AD99" s="124" t="str">
        <f>IF(NOT(ISBLANK(Curs!C98)),IFERROR(SUM(O99,Q99,S99,U99,W99,Y99,AA99)/COUNT(O99,Q99,S99,U99,W99,Y99,AA99),""),"")</f>
        <v/>
      </c>
      <c r="AE99" s="52"/>
    </row>
    <row r="100" spans="2:31" ht="20.399999999999999" x14ac:dyDescent="0.35">
      <c r="B100" s="34" t="str">
        <f>IF(NOT(ISBLANK(Curs!B99)),Curs!B99,"")</f>
        <v/>
      </c>
      <c r="C100" s="68" t="str">
        <f>IF(NOT(ISBLANK(Curs!C99)),Curs!C99,"")</f>
        <v/>
      </c>
      <c r="D100" s="34"/>
      <c r="E100" s="33"/>
      <c r="F100" s="33"/>
      <c r="G100" s="33"/>
      <c r="H100" s="33"/>
      <c r="I100" s="33"/>
      <c r="J100" s="33"/>
      <c r="K100" s="34" t="str">
        <f t="shared" si="6"/>
        <v/>
      </c>
      <c r="L100" s="55"/>
      <c r="M100" s="69" t="str">
        <f t="shared" si="7"/>
        <v/>
      </c>
      <c r="N100" s="70" t="str">
        <f t="shared" si="8"/>
        <v/>
      </c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121" t="str">
        <f>IF(NOT(ISBLANK(Curs!C99)),IF(ABS(P100+R100+T100+V100+X100+Z100+AB100)&lt;&gt;0,ABS(P100+R100+T100+V100+X100+Z100+AB100),""),"")</f>
        <v/>
      </c>
      <c r="AD100" s="124" t="str">
        <f>IF(NOT(ISBLANK(Curs!C99)),IFERROR(SUM(O100,Q100,S100,U100,W100,Y100,AA100)/COUNT(O100,Q100,S100,U100,W100,Y100,AA100),""),"")</f>
        <v/>
      </c>
      <c r="AE100" s="52"/>
    </row>
    <row r="101" spans="2:31" ht="20.399999999999999" x14ac:dyDescent="0.35">
      <c r="B101" s="34" t="str">
        <f>IF(NOT(ISBLANK(Curs!B100)),Curs!B100,"")</f>
        <v/>
      </c>
      <c r="C101" s="68" t="str">
        <f>IF(NOT(ISBLANK(Curs!C100)),Curs!C100,"")</f>
        <v/>
      </c>
      <c r="D101" s="34"/>
      <c r="E101" s="33"/>
      <c r="F101" s="33"/>
      <c r="G101" s="33"/>
      <c r="H101" s="33"/>
      <c r="I101" s="33"/>
      <c r="J101" s="33"/>
      <c r="K101" s="34" t="str">
        <f t="shared" si="6"/>
        <v/>
      </c>
      <c r="L101" s="55"/>
      <c r="M101" s="69" t="str">
        <f t="shared" si="7"/>
        <v/>
      </c>
      <c r="N101" s="70" t="str">
        <f t="shared" si="8"/>
        <v/>
      </c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121" t="str">
        <f>IF(NOT(ISBLANK(Curs!C100)),IF(ABS(P101+R101+T101+V101+X101+Z101+AB101)&lt;&gt;0,ABS(P101+R101+T101+V101+X101+Z101+AB101),""),"")</f>
        <v/>
      </c>
      <c r="AD101" s="124" t="str">
        <f>IF(NOT(ISBLANK(Curs!C100)),IFERROR(SUM(O101,Q101,S101,U101,W101,Y101,AA101)/COUNT(O101,Q101,S101,U101,W101,Y101,AA101),""),"")</f>
        <v/>
      </c>
      <c r="AE101" s="52"/>
    </row>
    <row r="102" spans="2:31" ht="20.399999999999999" x14ac:dyDescent="0.35">
      <c r="B102" s="34" t="str">
        <f>IF(NOT(ISBLANK(Curs!B101)),Curs!B101,"")</f>
        <v/>
      </c>
      <c r="C102" s="68" t="str">
        <f>IF(NOT(ISBLANK(Curs!C101)),Curs!C101,"")</f>
        <v/>
      </c>
      <c r="D102" s="34"/>
      <c r="E102" s="33"/>
      <c r="F102" s="33"/>
      <c r="G102" s="33"/>
      <c r="H102" s="33"/>
      <c r="I102" s="33"/>
      <c r="J102" s="33"/>
      <c r="K102" s="34" t="str">
        <f t="shared" si="6"/>
        <v/>
      </c>
      <c r="L102" s="55"/>
      <c r="M102" s="69" t="str">
        <f t="shared" si="7"/>
        <v/>
      </c>
      <c r="N102" s="70" t="str">
        <f t="shared" si="8"/>
        <v/>
      </c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121" t="str">
        <f>IF(NOT(ISBLANK(Curs!C101)),IF(ABS(P102+R102+T102+V102+X102+Z102+AB102)&lt;&gt;0,ABS(P102+R102+T102+V102+X102+Z102+AB102),""),"")</f>
        <v/>
      </c>
      <c r="AD102" s="124" t="str">
        <f>IF(NOT(ISBLANK(Curs!C101)),IFERROR(SUM(O102,Q102,S102,U102,W102,Y102,AA102)/COUNT(O102,Q102,S102,U102,W102,Y102,AA102),""),"")</f>
        <v/>
      </c>
      <c r="AE102" s="52"/>
    </row>
    <row r="103" spans="2:31" ht="20.399999999999999" x14ac:dyDescent="0.35">
      <c r="B103" s="34" t="str">
        <f>IF(NOT(ISBLANK(Curs!B102)),Curs!B102,"")</f>
        <v/>
      </c>
      <c r="C103" s="68" t="str">
        <f>IF(NOT(ISBLANK(Curs!C102)),Curs!C102,"")</f>
        <v/>
      </c>
      <c r="D103" s="34"/>
      <c r="E103" s="33"/>
      <c r="F103" s="33"/>
      <c r="G103" s="33"/>
      <c r="H103" s="33"/>
      <c r="I103" s="33"/>
      <c r="J103" s="33"/>
      <c r="K103" s="34" t="str">
        <f t="shared" ref="K103:K106" si="9">IF(C103&lt;&gt;"",IF(COUNTIF(E103:J103,"a")&lt;&gt;0,COUNTIF(E103:J103,"a")*2,""),"")</f>
        <v/>
      </c>
      <c r="L103" s="55"/>
      <c r="M103" s="69" t="str">
        <f t="shared" si="7"/>
        <v/>
      </c>
      <c r="N103" s="70" t="str">
        <f t="shared" si="8"/>
        <v/>
      </c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121" t="str">
        <f>IF(NOT(ISBLANK(Curs!C102)),IF(ABS(P103+R103+T103+V103+X103+Z103+AB103)&lt;&gt;0,ABS(P103+R103+T103+V103+X103+Z103+AB103),""),"")</f>
        <v/>
      </c>
      <c r="AD103" s="124" t="str">
        <f>IF(NOT(ISBLANK(Curs!C102)),IFERROR(SUM(O103,Q103,S103,U103,W103,Y103,AA103)/COUNT(O103,Q103,S103,U103,W103,Y103,AA103),""),"")</f>
        <v/>
      </c>
      <c r="AE103" s="52"/>
    </row>
    <row r="104" spans="2:31" ht="20.399999999999999" x14ac:dyDescent="0.35">
      <c r="B104" s="34" t="str">
        <f>IF(NOT(ISBLANK(Curs!B103)),Curs!B103,"")</f>
        <v/>
      </c>
      <c r="C104" s="68" t="str">
        <f>IF(NOT(ISBLANK(Curs!C103)),Curs!C103,"")</f>
        <v/>
      </c>
      <c r="D104" s="34"/>
      <c r="E104" s="33"/>
      <c r="F104" s="33"/>
      <c r="G104" s="33"/>
      <c r="H104" s="33"/>
      <c r="I104" s="33"/>
      <c r="J104" s="33"/>
      <c r="K104" s="34" t="str">
        <f t="shared" si="9"/>
        <v/>
      </c>
      <c r="L104" s="55"/>
      <c r="M104" s="69" t="str">
        <f t="shared" si="7"/>
        <v/>
      </c>
      <c r="N104" s="70" t="str">
        <f t="shared" si="8"/>
        <v/>
      </c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121" t="str">
        <f>IF(NOT(ISBLANK(Curs!C103)),IF(ABS(P104+R104+T104+V104+X104+Z104+AB104)&lt;&gt;0,ABS(P104+R104+T104+V104+X104+Z104+AB104),""),"")</f>
        <v/>
      </c>
      <c r="AD104" s="124" t="str">
        <f>IF(NOT(ISBLANK(Curs!C103)),IFERROR(SUM(O104,Q104,S104,U104,W104,Y104,AA104)/COUNT(O104,Q104,S104,U104,W104,Y104,AA104),""),"")</f>
        <v/>
      </c>
      <c r="AE104" s="52"/>
    </row>
    <row r="105" spans="2:31" ht="20.399999999999999" x14ac:dyDescent="0.35">
      <c r="B105" s="34" t="str">
        <f>IF(NOT(ISBLANK(Curs!B104)),Curs!B104,"")</f>
        <v/>
      </c>
      <c r="C105" s="68" t="str">
        <f>IF(NOT(ISBLANK(Curs!C104)),Curs!C104,"")</f>
        <v/>
      </c>
      <c r="D105" s="34"/>
      <c r="E105" s="33"/>
      <c r="F105" s="33"/>
      <c r="G105" s="33"/>
      <c r="H105" s="33"/>
      <c r="I105" s="33"/>
      <c r="J105" s="33"/>
      <c r="K105" s="34" t="str">
        <f t="shared" si="9"/>
        <v/>
      </c>
      <c r="L105" s="55"/>
      <c r="M105" s="69" t="str">
        <f t="shared" si="7"/>
        <v/>
      </c>
      <c r="N105" s="70" t="str">
        <f t="shared" si="8"/>
        <v/>
      </c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121" t="str">
        <f>IF(NOT(ISBLANK(Curs!C104)),IF(ABS(P105+R105+T105+V105+X105+Z105+AB105)&lt;&gt;0,ABS(P105+R105+T105+V105+X105+Z105+AB105),""),"")</f>
        <v/>
      </c>
      <c r="AD105" s="124" t="str">
        <f>IF(NOT(ISBLANK(Curs!C104)),IFERROR(SUM(O105,Q105,S105,U105,W105,Y105,AA105)/COUNT(O105,Q105,S105,U105,W105,Y105,AA105),""),"")</f>
        <v/>
      </c>
    </row>
    <row r="106" spans="2:31" s="55" customFormat="1" ht="20.399999999999999" x14ac:dyDescent="0.35">
      <c r="B106" s="34" t="str">
        <f>IF(NOT(ISBLANK(Curs!B105)),Curs!B105,"")</f>
        <v/>
      </c>
      <c r="C106" s="68" t="str">
        <f>IF(NOT(ISBLANK(Curs!C105)),Curs!C105,"")</f>
        <v/>
      </c>
      <c r="D106" s="52"/>
      <c r="E106" s="120"/>
      <c r="F106" s="120"/>
      <c r="G106" s="120"/>
      <c r="H106" s="120"/>
      <c r="I106" s="120"/>
      <c r="J106" s="120"/>
      <c r="K106" s="34" t="str">
        <f t="shared" si="9"/>
        <v/>
      </c>
      <c r="M106" s="69" t="str">
        <f t="shared" si="7"/>
        <v/>
      </c>
      <c r="N106" s="70" t="str">
        <f t="shared" si="8"/>
        <v/>
      </c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121" t="str">
        <f>IF(NOT(ISBLANK(Curs!C105)),IF(ABS(P106+R106+T106+V106+X106+Z106+AB106)&lt;&gt;0,ABS(P106+R106+T106+V106+X106+Z106+AB106),""),"")</f>
        <v/>
      </c>
      <c r="AD106" s="124" t="str">
        <f>IF(NOT(ISBLANK(Curs!C105)),IFERROR(SUM(O106,Q106,S106,U106,W106,Y106,AA106)/COUNT(O106,Q106,S106,U106,W106,Y106,AA106),""),"")</f>
        <v/>
      </c>
    </row>
    <row r="107" spans="2:31" ht="21" x14ac:dyDescent="0.4">
      <c r="AD107" s="125"/>
    </row>
    <row r="108" spans="2:31" ht="21" x14ac:dyDescent="0.4">
      <c r="AD108" s="125"/>
    </row>
    <row r="109" spans="2:31" ht="21" x14ac:dyDescent="0.4">
      <c r="AD109" s="125"/>
    </row>
    <row r="110" spans="2:31" ht="21" x14ac:dyDescent="0.4">
      <c r="AD110" s="125"/>
    </row>
    <row r="111" spans="2:31" ht="21" x14ac:dyDescent="0.4">
      <c r="AD111" s="125"/>
    </row>
    <row r="112" spans="2:31" x14ac:dyDescent="0.3">
      <c r="AD112" s="72"/>
    </row>
    <row r="113" spans="30:30" x14ac:dyDescent="0.3">
      <c r="AD113" s="72"/>
    </row>
  </sheetData>
  <mergeCells count="17">
    <mergeCell ref="AC4:AD5"/>
    <mergeCell ref="M2:AD2"/>
    <mergeCell ref="Y5:Z5"/>
    <mergeCell ref="AA5:AB5"/>
    <mergeCell ref="AA4:AB4"/>
    <mergeCell ref="Y4:Z4"/>
    <mergeCell ref="B2:J2"/>
    <mergeCell ref="Q5:R5"/>
    <mergeCell ref="S5:T5"/>
    <mergeCell ref="U5:V5"/>
    <mergeCell ref="W5:X5"/>
    <mergeCell ref="U4:V4"/>
    <mergeCell ref="W4:X4"/>
    <mergeCell ref="O5:P5"/>
    <mergeCell ref="O4:P4"/>
    <mergeCell ref="Q4:R4"/>
    <mergeCell ref="S4:T4"/>
  </mergeCells>
  <conditionalFormatting sqref="B7:D106">
    <cfRule type="expression" dxfId="6" priority="5">
      <formula>IF(ISNUMBER($B7),$B7&gt;COUNT($B$7:$B$106)/$D$4,"")</formula>
    </cfRule>
    <cfRule type="expression" dxfId="5" priority="11">
      <formula>IF(ISNUMBER($B7),$B7&lt;=COUNT($B$7:$B$106)/$D$4,"")</formula>
    </cfRule>
  </conditionalFormatting>
  <conditionalFormatting sqref="B7:K106">
    <cfRule type="expression" dxfId="4" priority="2">
      <formula>$B7&lt;&gt;""</formula>
    </cfRule>
  </conditionalFormatting>
  <conditionalFormatting sqref="K7:K106">
    <cfRule type="expression" dxfId="3" priority="1">
      <formula>$B7&lt;&gt;""</formula>
    </cfRule>
  </conditionalFormatting>
  <conditionalFormatting sqref="M7:AD106">
    <cfRule type="expression" dxfId="2" priority="4">
      <formula>$B7&lt;&gt;""</formula>
    </cfRule>
  </conditionalFormatting>
  <conditionalFormatting sqref="AC7:AC106">
    <cfRule type="expression" dxfId="1" priority="3">
      <formula>$AC7&lt;&gt;""</formula>
    </cfRule>
  </conditionalFormatting>
  <dataValidations count="1">
    <dataValidation type="list" allowBlank="1" showInputMessage="1" showErrorMessage="1" sqref="D4" xr:uid="{00000000-0002-0000-0100-000000000000}">
      <formula1>"1,2"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4"/>
  <sheetViews>
    <sheetView zoomScale="85" zoomScaleNormal="85" workbookViewId="0">
      <selection activeCell="G2" sqref="G2"/>
    </sheetView>
  </sheetViews>
  <sheetFormatPr defaultRowHeight="18" x14ac:dyDescent="0.35"/>
  <cols>
    <col min="1" max="1" width="4.44140625" style="18" customWidth="1"/>
    <col min="2" max="2" width="24.6640625" customWidth="1"/>
    <col min="3" max="3" width="8" style="47" customWidth="1"/>
    <col min="4" max="6" width="8.109375" style="50" customWidth="1"/>
    <col min="7" max="7" width="8.109375" style="25" customWidth="1"/>
    <col min="8" max="8" width="11.109375" bestFit="1" customWidth="1"/>
    <col min="10" max="10" width="11.33203125" customWidth="1"/>
  </cols>
  <sheetData>
    <row r="1" spans="1:13" x14ac:dyDescent="0.35">
      <c r="A1" s="26" t="s">
        <v>0</v>
      </c>
      <c r="B1" s="19" t="s">
        <v>1</v>
      </c>
      <c r="C1" s="44" t="s">
        <v>29</v>
      </c>
      <c r="D1" s="48" t="s">
        <v>23</v>
      </c>
      <c r="E1" s="48" t="s">
        <v>24</v>
      </c>
      <c r="F1" s="48" t="s">
        <v>105</v>
      </c>
      <c r="G1" s="43" t="s">
        <v>13</v>
      </c>
      <c r="H1" s="6"/>
      <c r="I1" s="171" t="s">
        <v>38</v>
      </c>
      <c r="J1" s="171"/>
      <c r="K1" s="9"/>
      <c r="L1" s="9"/>
      <c r="M1" s="9"/>
    </row>
    <row r="2" spans="1:13" x14ac:dyDescent="0.35">
      <c r="A2" s="30">
        <f>IF(NOT(ISBLANK(Curs!B6)),Curs!B6,"")</f>
        <v>1</v>
      </c>
      <c r="B2" s="31" t="str">
        <f>IF(NOT(ISBLANK(Curs!C6)),Curs!C6,"")</f>
        <v>Nume, Prenume</v>
      </c>
      <c r="C2" s="45" t="s">
        <v>74</v>
      </c>
      <c r="D2" s="49"/>
      <c r="E2" s="49"/>
      <c r="F2" s="49"/>
      <c r="G2" s="32" t="str">
        <f>IF(NOT(ISBLANK(Curs!C6)),IF(AND(NOT(ISBLANK(D2)),NOT(ISBLANK(F2)),D2&gt;=5,F2&gt;=5),ROUND(AVERAGE(D2:F2),0),"n/p"),"")</f>
        <v>n/p</v>
      </c>
      <c r="H2" s="6"/>
      <c r="I2" s="27" t="s">
        <v>13</v>
      </c>
      <c r="J2" s="27" t="s">
        <v>15</v>
      </c>
      <c r="K2" s="13"/>
      <c r="L2" s="13"/>
      <c r="M2" s="13"/>
    </row>
    <row r="3" spans="1:13" x14ac:dyDescent="0.35">
      <c r="A3" s="30" t="str">
        <f>IF(NOT(ISBLANK(Curs!B7)),Curs!B7,"")</f>
        <v/>
      </c>
      <c r="B3" s="31" t="str">
        <f>IF(NOT(ISBLANK(Curs!C7)),Curs!C7,"")</f>
        <v/>
      </c>
      <c r="C3" s="45"/>
      <c r="D3" s="49"/>
      <c r="E3" s="49"/>
      <c r="F3" s="49"/>
      <c r="G3" s="32" t="str">
        <f>IF(NOT(ISBLANK(Curs!C7)),IF(AND(NOT(ISBLANK(D3)),NOT(ISBLANK(F3)),D3&gt;=5,F3&gt;=5),ROUND(AVERAGE(D3:F3),0),"n/p"),"")</f>
        <v/>
      </c>
      <c r="H3" s="21"/>
      <c r="I3" s="29">
        <v>1</v>
      </c>
      <c r="J3" s="27">
        <f>COUNTIF($G$2:$G$101,I3)</f>
        <v>0</v>
      </c>
      <c r="K3" s="13"/>
      <c r="L3" s="13"/>
      <c r="M3" s="13"/>
    </row>
    <row r="4" spans="1:13" x14ac:dyDescent="0.35">
      <c r="A4" s="30" t="str">
        <f>IF(NOT(ISBLANK(Curs!B8)),Curs!B8,"")</f>
        <v/>
      </c>
      <c r="B4" s="31" t="str">
        <f>IF(NOT(ISBLANK(Curs!C8)),Curs!C8,"")</f>
        <v/>
      </c>
      <c r="C4" s="45"/>
      <c r="D4" s="49"/>
      <c r="E4" s="49"/>
      <c r="F4" s="49"/>
      <c r="G4" s="32" t="str">
        <f>IF(NOT(ISBLANK(Curs!C8)),IF(AND(NOT(ISBLANK(D4)),NOT(ISBLANK(F4)),D4&gt;=5,F4&gt;=5),ROUND(AVERAGE(D4:F4),0),"n/p"),"")</f>
        <v/>
      </c>
      <c r="H4" s="21"/>
      <c r="I4" s="28">
        <v>2</v>
      </c>
      <c r="J4" s="27">
        <f t="shared" ref="J4:J13" si="0">COUNTIF($G$2:$G$101,I4)</f>
        <v>0</v>
      </c>
      <c r="K4" s="13"/>
      <c r="L4" s="13"/>
      <c r="M4" s="13"/>
    </row>
    <row r="5" spans="1:13" x14ac:dyDescent="0.35">
      <c r="A5" s="30" t="str">
        <f>IF(NOT(ISBLANK(Curs!B9)),Curs!B9,"")</f>
        <v/>
      </c>
      <c r="B5" s="31" t="str">
        <f>IF(NOT(ISBLANK(Curs!C9)),Curs!C9,"")</f>
        <v/>
      </c>
      <c r="C5" s="45"/>
      <c r="D5" s="49"/>
      <c r="E5" s="49"/>
      <c r="F5" s="49"/>
      <c r="G5" s="32" t="str">
        <f>IF(NOT(ISBLANK(Curs!C9)),IF(AND(NOT(ISBLANK(D5)),NOT(ISBLANK(F5)),D5&gt;=5,F5&gt;=5),ROUND(AVERAGE(D5:F5),0),"n/p"),"")</f>
        <v/>
      </c>
      <c r="H5" s="21"/>
      <c r="I5" s="28">
        <v>3</v>
      </c>
      <c r="J5" s="27">
        <f t="shared" si="0"/>
        <v>0</v>
      </c>
      <c r="K5" s="13"/>
      <c r="L5" s="13"/>
      <c r="M5" s="13"/>
    </row>
    <row r="6" spans="1:13" x14ac:dyDescent="0.35">
      <c r="A6" s="30" t="str">
        <f>IF(NOT(ISBLANK(Curs!B10)),Curs!B10,"")</f>
        <v/>
      </c>
      <c r="B6" s="31" t="str">
        <f>IF(NOT(ISBLANK(Curs!C10)),Curs!C10,"")</f>
        <v/>
      </c>
      <c r="C6" s="45"/>
      <c r="D6" s="49"/>
      <c r="E6" s="49"/>
      <c r="F6" s="49"/>
      <c r="G6" s="32" t="str">
        <f>IF(NOT(ISBLANK(Curs!C10)),IF(AND(NOT(ISBLANK(D6)),NOT(ISBLANK(F6)),D6&gt;=5,F6&gt;=5),ROUND(AVERAGE(D6:F6),0),"n/p"),"")</f>
        <v/>
      </c>
      <c r="H6" s="21"/>
      <c r="I6" s="29">
        <v>4</v>
      </c>
      <c r="J6" s="27">
        <f t="shared" si="0"/>
        <v>0</v>
      </c>
      <c r="K6" s="13"/>
      <c r="L6" s="13"/>
      <c r="M6" s="13"/>
    </row>
    <row r="7" spans="1:13" x14ac:dyDescent="0.35">
      <c r="A7" s="30" t="str">
        <f>IF(NOT(ISBLANK(Curs!B11)),Curs!B11,"")</f>
        <v/>
      </c>
      <c r="B7" s="31" t="str">
        <f>IF(NOT(ISBLANK(Curs!C11)),Curs!C11,"")</f>
        <v/>
      </c>
      <c r="C7" s="45"/>
      <c r="D7" s="49"/>
      <c r="E7" s="49"/>
      <c r="F7" s="49"/>
      <c r="G7" s="32" t="str">
        <f>IF(NOT(ISBLANK(Curs!C11)),IF(AND(NOT(ISBLANK(D7)),NOT(ISBLANK(F7)),D7&gt;=5,F7&gt;=5),ROUND(AVERAGE(D7:F7),0),"n/p"),"")</f>
        <v/>
      </c>
      <c r="H7" s="21"/>
      <c r="I7" s="29">
        <v>5</v>
      </c>
      <c r="J7" s="27">
        <f t="shared" si="0"/>
        <v>0</v>
      </c>
      <c r="K7" s="13"/>
      <c r="L7" s="13"/>
      <c r="M7" s="13"/>
    </row>
    <row r="8" spans="1:13" x14ac:dyDescent="0.35">
      <c r="A8" s="30" t="str">
        <f>IF(NOT(ISBLANK(Curs!B12)),Curs!B12,"")</f>
        <v/>
      </c>
      <c r="B8" s="31" t="str">
        <f>IF(NOT(ISBLANK(Curs!C12)),Curs!C12,"")</f>
        <v/>
      </c>
      <c r="C8" s="45"/>
      <c r="D8" s="49"/>
      <c r="E8" s="49"/>
      <c r="F8" s="49"/>
      <c r="G8" s="32" t="str">
        <f>IF(NOT(ISBLANK(Curs!C12)),IF(AND(NOT(ISBLANK(D8)),NOT(ISBLANK(F8)),D8&gt;=5,F8&gt;=5),ROUND(AVERAGE(D8:F8),0),"n/p"),"")</f>
        <v/>
      </c>
      <c r="H8" s="21"/>
      <c r="I8" s="29">
        <v>6</v>
      </c>
      <c r="J8" s="27">
        <f t="shared" si="0"/>
        <v>0</v>
      </c>
      <c r="K8" s="13"/>
      <c r="L8" s="13"/>
      <c r="M8" s="13"/>
    </row>
    <row r="9" spans="1:13" x14ac:dyDescent="0.35">
      <c r="A9" s="30" t="str">
        <f>IF(NOT(ISBLANK(Curs!B13)),Curs!B13,"")</f>
        <v/>
      </c>
      <c r="B9" s="31" t="str">
        <f>IF(NOT(ISBLANK(Curs!C13)),Curs!C13,"")</f>
        <v/>
      </c>
      <c r="C9" s="45"/>
      <c r="D9" s="49"/>
      <c r="E9" s="49"/>
      <c r="F9" s="49"/>
      <c r="G9" s="32" t="str">
        <f>IF(NOT(ISBLANK(Curs!C13)),IF(AND(NOT(ISBLANK(D9)),NOT(ISBLANK(F9)),D9&gt;=5,F9&gt;=5),ROUND(AVERAGE(D9:F9),0),"n/p"),"")</f>
        <v/>
      </c>
      <c r="H9" s="21"/>
      <c r="I9" s="29">
        <v>7</v>
      </c>
      <c r="J9" s="27">
        <f t="shared" si="0"/>
        <v>0</v>
      </c>
      <c r="K9" s="13"/>
      <c r="L9" s="13"/>
      <c r="M9" s="13"/>
    </row>
    <row r="10" spans="1:13" x14ac:dyDescent="0.35">
      <c r="A10" s="30" t="str">
        <f>IF(NOT(ISBLANK(Curs!B14)),Curs!B14,"")</f>
        <v/>
      </c>
      <c r="B10" s="31" t="str">
        <f>IF(NOT(ISBLANK(Curs!C14)),Curs!C14,"")</f>
        <v/>
      </c>
      <c r="C10" s="45"/>
      <c r="D10" s="49"/>
      <c r="E10" s="49"/>
      <c r="F10" s="49"/>
      <c r="G10" s="32" t="str">
        <f>IF(NOT(ISBLANK(Curs!C14)),IF(AND(NOT(ISBLANK(D10)),NOT(ISBLANK(F10)),D10&gt;=5,F10&gt;=5),ROUND(AVERAGE(D10:F10),0),"n/p"),"")</f>
        <v/>
      </c>
      <c r="H10" s="21"/>
      <c r="I10" s="29">
        <v>8</v>
      </c>
      <c r="J10" s="27">
        <f t="shared" si="0"/>
        <v>0</v>
      </c>
      <c r="K10" s="13"/>
      <c r="L10" s="13"/>
      <c r="M10" s="13"/>
    </row>
    <row r="11" spans="1:13" x14ac:dyDescent="0.35">
      <c r="A11" s="30" t="str">
        <f>IF(NOT(ISBLANK(Curs!B15)),Curs!B15,"")</f>
        <v/>
      </c>
      <c r="B11" s="31" t="str">
        <f>IF(NOT(ISBLANK(Curs!C15)),Curs!C15,"")</f>
        <v/>
      </c>
      <c r="C11" s="45"/>
      <c r="D11" s="49"/>
      <c r="E11" s="49"/>
      <c r="F11" s="49"/>
      <c r="G11" s="32" t="str">
        <f>IF(NOT(ISBLANK(Curs!C15)),IF(AND(NOT(ISBLANK(D11)),NOT(ISBLANK(F11)),D11&gt;=5,F11&gt;=5),ROUND(AVERAGE(D11:F11),0),"n/p"),"")</f>
        <v/>
      </c>
      <c r="H11" s="21"/>
      <c r="I11" s="29">
        <v>9</v>
      </c>
      <c r="J11" s="27">
        <f t="shared" si="0"/>
        <v>0</v>
      </c>
      <c r="K11" s="13"/>
      <c r="L11" s="13"/>
      <c r="M11" s="13"/>
    </row>
    <row r="12" spans="1:13" x14ac:dyDescent="0.35">
      <c r="A12" s="30" t="str">
        <f>IF(NOT(ISBLANK(Curs!B16)),Curs!B16,"")</f>
        <v/>
      </c>
      <c r="B12" s="31" t="str">
        <f>IF(NOT(ISBLANK(Curs!C16)),Curs!C16,"")</f>
        <v/>
      </c>
      <c r="C12" s="45"/>
      <c r="D12" s="49"/>
      <c r="E12" s="49"/>
      <c r="F12" s="49"/>
      <c r="G12" s="32" t="str">
        <f>IF(NOT(ISBLANK(Curs!C16)),IF(AND(NOT(ISBLANK(D12)),NOT(ISBLANK(F12)),D12&gt;=5,F12&gt;=5),ROUND(AVERAGE(D12:F12),0),"n/p"),"")</f>
        <v/>
      </c>
      <c r="H12" s="21"/>
      <c r="I12" s="29">
        <v>10</v>
      </c>
      <c r="J12" s="27">
        <f t="shared" si="0"/>
        <v>0</v>
      </c>
      <c r="K12" s="13"/>
      <c r="L12" s="13"/>
      <c r="M12" s="13"/>
    </row>
    <row r="13" spans="1:13" x14ac:dyDescent="0.35">
      <c r="A13" s="30" t="str">
        <f>IF(NOT(ISBLANK(Curs!B17)),Curs!B17,"")</f>
        <v/>
      </c>
      <c r="B13" s="31" t="str">
        <f>IF(NOT(ISBLANK(Curs!C17)),Curs!C17,"")</f>
        <v/>
      </c>
      <c r="C13" s="45"/>
      <c r="D13" s="49"/>
      <c r="E13" s="49"/>
      <c r="F13" s="49"/>
      <c r="G13" s="32" t="str">
        <f>IF(NOT(ISBLANK(Curs!C17)),IF(AND(NOT(ISBLANK(D13)),NOT(ISBLANK(F13)),D13&gt;=5,F13&gt;=5),ROUND(AVERAGE(D13:F13),0),"n/p"),"")</f>
        <v/>
      </c>
      <c r="H13" s="21"/>
      <c r="I13" s="29" t="s">
        <v>17</v>
      </c>
      <c r="J13" s="27">
        <f t="shared" si="0"/>
        <v>1</v>
      </c>
      <c r="K13" s="13"/>
      <c r="L13" s="16"/>
      <c r="M13" s="13"/>
    </row>
    <row r="14" spans="1:13" x14ac:dyDescent="0.35">
      <c r="A14" s="30" t="str">
        <f>IF(NOT(ISBLANK(Curs!B18)),Curs!B18,"")</f>
        <v/>
      </c>
      <c r="B14" s="31" t="str">
        <f>IF(NOT(ISBLANK(Curs!C18)),Curs!C18,"")</f>
        <v/>
      </c>
      <c r="C14" s="45"/>
      <c r="D14" s="49"/>
      <c r="E14" s="49"/>
      <c r="F14" s="49"/>
      <c r="G14" s="32" t="str">
        <f>IF(NOT(ISBLANK(Curs!C18)),IF(AND(NOT(ISBLANK(D14)),NOT(ISBLANK(F14)),D14&gt;=5,F14&gt;=5),ROUND(AVERAGE(D14:F14),0),"n/p"),"")</f>
        <v/>
      </c>
      <c r="H14" s="7"/>
      <c r="I14" s="15"/>
      <c r="J14" s="13"/>
      <c r="K14" s="16"/>
      <c r="L14" s="13"/>
      <c r="M14" s="16"/>
    </row>
    <row r="15" spans="1:13" x14ac:dyDescent="0.35">
      <c r="A15" s="30" t="str">
        <f>IF(NOT(ISBLANK(Curs!B19)),Curs!B19,"")</f>
        <v/>
      </c>
      <c r="B15" s="31" t="str">
        <f>IF(NOT(ISBLANK(Curs!C19)),Curs!C19,"")</f>
        <v/>
      </c>
      <c r="C15" s="45"/>
      <c r="D15" s="49"/>
      <c r="E15" s="49"/>
      <c r="F15" s="49"/>
      <c r="G15" s="32" t="str">
        <f>IF(NOT(ISBLANK(Curs!C19)),IF(AND(NOT(ISBLANK(D15)),NOT(ISBLANK(F15)),D15&gt;=5,F15&gt;=5),ROUND(AVERAGE(D15:F15),0),"n/p"),"")</f>
        <v/>
      </c>
      <c r="H15" s="7"/>
      <c r="I15" s="17"/>
    </row>
    <row r="16" spans="1:13" x14ac:dyDescent="0.35">
      <c r="A16" s="30" t="str">
        <f>IF(NOT(ISBLANK(Curs!B20)),Curs!B20,"")</f>
        <v/>
      </c>
      <c r="B16" s="31" t="str">
        <f>IF(NOT(ISBLANK(Curs!C20)),Curs!C20,"")</f>
        <v/>
      </c>
      <c r="C16" s="45"/>
      <c r="D16" s="13"/>
      <c r="E16" s="13"/>
      <c r="F16" s="13"/>
      <c r="G16" s="32" t="str">
        <f>IF(NOT(ISBLANK(Curs!C20)),IF(AND(NOT(ISBLANK(D16)),NOT(ISBLANK(F16)),D16&gt;=5,F16&gt;=5),ROUND(AVERAGE(D16:F16),0),"n/p"),"")</f>
        <v/>
      </c>
      <c r="H16" s="7"/>
      <c r="I16" s="17"/>
    </row>
    <row r="17" spans="1:11" x14ac:dyDescent="0.35">
      <c r="A17" s="30" t="str">
        <f>IF(NOT(ISBLANK(Curs!B21)),Curs!B21,"")</f>
        <v/>
      </c>
      <c r="B17" s="31" t="str">
        <f>IF(NOT(ISBLANK(Curs!C21)),Curs!C21,"")</f>
        <v/>
      </c>
      <c r="C17" s="45"/>
      <c r="D17" s="49"/>
      <c r="E17" s="49"/>
      <c r="F17" s="49"/>
      <c r="G17" s="32" t="str">
        <f>IF(NOT(ISBLANK(Curs!C21)),IF(AND(NOT(ISBLANK(D17)),NOT(ISBLANK(F17)),D17&gt;=5,F17&gt;=5),ROUND(AVERAGE(D17:F17),0),"n/p"),"")</f>
        <v/>
      </c>
      <c r="H17" s="7"/>
      <c r="I17" s="17"/>
    </row>
    <row r="18" spans="1:11" x14ac:dyDescent="0.35">
      <c r="A18" s="30" t="str">
        <f>IF(NOT(ISBLANK(Curs!B22)),Curs!B22,"")</f>
        <v/>
      </c>
      <c r="B18" s="31" t="str">
        <f>IF(NOT(ISBLANK(Curs!C22)),Curs!C22,"")</f>
        <v/>
      </c>
      <c r="C18" s="45"/>
      <c r="D18" s="49"/>
      <c r="E18" s="49"/>
      <c r="F18" s="49"/>
      <c r="G18" s="32" t="str">
        <f>IF(NOT(ISBLANK(Curs!C22)),IF(AND(NOT(ISBLANK(D18)),NOT(ISBLANK(F18)),D18&gt;=5,F18&gt;=5),ROUND(AVERAGE(D18:F18),0),"n/p"),"")</f>
        <v/>
      </c>
      <c r="H18" s="7"/>
      <c r="I18" s="17"/>
    </row>
    <row r="19" spans="1:11" x14ac:dyDescent="0.35">
      <c r="A19" s="30" t="str">
        <f>IF(NOT(ISBLANK(Curs!B23)),Curs!B23,"")</f>
        <v/>
      </c>
      <c r="B19" s="31" t="str">
        <f>IF(NOT(ISBLANK(Curs!C23)),Curs!C23,"")</f>
        <v/>
      </c>
      <c r="C19" s="45"/>
      <c r="D19" s="49"/>
      <c r="E19" s="49"/>
      <c r="F19" s="49"/>
      <c r="G19" s="32" t="str">
        <f>IF(NOT(ISBLANK(Curs!C23)),IF(AND(NOT(ISBLANK(D19)),NOT(ISBLANK(F19)),D19&gt;=5,F19&gt;=5),ROUND(AVERAGE(D19:F19),0),"n/p"),"")</f>
        <v/>
      </c>
      <c r="H19" s="7"/>
      <c r="I19" s="17"/>
    </row>
    <row r="20" spans="1:11" x14ac:dyDescent="0.35">
      <c r="A20" s="30" t="str">
        <f>IF(NOT(ISBLANK(Curs!B24)),Curs!B24,"")</f>
        <v/>
      </c>
      <c r="B20" s="31" t="str">
        <f>IF(NOT(ISBLANK(Curs!C24)),Curs!C24,"")</f>
        <v/>
      </c>
      <c r="C20" s="45"/>
      <c r="D20" s="49"/>
      <c r="E20" s="49"/>
      <c r="F20" s="49"/>
      <c r="G20" s="32" t="str">
        <f>IF(NOT(ISBLANK(Curs!C24)),IF(AND(NOT(ISBLANK(D20)),NOT(ISBLANK(F20)),D20&gt;=5,F20&gt;=5),ROUND(AVERAGE(D20:F20),0),"n/p"),"")</f>
        <v/>
      </c>
      <c r="H20" s="7"/>
      <c r="I20" s="17"/>
    </row>
    <row r="21" spans="1:11" x14ac:dyDescent="0.35">
      <c r="A21" s="30" t="str">
        <f>IF(NOT(ISBLANK(Curs!B25)),Curs!B25,"")</f>
        <v/>
      </c>
      <c r="B21" s="31" t="str">
        <f>IF(NOT(ISBLANK(Curs!C25)),Curs!C25,"")</f>
        <v/>
      </c>
      <c r="C21" s="45"/>
      <c r="D21" s="49"/>
      <c r="E21" s="49"/>
      <c r="F21" s="49"/>
      <c r="G21" s="32" t="str">
        <f>IF(NOT(ISBLANK(Curs!C25)),IF(AND(NOT(ISBLANK(D21)),NOT(ISBLANK(F21)),D21&gt;=5,F21&gt;=5),ROUND(AVERAGE(D21:F21),0),"n/p"),"")</f>
        <v/>
      </c>
      <c r="H21" s="7"/>
      <c r="I21" s="17"/>
    </row>
    <row r="22" spans="1:11" x14ac:dyDescent="0.35">
      <c r="A22" s="30" t="str">
        <f>IF(NOT(ISBLANK(Curs!B26)),Curs!B26,"")</f>
        <v/>
      </c>
      <c r="B22" s="31" t="str">
        <f>IF(NOT(ISBLANK(Curs!C26)),Curs!C26,"")</f>
        <v/>
      </c>
      <c r="C22" s="45"/>
      <c r="D22" s="49"/>
      <c r="E22" s="49"/>
      <c r="F22" s="49"/>
      <c r="G22" s="32" t="str">
        <f>IF(NOT(ISBLANK(Curs!C26)),IF(AND(NOT(ISBLANK(D22)),NOT(ISBLANK(F22)),D22&gt;=5,F22&gt;=5),ROUND(AVERAGE(D22:F22),0),"n/p"),"")</f>
        <v/>
      </c>
      <c r="H22" s="7"/>
      <c r="I22" s="17"/>
    </row>
    <row r="23" spans="1:11" x14ac:dyDescent="0.35">
      <c r="A23" s="30" t="str">
        <f>IF(NOT(ISBLANK(Curs!B27)),Curs!B27,"")</f>
        <v/>
      </c>
      <c r="B23" s="31" t="str">
        <f>IF(NOT(ISBLANK(Curs!C27)),Curs!C27,"")</f>
        <v/>
      </c>
      <c r="C23" s="45"/>
      <c r="D23" s="49"/>
      <c r="E23" s="49"/>
      <c r="F23" s="49"/>
      <c r="G23" s="32" t="str">
        <f>IF(NOT(ISBLANK(Curs!C27)),IF(AND(NOT(ISBLANK(D23)),NOT(ISBLANK(F23)),D23&gt;=5,F23&gt;=5),ROUND(AVERAGE(D23:F23),0),"n/p"),"")</f>
        <v/>
      </c>
      <c r="H23" s="7"/>
      <c r="I23" s="17"/>
    </row>
    <row r="24" spans="1:11" x14ac:dyDescent="0.35">
      <c r="A24" s="30" t="str">
        <f>IF(NOT(ISBLANK(Curs!B28)),Curs!B28,"")</f>
        <v/>
      </c>
      <c r="B24" s="31" t="str">
        <f>IF(NOT(ISBLANK(Curs!C28)),Curs!C28,"")</f>
        <v/>
      </c>
      <c r="C24" s="46"/>
      <c r="D24" s="13"/>
      <c r="E24" s="13"/>
      <c r="F24" s="13"/>
      <c r="G24" s="32" t="str">
        <f>IF(NOT(ISBLANK(Curs!C28)),IF(AND(NOT(ISBLANK(D24)),NOT(ISBLANK(F24)),D24&gt;=5,F24&gt;=5),ROUND(AVERAGE(D24:F24),0),"n/p"),"")</f>
        <v/>
      </c>
      <c r="H24" s="7"/>
      <c r="I24" s="17"/>
    </row>
    <row r="25" spans="1:11" x14ac:dyDescent="0.35">
      <c r="A25" s="30" t="str">
        <f>IF(NOT(ISBLANK(Curs!B29)),Curs!B29,"")</f>
        <v/>
      </c>
      <c r="B25" s="31" t="str">
        <f>IF(NOT(ISBLANK(Curs!C29)),Curs!C29,"")</f>
        <v/>
      </c>
      <c r="C25" s="45"/>
      <c r="D25" s="49"/>
      <c r="E25" s="49"/>
      <c r="F25" s="49"/>
      <c r="G25" s="32" t="str">
        <f>IF(NOT(ISBLANK(Curs!C29)),IF(AND(NOT(ISBLANK(D25)),NOT(ISBLANK(F25)),D25&gt;=5,F25&gt;=5),ROUND(AVERAGE(D25:F25),0),"n/p"),"")</f>
        <v/>
      </c>
      <c r="H25" s="7"/>
      <c r="I25" s="17"/>
    </row>
    <row r="26" spans="1:11" x14ac:dyDescent="0.35">
      <c r="A26" s="30" t="str">
        <f>IF(NOT(ISBLANK(Curs!B30)),Curs!B30,"")</f>
        <v/>
      </c>
      <c r="B26" s="31" t="str">
        <f>IF(NOT(ISBLANK(Curs!C30)),Curs!C30,"")</f>
        <v/>
      </c>
      <c r="C26" s="45"/>
      <c r="D26" s="49"/>
      <c r="E26" s="49"/>
      <c r="F26" s="49"/>
      <c r="G26" s="32" t="str">
        <f>IF(NOT(ISBLANK(Curs!C30)),IF(AND(NOT(ISBLANK(D26)),NOT(ISBLANK(F26)),D26&gt;=5,F26&gt;=5),ROUND(AVERAGE(D26:F26),0),"n/p"),"")</f>
        <v/>
      </c>
      <c r="H26" s="7"/>
      <c r="I26" s="17"/>
    </row>
    <row r="27" spans="1:11" x14ac:dyDescent="0.35">
      <c r="A27" s="30" t="str">
        <f>IF(NOT(ISBLANK(Curs!B31)),Curs!B31,"")</f>
        <v/>
      </c>
      <c r="B27" s="31" t="str">
        <f>IF(NOT(ISBLANK(Curs!C31)),Curs!C31,"")</f>
        <v/>
      </c>
      <c r="C27" s="45"/>
      <c r="D27" s="49"/>
      <c r="E27" s="49"/>
      <c r="F27" s="49"/>
      <c r="G27" s="32" t="str">
        <f>IF(NOT(ISBLANK(Curs!C31)),IF(AND(NOT(ISBLANK(D27)),NOT(ISBLANK(F27)),D27&gt;=5,F27&gt;=5),ROUND(AVERAGE(D27:F27),0),"n/p"),"")</f>
        <v/>
      </c>
      <c r="H27" s="10"/>
      <c r="I27" s="14"/>
      <c r="J27" s="7"/>
      <c r="K27" s="1"/>
    </row>
    <row r="28" spans="1:11" x14ac:dyDescent="0.35">
      <c r="A28" s="30" t="str">
        <f>IF(NOT(ISBLANK(Curs!B32)),Curs!B32,"")</f>
        <v/>
      </c>
      <c r="B28" s="31" t="str">
        <f>IF(NOT(ISBLANK(Curs!C32)),Curs!C32,"")</f>
        <v/>
      </c>
      <c r="C28" s="45"/>
      <c r="D28" s="49"/>
      <c r="E28" s="49"/>
      <c r="F28" s="49"/>
      <c r="G28" s="32" t="str">
        <f>IF(NOT(ISBLANK(Curs!C32)),IF(AND(NOT(ISBLANK(D28)),NOT(ISBLANK(F28)),D28&gt;=5,F28&gt;=5),ROUND(AVERAGE(D28:F28),0),"n/p"),"")</f>
        <v/>
      </c>
    </row>
    <row r="29" spans="1:11" x14ac:dyDescent="0.35">
      <c r="A29" s="30" t="str">
        <f>IF(NOT(ISBLANK(Curs!B33)),Curs!B33,"")</f>
        <v/>
      </c>
      <c r="B29" s="31" t="str">
        <f>IF(NOT(ISBLANK(Curs!C33)),Curs!C33,"")</f>
        <v/>
      </c>
      <c r="C29" s="45"/>
      <c r="D29" s="49"/>
      <c r="E29" s="49"/>
      <c r="F29" s="49"/>
      <c r="G29" s="32" t="str">
        <f>IF(NOT(ISBLANK(Curs!C33)),IF(AND(NOT(ISBLANK(D29)),NOT(ISBLANK(F29)),D29&gt;=5,F29&gt;=5),ROUND(AVERAGE(D29:F29),0),"n/p"),"")</f>
        <v/>
      </c>
    </row>
    <row r="30" spans="1:11" x14ac:dyDescent="0.35">
      <c r="A30" s="30" t="str">
        <f>IF(NOT(ISBLANK(Curs!B34)),Curs!B34,"")</f>
        <v/>
      </c>
      <c r="B30" s="31" t="str">
        <f>IF(NOT(ISBLANK(Curs!C34)),Curs!C34,"")</f>
        <v/>
      </c>
      <c r="C30" s="45"/>
      <c r="D30" s="49"/>
      <c r="E30" s="49"/>
      <c r="F30" s="49"/>
      <c r="G30" s="32" t="str">
        <f>IF(NOT(ISBLANK(Curs!C34)),IF(AND(NOT(ISBLANK(D30)),NOT(ISBLANK(F30)),D30&gt;=5,F30&gt;=5),ROUND(AVERAGE(D30:F30),0),"n/p"),"")</f>
        <v/>
      </c>
    </row>
    <row r="31" spans="1:11" x14ac:dyDescent="0.35">
      <c r="A31" s="30" t="str">
        <f>IF(NOT(ISBLANK(Curs!B35)),Curs!B35,"")</f>
        <v/>
      </c>
      <c r="B31" s="31" t="str">
        <f>IF(NOT(ISBLANK(Curs!C35)),Curs!C35,"")</f>
        <v/>
      </c>
      <c r="C31" s="45"/>
      <c r="D31" s="49"/>
      <c r="E31" s="49"/>
      <c r="F31" s="49"/>
      <c r="G31" s="32" t="str">
        <f>IF(NOT(ISBLANK(Curs!C35)),IF(AND(NOT(ISBLANK(D31)),NOT(ISBLANK(F31)),D31&gt;=5,F31&gt;=5),ROUND(AVERAGE(D31:F31),0),"n/p"),"")</f>
        <v/>
      </c>
    </row>
    <row r="32" spans="1:11" x14ac:dyDescent="0.35">
      <c r="A32" s="30" t="str">
        <f>IF(NOT(ISBLANK(Curs!B36)),Curs!B36,"")</f>
        <v/>
      </c>
      <c r="B32" s="31" t="str">
        <f>IF(NOT(ISBLANK(Curs!C36)),Curs!C36,"")</f>
        <v/>
      </c>
      <c r="C32" s="45"/>
      <c r="D32" s="49"/>
      <c r="E32" s="49"/>
      <c r="F32" s="49"/>
      <c r="G32" s="32" t="str">
        <f>IF(NOT(ISBLANK(Curs!C36)),IF(AND(NOT(ISBLANK(D32)),NOT(ISBLANK(F32)),D32&gt;=5,F32&gt;=5),ROUND(AVERAGE(D32:F32),0),"n/p"),"")</f>
        <v/>
      </c>
    </row>
    <row r="33" spans="1:7" x14ac:dyDescent="0.35">
      <c r="A33" s="30" t="str">
        <f>IF(NOT(ISBLANK(Curs!B37)),Curs!B37,"")</f>
        <v/>
      </c>
      <c r="B33" s="31" t="str">
        <f>IF(NOT(ISBLANK(Curs!C37)),Curs!C37,"")</f>
        <v/>
      </c>
      <c r="C33" s="45"/>
      <c r="D33" s="49"/>
      <c r="E33" s="49"/>
      <c r="F33" s="49"/>
      <c r="G33" s="32" t="str">
        <f>IF(NOT(ISBLANK(Curs!C37)),IF(AND(NOT(ISBLANK(D33)),NOT(ISBLANK(F33)),D33&gt;=5,F33&gt;=5),ROUND(AVERAGE(D33:F33),0),"n/p"),"")</f>
        <v/>
      </c>
    </row>
    <row r="34" spans="1:7" x14ac:dyDescent="0.35">
      <c r="A34" s="30" t="str">
        <f>IF(NOT(ISBLANK(Curs!B38)),Curs!B38,"")</f>
        <v/>
      </c>
      <c r="B34" s="31" t="str">
        <f>IF(NOT(ISBLANK(Curs!C38)),Curs!C38,"")</f>
        <v/>
      </c>
      <c r="C34" s="45"/>
      <c r="D34" s="49"/>
      <c r="E34" s="49"/>
      <c r="F34" s="49"/>
      <c r="G34" s="32" t="str">
        <f>IF(NOT(ISBLANK(Curs!C38)),IF(AND(NOT(ISBLANK(D34)),NOT(ISBLANK(F34)),D34&gt;=5,F34&gt;=5),ROUND(AVERAGE(D34:F34),0),"n/p"),"")</f>
        <v/>
      </c>
    </row>
    <row r="35" spans="1:7" x14ac:dyDescent="0.35">
      <c r="A35" s="30" t="str">
        <f>IF(NOT(ISBLANK(Curs!B39)),Curs!B39,"")</f>
        <v/>
      </c>
      <c r="B35" s="31" t="str">
        <f>IF(NOT(ISBLANK(Curs!C39)),Curs!C39,"")</f>
        <v/>
      </c>
      <c r="C35" s="45"/>
      <c r="D35" s="49"/>
      <c r="E35" s="49"/>
      <c r="F35" s="49"/>
      <c r="G35" s="32" t="str">
        <f>IF(NOT(ISBLANK(Curs!C39)),IF(AND(NOT(ISBLANK(D35)),NOT(ISBLANK(F35)),D35&gt;=5,F35&gt;=5),ROUND(AVERAGE(D35:F35),0),"n/p"),"")</f>
        <v/>
      </c>
    </row>
    <row r="36" spans="1:7" x14ac:dyDescent="0.35">
      <c r="A36" s="30" t="str">
        <f>IF(NOT(ISBLANK(Curs!B40)),Curs!B40,"")</f>
        <v/>
      </c>
      <c r="B36" s="31" t="str">
        <f>IF(NOT(ISBLANK(Curs!C40)),Curs!C40,"")</f>
        <v/>
      </c>
      <c r="C36" s="45"/>
      <c r="D36" s="49"/>
      <c r="E36" s="49"/>
      <c r="F36" s="49"/>
      <c r="G36" s="32" t="str">
        <f>IF(NOT(ISBLANK(Curs!C40)),IF(AND(NOT(ISBLANK(D36)),NOT(ISBLANK(F36)),D36&gt;=5,F36&gt;=5),ROUND(AVERAGE(D36:F36),0),"n/p"),"")</f>
        <v/>
      </c>
    </row>
    <row r="37" spans="1:7" x14ac:dyDescent="0.35">
      <c r="A37" s="30" t="str">
        <f>IF(NOT(ISBLANK(Curs!B41)),Curs!B41,"")</f>
        <v/>
      </c>
      <c r="B37" s="31" t="str">
        <f>IF(NOT(ISBLANK(Curs!C41)),Curs!C41,"")</f>
        <v/>
      </c>
      <c r="C37" s="45"/>
      <c r="D37" s="49"/>
      <c r="E37" s="49"/>
      <c r="F37" s="49"/>
      <c r="G37" s="32" t="str">
        <f>IF(NOT(ISBLANK(Curs!C41)),IF(AND(NOT(ISBLANK(D37)),NOT(ISBLANK(F37)),D37&gt;=5,F37&gt;=5),ROUND(AVERAGE(D37:F37),0),"n/p"),"")</f>
        <v/>
      </c>
    </row>
    <row r="38" spans="1:7" x14ac:dyDescent="0.35">
      <c r="A38" s="30" t="str">
        <f>IF(NOT(ISBLANK(Curs!B42)),Curs!B42,"")</f>
        <v/>
      </c>
      <c r="B38" s="31" t="str">
        <f>IF(NOT(ISBLANK(Curs!C42)),Curs!C42,"")</f>
        <v/>
      </c>
      <c r="C38" s="45"/>
      <c r="D38" s="49"/>
      <c r="E38" s="49"/>
      <c r="F38" s="49"/>
      <c r="G38" s="32" t="str">
        <f>IF(NOT(ISBLANK(Curs!C42)),IF(AND(NOT(ISBLANK(D38)),NOT(ISBLANK(F38)),D38&gt;=5,F38&gt;=5),ROUND(AVERAGE(D38:F38),0),"n/p"),"")</f>
        <v/>
      </c>
    </row>
    <row r="39" spans="1:7" x14ac:dyDescent="0.35">
      <c r="A39" s="30" t="str">
        <f>IF(NOT(ISBLANK(Curs!B43)),Curs!B43,"")</f>
        <v/>
      </c>
      <c r="B39" s="31" t="str">
        <f>IF(NOT(ISBLANK(Curs!C43)),Curs!C43,"")</f>
        <v/>
      </c>
      <c r="C39" s="45"/>
      <c r="D39" s="49"/>
      <c r="E39" s="49"/>
      <c r="F39" s="49"/>
      <c r="G39" s="32" t="str">
        <f>IF(NOT(ISBLANK(Curs!C43)),IF(AND(NOT(ISBLANK(D39)),NOT(ISBLANK(F39)),D39&gt;=5,F39&gt;=5),ROUND(AVERAGE(D39:F39),0),"n/p"),"")</f>
        <v/>
      </c>
    </row>
    <row r="40" spans="1:7" x14ac:dyDescent="0.35">
      <c r="A40" s="30" t="str">
        <f>IF(NOT(ISBLANK(Curs!B44)),Curs!B44,"")</f>
        <v/>
      </c>
      <c r="B40" s="31" t="str">
        <f>IF(NOT(ISBLANK(Curs!C44)),Curs!C44,"")</f>
        <v/>
      </c>
      <c r="C40" s="45"/>
      <c r="D40" s="49"/>
      <c r="E40" s="49"/>
      <c r="F40" s="49"/>
      <c r="G40" s="32" t="str">
        <f>IF(NOT(ISBLANK(Curs!C44)),IF(AND(NOT(ISBLANK(D40)),NOT(ISBLANK(F40)),D40&gt;=5,F40&gt;=5),ROUND(AVERAGE(D40:F40),0),"n/p"),"")</f>
        <v/>
      </c>
    </row>
    <row r="41" spans="1:7" x14ac:dyDescent="0.35">
      <c r="A41" s="30" t="str">
        <f>IF(NOT(ISBLANK(Curs!B45)),Curs!B45,"")</f>
        <v/>
      </c>
      <c r="B41" s="31" t="str">
        <f>IF(NOT(ISBLANK(Curs!C45)),Curs!C45,"")</f>
        <v/>
      </c>
      <c r="C41" s="45"/>
      <c r="D41" s="49"/>
      <c r="E41" s="49"/>
      <c r="F41" s="49"/>
      <c r="G41" s="32" t="str">
        <f>IF(NOT(ISBLANK(Curs!C45)),IF(AND(NOT(ISBLANK(D41)),NOT(ISBLANK(F41)),D41&gt;=5,F41&gt;=5),ROUND(AVERAGE(D41:F41),0),"n/p"),"")</f>
        <v/>
      </c>
    </row>
    <row r="42" spans="1:7" x14ac:dyDescent="0.35">
      <c r="A42" s="30" t="str">
        <f>IF(NOT(ISBLANK(Curs!B46)),Curs!B46,"")</f>
        <v/>
      </c>
      <c r="B42" s="31" t="str">
        <f>IF(NOT(ISBLANK(Curs!C46)),Curs!C46,"")</f>
        <v/>
      </c>
      <c r="C42" s="45"/>
      <c r="D42" s="49"/>
      <c r="E42" s="49"/>
      <c r="F42" s="49"/>
      <c r="G42" s="32" t="str">
        <f>IF(NOT(ISBLANK(Curs!C46)),IF(AND(NOT(ISBLANK(D42)),NOT(ISBLANK(F42)),D42&gt;=5,F42&gt;=5),ROUND(AVERAGE(D42:F42),0),"n/p"),"")</f>
        <v/>
      </c>
    </row>
    <row r="43" spans="1:7" x14ac:dyDescent="0.35">
      <c r="A43" s="30" t="str">
        <f>IF(NOT(ISBLANK(Curs!B47)),Curs!B47,"")</f>
        <v/>
      </c>
      <c r="B43" s="31" t="str">
        <f>IF(NOT(ISBLANK(Curs!C47)),Curs!C47,"")</f>
        <v/>
      </c>
      <c r="C43" s="45"/>
      <c r="D43" s="49"/>
      <c r="E43" s="49"/>
      <c r="F43" s="49"/>
      <c r="G43" s="32" t="str">
        <f>IF(NOT(ISBLANK(Curs!C47)),IF(AND(NOT(ISBLANK(D43)),NOT(ISBLANK(F43)),D43&gt;=5,F43&gt;=5),ROUND(AVERAGE(D43:F43),0),"n/p"),"")</f>
        <v/>
      </c>
    </row>
    <row r="44" spans="1:7" x14ac:dyDescent="0.35">
      <c r="A44" s="30" t="str">
        <f>IF(NOT(ISBLANK(Curs!B48)),Curs!B48,"")</f>
        <v/>
      </c>
      <c r="B44" s="31" t="str">
        <f>IF(NOT(ISBLANK(Curs!C48)),Curs!C48,"")</f>
        <v/>
      </c>
      <c r="C44" s="45"/>
      <c r="D44" s="49"/>
      <c r="E44" s="49"/>
      <c r="F44" s="49"/>
      <c r="G44" s="32" t="str">
        <f>IF(NOT(ISBLANK(Curs!C48)),IF(AND(NOT(ISBLANK(D44)),NOT(ISBLANK(F44)),D44&gt;=5,F44&gt;=5),ROUND(AVERAGE(D44:F44),0),"n/p"),"")</f>
        <v/>
      </c>
    </row>
    <row r="45" spans="1:7" x14ac:dyDescent="0.35">
      <c r="A45" s="30" t="str">
        <f>IF(NOT(ISBLANK(Curs!B49)),Curs!B49,"")</f>
        <v/>
      </c>
      <c r="B45" s="31" t="str">
        <f>IF(NOT(ISBLANK(Curs!C49)),Curs!C49,"")</f>
        <v/>
      </c>
      <c r="C45" s="45"/>
      <c r="D45" s="49"/>
      <c r="E45" s="49"/>
      <c r="F45" s="49"/>
      <c r="G45" s="32" t="str">
        <f>IF(NOT(ISBLANK(Curs!C49)),IF(AND(NOT(ISBLANK(D45)),NOT(ISBLANK(F45)),D45&gt;=5,F45&gt;=5),ROUND(AVERAGE(D45:F45),0),"n/p"),"")</f>
        <v/>
      </c>
    </row>
    <row r="46" spans="1:7" x14ac:dyDescent="0.35">
      <c r="A46" s="30" t="str">
        <f>IF(NOT(ISBLANK(Curs!B50)),Curs!B50,"")</f>
        <v/>
      </c>
      <c r="B46" s="31" t="str">
        <f>IF(NOT(ISBLANK(Curs!C50)),Curs!C50,"")</f>
        <v/>
      </c>
      <c r="C46" s="45"/>
      <c r="D46" s="49"/>
      <c r="E46" s="49"/>
      <c r="F46" s="49"/>
      <c r="G46" s="32" t="str">
        <f>IF(NOT(ISBLANK(Curs!C50)),IF(AND(NOT(ISBLANK(D46)),NOT(ISBLANK(F46)),D46&gt;=5,F46&gt;=5),ROUND(AVERAGE(D46:F46),0),"n/p"),"")</f>
        <v/>
      </c>
    </row>
    <row r="47" spans="1:7" x14ac:dyDescent="0.35">
      <c r="A47" s="30" t="str">
        <f>IF(NOT(ISBLANK(Curs!B51)),Curs!B51,"")</f>
        <v/>
      </c>
      <c r="B47" s="31" t="str">
        <f>IF(NOT(ISBLANK(Curs!C51)),Curs!C51,"")</f>
        <v/>
      </c>
      <c r="C47" s="45"/>
      <c r="D47" s="49"/>
      <c r="E47" s="49"/>
      <c r="F47" s="49"/>
      <c r="G47" s="32" t="str">
        <f>IF(NOT(ISBLANK(Curs!C51)),IF(AND(NOT(ISBLANK(D47)),NOT(ISBLANK(F47)),D47&gt;=5,F47&gt;=5),ROUND(AVERAGE(D47:F47),0),"n/p"),"")</f>
        <v/>
      </c>
    </row>
    <row r="48" spans="1:7" x14ac:dyDescent="0.35">
      <c r="A48" s="30" t="str">
        <f>IF(NOT(ISBLANK(Curs!B52)),Curs!B52,"")</f>
        <v/>
      </c>
      <c r="B48" s="31" t="str">
        <f>IF(NOT(ISBLANK(Curs!C52)),Curs!C52,"")</f>
        <v/>
      </c>
      <c r="C48" s="45"/>
      <c r="D48" s="49"/>
      <c r="E48" s="49"/>
      <c r="F48" s="49"/>
      <c r="G48" s="32" t="str">
        <f>IF(NOT(ISBLANK(Curs!C52)),IF(AND(NOT(ISBLANK(D48)),NOT(ISBLANK(F48)),D48&gt;=5,F48&gt;=5),ROUND(AVERAGE(D48:F48),0),"n/p"),"")</f>
        <v/>
      </c>
    </row>
    <row r="49" spans="1:7" x14ac:dyDescent="0.35">
      <c r="A49" s="30" t="str">
        <f>IF(NOT(ISBLANK(Curs!B53)),Curs!B53,"")</f>
        <v/>
      </c>
      <c r="B49" s="31" t="str">
        <f>IF(NOT(ISBLANK(Curs!C53)),Curs!C53,"")</f>
        <v/>
      </c>
      <c r="C49" s="45"/>
      <c r="D49" s="49"/>
      <c r="E49" s="49"/>
      <c r="F49" s="49"/>
      <c r="G49" s="32" t="str">
        <f>IF(NOT(ISBLANK(Curs!C53)),IF(AND(NOT(ISBLANK(D49)),NOT(ISBLANK(F49)),D49&gt;=5,F49&gt;=5),ROUND(AVERAGE(D49:F49),0),"n/p"),"")</f>
        <v/>
      </c>
    </row>
    <row r="50" spans="1:7" x14ac:dyDescent="0.35">
      <c r="A50" s="30" t="str">
        <f>IF(NOT(ISBLANK(Curs!B54)),Curs!B54,"")</f>
        <v/>
      </c>
      <c r="B50" s="31" t="str">
        <f>IF(NOT(ISBLANK(Curs!C54)),Curs!C54,"")</f>
        <v/>
      </c>
      <c r="C50" s="45"/>
      <c r="D50" s="49"/>
      <c r="E50" s="49"/>
      <c r="F50" s="49"/>
      <c r="G50" s="32" t="str">
        <f>IF(NOT(ISBLANK(Curs!C54)),IF(AND(NOT(ISBLANK(D50)),NOT(ISBLANK(F50)),D50&gt;=5,F50&gt;=5),ROUND(AVERAGE(D50:F50),0),"n/p"),"")</f>
        <v/>
      </c>
    </row>
    <row r="51" spans="1:7" x14ac:dyDescent="0.35">
      <c r="A51" s="30" t="str">
        <f>IF(NOT(ISBLANK(Curs!B55)),Curs!B55,"")</f>
        <v/>
      </c>
      <c r="B51" s="31" t="str">
        <f>IF(NOT(ISBLANK(Curs!C55)),Curs!C55,"")</f>
        <v/>
      </c>
      <c r="C51" s="45"/>
      <c r="D51" s="49"/>
      <c r="E51" s="49"/>
      <c r="F51" s="49"/>
      <c r="G51" s="32" t="str">
        <f>IF(NOT(ISBLANK(Curs!C55)),IF(AND(NOT(ISBLANK(D51)),NOT(ISBLANK(F51)),D51&gt;=5,F51&gt;=5),ROUND(AVERAGE(D51:F51),0),"n/p"),"")</f>
        <v/>
      </c>
    </row>
    <row r="52" spans="1:7" x14ac:dyDescent="0.35">
      <c r="A52" s="30" t="str">
        <f>IF(NOT(ISBLANK(Curs!B56)),Curs!B56,"")</f>
        <v/>
      </c>
      <c r="B52" s="31" t="str">
        <f>IF(NOT(ISBLANK(Curs!C56)),Curs!C56,"")</f>
        <v/>
      </c>
      <c r="C52" s="45"/>
      <c r="D52" s="49"/>
      <c r="E52" s="49"/>
      <c r="F52" s="49"/>
      <c r="G52" s="32" t="str">
        <f>IF(NOT(ISBLANK(Curs!C56)),IF(AND(NOT(ISBLANK(D52)),NOT(ISBLANK(F52)),D52&gt;=5,F52&gt;=5),ROUND(AVERAGE(D52:F52),0),"n/p"),"")</f>
        <v/>
      </c>
    </row>
    <row r="53" spans="1:7" x14ac:dyDescent="0.35">
      <c r="A53" s="30" t="str">
        <f>IF(NOT(ISBLANK(Curs!B57)),Curs!B57,"")</f>
        <v/>
      </c>
      <c r="B53" s="31" t="str">
        <f>IF(NOT(ISBLANK(Curs!C57)),Curs!C57,"")</f>
        <v/>
      </c>
      <c r="C53" s="45"/>
      <c r="D53" s="49"/>
      <c r="E53" s="49"/>
      <c r="F53" s="49"/>
      <c r="G53" s="32" t="str">
        <f>IF(NOT(ISBLANK(Curs!C57)),IF(AND(NOT(ISBLANK(D53)),NOT(ISBLANK(F53)),D53&gt;=5,F53&gt;=5),ROUND(AVERAGE(D53:F53),0),"n/p"),"")</f>
        <v/>
      </c>
    </row>
    <row r="54" spans="1:7" x14ac:dyDescent="0.35">
      <c r="A54" s="30" t="str">
        <f>IF(NOT(ISBLANK(Curs!B58)),Curs!B58,"")</f>
        <v/>
      </c>
      <c r="B54" s="31" t="str">
        <f>IF(NOT(ISBLANK(Curs!C58)),Curs!C58,"")</f>
        <v/>
      </c>
      <c r="C54" s="45"/>
      <c r="D54" s="49"/>
      <c r="E54" s="49"/>
      <c r="F54" s="49"/>
      <c r="G54" s="32" t="str">
        <f>IF(NOT(ISBLANK(Curs!C58)),IF(AND(NOT(ISBLANK(D54)),NOT(ISBLANK(F54)),D54&gt;=5,F54&gt;=5),ROUND(AVERAGE(D54:F54),0),"n/p"),"")</f>
        <v/>
      </c>
    </row>
    <row r="55" spans="1:7" x14ac:dyDescent="0.35">
      <c r="A55" s="30" t="str">
        <f>IF(NOT(ISBLANK(Curs!B59)),Curs!B59,"")</f>
        <v/>
      </c>
      <c r="B55" s="31" t="str">
        <f>IF(NOT(ISBLANK(Curs!C59)),Curs!C59,"")</f>
        <v/>
      </c>
      <c r="C55" s="45"/>
      <c r="D55" s="49"/>
      <c r="E55" s="49"/>
      <c r="F55" s="49"/>
      <c r="G55" s="32" t="str">
        <f>IF(NOT(ISBLANK(Curs!C59)),IF(AND(NOT(ISBLANK(D55)),NOT(ISBLANK(F55)),D55&gt;=5,F55&gt;=5),ROUND(AVERAGE(D55:F55),0),"n/p"),"")</f>
        <v/>
      </c>
    </row>
    <row r="56" spans="1:7" x14ac:dyDescent="0.35">
      <c r="A56" s="30" t="str">
        <f>IF(NOT(ISBLANK(Curs!B60)),Curs!B60,"")</f>
        <v/>
      </c>
      <c r="B56" s="31" t="str">
        <f>IF(NOT(ISBLANK(Curs!C60)),Curs!C60,"")</f>
        <v/>
      </c>
      <c r="C56" s="45"/>
      <c r="D56" s="49"/>
      <c r="E56" s="49"/>
      <c r="F56" s="49"/>
      <c r="G56" s="32" t="str">
        <f>IF(NOT(ISBLANK(Curs!C60)),IF(AND(NOT(ISBLANK(D56)),NOT(ISBLANK(F56)),D56&gt;=5,F56&gt;=5),ROUND(AVERAGE(D56:F56),0),"n/p"),"")</f>
        <v/>
      </c>
    </row>
    <row r="57" spans="1:7" x14ac:dyDescent="0.35">
      <c r="A57" s="30" t="str">
        <f>IF(NOT(ISBLANK(Curs!B61)),Curs!B61,"")</f>
        <v/>
      </c>
      <c r="B57" s="31" t="str">
        <f>IF(NOT(ISBLANK(Curs!C61)),Curs!C61,"")</f>
        <v/>
      </c>
      <c r="C57" s="45"/>
      <c r="D57" s="49"/>
      <c r="E57" s="49"/>
      <c r="F57" s="49"/>
      <c r="G57" s="32" t="str">
        <f>IF(NOT(ISBLANK(Curs!C61)),IF(AND(NOT(ISBLANK(D57)),NOT(ISBLANK(F57)),D57&gt;=5,F57&gt;=5),ROUND(AVERAGE(D57:F57),0),"n/p"),"")</f>
        <v/>
      </c>
    </row>
    <row r="58" spans="1:7" x14ac:dyDescent="0.35">
      <c r="A58" s="30" t="str">
        <f>IF(NOT(ISBLANK(Curs!B62)),Curs!B62,"")</f>
        <v/>
      </c>
      <c r="B58" s="31" t="str">
        <f>IF(NOT(ISBLANK(Curs!C62)),Curs!C62,"")</f>
        <v/>
      </c>
      <c r="C58" s="45"/>
      <c r="D58" s="49"/>
      <c r="E58" s="49"/>
      <c r="F58" s="49"/>
      <c r="G58" s="32" t="str">
        <f>IF(NOT(ISBLANK(Curs!C62)),IF(AND(NOT(ISBLANK(D58)),NOT(ISBLANK(F58)),D58&gt;=5,F58&gt;=5),ROUND(AVERAGE(D58:F58),0),"n/p"),"")</f>
        <v/>
      </c>
    </row>
    <row r="59" spans="1:7" x14ac:dyDescent="0.35">
      <c r="A59" s="30" t="str">
        <f>IF(NOT(ISBLANK(Curs!B63)),Curs!B63,"")</f>
        <v/>
      </c>
      <c r="B59" s="31" t="str">
        <f>IF(NOT(ISBLANK(Curs!C63)),Curs!C63,"")</f>
        <v/>
      </c>
      <c r="C59" s="45"/>
      <c r="D59" s="49"/>
      <c r="E59" s="49"/>
      <c r="F59" s="49"/>
      <c r="G59" s="32" t="str">
        <f>IF(NOT(ISBLANK(Curs!C63)),IF(AND(NOT(ISBLANK(D59)),NOT(ISBLANK(F59)),D59&gt;=5,F59&gt;=5),ROUND(AVERAGE(D59:F59),0),"n/p"),"")</f>
        <v/>
      </c>
    </row>
    <row r="60" spans="1:7" x14ac:dyDescent="0.35">
      <c r="A60" s="30" t="str">
        <f>IF(NOT(ISBLANK(Curs!B64)),Curs!B64,"")</f>
        <v/>
      </c>
      <c r="B60" s="31" t="str">
        <f>IF(NOT(ISBLANK(Curs!C64)),Curs!C64,"")</f>
        <v/>
      </c>
      <c r="C60" s="45"/>
      <c r="D60" s="49"/>
      <c r="E60" s="49"/>
      <c r="F60" s="49"/>
      <c r="G60" s="32" t="str">
        <f>IF(NOT(ISBLANK(Curs!C64)),IF(AND(NOT(ISBLANK(D60)),NOT(ISBLANK(F60)),D60&gt;=5,F60&gt;=5),ROUND(AVERAGE(D60:F60),0),"n/p"),"")</f>
        <v/>
      </c>
    </row>
    <row r="61" spans="1:7" x14ac:dyDescent="0.35">
      <c r="A61" s="30" t="str">
        <f>IF(NOT(ISBLANK(Curs!B65)),Curs!B65,"")</f>
        <v/>
      </c>
      <c r="B61" s="31" t="str">
        <f>IF(NOT(ISBLANK(Curs!C65)),Curs!C65,"")</f>
        <v/>
      </c>
      <c r="C61" s="45"/>
      <c r="D61" s="49"/>
      <c r="E61" s="49"/>
      <c r="F61" s="49"/>
      <c r="G61" s="32" t="str">
        <f>IF(NOT(ISBLANK(Curs!C65)),IF(AND(NOT(ISBLANK(D61)),NOT(ISBLANK(F61)),D61&gt;=5,F61&gt;=5),ROUND(AVERAGE(D61:F61),0),"n/p"),"")</f>
        <v/>
      </c>
    </row>
    <row r="62" spans="1:7" x14ac:dyDescent="0.35">
      <c r="A62" s="30" t="str">
        <f>IF(NOT(ISBLANK(Curs!B66)),Curs!B66,"")</f>
        <v/>
      </c>
      <c r="B62" s="31" t="str">
        <f>IF(NOT(ISBLANK(Curs!C66)),Curs!C66,"")</f>
        <v/>
      </c>
      <c r="C62" s="45"/>
      <c r="D62" s="49"/>
      <c r="E62" s="49"/>
      <c r="F62" s="49"/>
      <c r="G62" s="32" t="str">
        <f>IF(NOT(ISBLANK(Curs!C66)),IF(AND(NOT(ISBLANK(D62)),NOT(ISBLANK(F62)),D62&gt;=5,F62&gt;=5),ROUND(AVERAGE(D62:F62),0),"n/p"),"")</f>
        <v/>
      </c>
    </row>
    <row r="63" spans="1:7" x14ac:dyDescent="0.35">
      <c r="A63" s="30" t="str">
        <f>IF(NOT(ISBLANK(Curs!B67)),Curs!B67,"")</f>
        <v/>
      </c>
      <c r="B63" s="31" t="str">
        <f>IF(NOT(ISBLANK(Curs!C67)),Curs!C67,"")</f>
        <v/>
      </c>
      <c r="C63" s="45"/>
      <c r="D63" s="49"/>
      <c r="E63" s="49"/>
      <c r="F63" s="49"/>
      <c r="G63" s="32" t="str">
        <f>IF(NOT(ISBLANK(Curs!C67)),IF(AND(NOT(ISBLANK(D63)),NOT(ISBLANK(F63)),D63&gt;=5,F63&gt;=5),ROUND(AVERAGE(D63:F63),0),"n/p"),"")</f>
        <v/>
      </c>
    </row>
    <row r="64" spans="1:7" x14ac:dyDescent="0.35">
      <c r="A64" s="30" t="str">
        <f>IF(NOT(ISBLANK(Curs!B68)),Curs!B68,"")</f>
        <v/>
      </c>
      <c r="B64" s="31" t="str">
        <f>IF(NOT(ISBLANK(Curs!C68)),Curs!C68,"")</f>
        <v/>
      </c>
      <c r="C64" s="45"/>
      <c r="D64" s="49"/>
      <c r="E64" s="49"/>
      <c r="F64" s="49"/>
      <c r="G64" s="32" t="str">
        <f>IF(NOT(ISBLANK(Curs!C68)),IF(AND(NOT(ISBLANK(D64)),NOT(ISBLANK(F64)),D64&gt;=5,F64&gt;=5),ROUND(AVERAGE(D64:F64),0),"n/p"),"")</f>
        <v/>
      </c>
    </row>
    <row r="65" spans="1:7" x14ac:dyDescent="0.35">
      <c r="A65" s="30" t="str">
        <f>IF(NOT(ISBLANK(Curs!B69)),Curs!B69,"")</f>
        <v/>
      </c>
      <c r="B65" s="31" t="str">
        <f>IF(NOT(ISBLANK(Curs!C69)),Curs!C69,"")</f>
        <v/>
      </c>
      <c r="C65" s="45"/>
      <c r="D65" s="49"/>
      <c r="E65" s="49"/>
      <c r="F65" s="49"/>
      <c r="G65" s="32" t="str">
        <f>IF(NOT(ISBLANK(Curs!C69)),IF(AND(NOT(ISBLANK(D65)),NOT(ISBLANK(F65)),D65&gt;=5,F65&gt;=5),ROUND(AVERAGE(D65:F65),0),"n/p"),"")</f>
        <v/>
      </c>
    </row>
    <row r="66" spans="1:7" x14ac:dyDescent="0.35">
      <c r="A66" s="30" t="str">
        <f>IF(NOT(ISBLANK(Curs!B70)),Curs!B70,"")</f>
        <v/>
      </c>
      <c r="B66" s="31" t="str">
        <f>IF(NOT(ISBLANK(Curs!C70)),Curs!C70,"")</f>
        <v/>
      </c>
      <c r="C66" s="45"/>
      <c r="D66" s="49"/>
      <c r="E66" s="49"/>
      <c r="F66" s="49"/>
      <c r="G66" s="32" t="str">
        <f>IF(NOT(ISBLANK(Curs!C70)),IF(AND(NOT(ISBLANK(D66)),NOT(ISBLANK(F66)),D66&gt;=5,F66&gt;=5),ROUND(AVERAGE(D66:F66),0),"n/p"),"")</f>
        <v/>
      </c>
    </row>
    <row r="67" spans="1:7" x14ac:dyDescent="0.35">
      <c r="A67" s="30" t="str">
        <f>IF(NOT(ISBLANK(Curs!B71)),Curs!B71,"")</f>
        <v/>
      </c>
      <c r="B67" s="31" t="str">
        <f>IF(NOT(ISBLANK(Curs!C71)),Curs!C71,"")</f>
        <v/>
      </c>
      <c r="C67" s="45"/>
      <c r="D67" s="49"/>
      <c r="E67" s="49"/>
      <c r="F67" s="49"/>
      <c r="G67" s="32" t="str">
        <f>IF(NOT(ISBLANK(Curs!C71)),IF(AND(NOT(ISBLANK(D67)),NOT(ISBLANK(F67)),D67&gt;=5,F67&gt;=5),ROUND(AVERAGE(D67:F67),0),"n/p"),"")</f>
        <v/>
      </c>
    </row>
    <row r="68" spans="1:7" x14ac:dyDescent="0.35">
      <c r="A68" s="30" t="str">
        <f>IF(NOT(ISBLANK(Curs!B72)),Curs!B72,"")</f>
        <v/>
      </c>
      <c r="B68" s="31" t="str">
        <f>IF(NOT(ISBLANK(Curs!C72)),Curs!C72,"")</f>
        <v/>
      </c>
      <c r="C68" s="45"/>
      <c r="D68" s="49"/>
      <c r="E68" s="49"/>
      <c r="F68" s="49"/>
      <c r="G68" s="32" t="str">
        <f>IF(NOT(ISBLANK(Curs!C72)),IF(AND(NOT(ISBLANK(D68)),NOT(ISBLANK(F68)),D68&gt;=5,F68&gt;=5),ROUND(AVERAGE(D68:F68),0),"n/p"),"")</f>
        <v/>
      </c>
    </row>
    <row r="69" spans="1:7" x14ac:dyDescent="0.35">
      <c r="A69" s="30" t="str">
        <f>IF(NOT(ISBLANK(Curs!B73)),Curs!B73,"")</f>
        <v/>
      </c>
      <c r="B69" s="31" t="str">
        <f>IF(NOT(ISBLANK(Curs!C73)),Curs!C73,"")</f>
        <v/>
      </c>
      <c r="C69" s="45"/>
      <c r="D69" s="49"/>
      <c r="E69" s="49"/>
      <c r="F69" s="49"/>
      <c r="G69" s="32" t="str">
        <f>IF(NOT(ISBLANK(Curs!C73)),IF(AND(NOT(ISBLANK(D69)),NOT(ISBLANK(F69)),D69&gt;=5,F69&gt;=5),ROUND(AVERAGE(D69:F69),0),"n/p"),"")</f>
        <v/>
      </c>
    </row>
    <row r="70" spans="1:7" x14ac:dyDescent="0.35">
      <c r="A70" s="30" t="str">
        <f>IF(NOT(ISBLANK(Curs!B74)),Curs!B74,"")</f>
        <v/>
      </c>
      <c r="B70" s="31" t="str">
        <f>IF(NOT(ISBLANK(Curs!C74)),Curs!C74,"")</f>
        <v/>
      </c>
      <c r="C70" s="45"/>
      <c r="D70" s="49"/>
      <c r="E70" s="49"/>
      <c r="F70" s="49"/>
      <c r="G70" s="32" t="str">
        <f>IF(NOT(ISBLANK(Curs!C74)),IF(AND(NOT(ISBLANK(D70)),NOT(ISBLANK(F70)),D70&gt;=5,F70&gt;=5),ROUND(AVERAGE(D70:F70),0),"n/p"),"")</f>
        <v/>
      </c>
    </row>
    <row r="71" spans="1:7" x14ac:dyDescent="0.35">
      <c r="A71" s="30" t="str">
        <f>IF(NOT(ISBLANK(Curs!B75)),Curs!B75,"")</f>
        <v/>
      </c>
      <c r="B71" s="31" t="str">
        <f>IF(NOT(ISBLANK(Curs!C75)),Curs!C75,"")</f>
        <v/>
      </c>
      <c r="C71" s="45"/>
      <c r="D71" s="49"/>
      <c r="E71" s="49"/>
      <c r="F71" s="49"/>
      <c r="G71" s="32" t="str">
        <f>IF(NOT(ISBLANK(Curs!C75)),IF(AND(NOT(ISBLANK(D71)),NOT(ISBLANK(F71)),D71&gt;=5,F71&gt;=5),ROUND(AVERAGE(D71:F71),0),"n/p"),"")</f>
        <v/>
      </c>
    </row>
    <row r="72" spans="1:7" x14ac:dyDescent="0.35">
      <c r="A72" s="30" t="str">
        <f>IF(NOT(ISBLANK(Curs!B76)),Curs!B76,"")</f>
        <v/>
      </c>
      <c r="B72" s="31" t="str">
        <f>IF(NOT(ISBLANK(Curs!C76)),Curs!C76,"")</f>
        <v/>
      </c>
      <c r="C72" s="45"/>
      <c r="D72" s="49"/>
      <c r="E72" s="49"/>
      <c r="F72" s="49"/>
      <c r="G72" s="32" t="str">
        <f>IF(NOT(ISBLANK(Curs!C76)),IF(AND(NOT(ISBLANK(D72)),NOT(ISBLANK(F72)),D72&gt;=5,F72&gt;=5),ROUND(AVERAGE(D72:F72),0),"n/p"),"")</f>
        <v/>
      </c>
    </row>
    <row r="73" spans="1:7" x14ac:dyDescent="0.35">
      <c r="A73" s="30" t="str">
        <f>IF(NOT(ISBLANK(Curs!B77)),Curs!B77,"")</f>
        <v/>
      </c>
      <c r="B73" s="31" t="str">
        <f>IF(NOT(ISBLANK(Curs!C77)),Curs!C77,"")</f>
        <v/>
      </c>
      <c r="C73" s="45"/>
      <c r="D73" s="49"/>
      <c r="E73" s="49"/>
      <c r="F73" s="49"/>
      <c r="G73" s="32" t="str">
        <f>IF(NOT(ISBLANK(Curs!C77)),IF(AND(NOT(ISBLANK(D73)),NOT(ISBLANK(F73)),D73&gt;=5,F73&gt;=5),ROUND(AVERAGE(D73:F73),0),"n/p"),"")</f>
        <v/>
      </c>
    </row>
    <row r="74" spans="1:7" x14ac:dyDescent="0.35">
      <c r="A74" s="30" t="str">
        <f>IF(NOT(ISBLANK(Curs!B78)),Curs!B78,"")</f>
        <v/>
      </c>
      <c r="B74" s="31" t="str">
        <f>IF(NOT(ISBLANK(Curs!C78)),Curs!C78,"")</f>
        <v/>
      </c>
      <c r="C74" s="45"/>
      <c r="D74" s="49"/>
      <c r="E74" s="49"/>
      <c r="F74" s="49"/>
      <c r="G74" s="32" t="str">
        <f>IF(NOT(ISBLANK(Curs!C78)),IF(AND(NOT(ISBLANK(D74)),NOT(ISBLANK(F74)),D74&gt;=5,F74&gt;=5),ROUND(AVERAGE(D74:F74),0),"n/p"),"")</f>
        <v/>
      </c>
    </row>
    <row r="75" spans="1:7" x14ac:dyDescent="0.35">
      <c r="A75" s="30" t="str">
        <f>IF(NOT(ISBLANK(Curs!B79)),Curs!B79,"")</f>
        <v/>
      </c>
      <c r="B75" s="31" t="str">
        <f>IF(NOT(ISBLANK(Curs!C79)),Curs!C79,"")</f>
        <v/>
      </c>
      <c r="C75" s="45"/>
      <c r="D75" s="49"/>
      <c r="E75" s="49"/>
      <c r="F75" s="49"/>
      <c r="G75" s="32" t="str">
        <f>IF(NOT(ISBLANK(Curs!C79)),IF(AND(NOT(ISBLANK(D75)),NOT(ISBLANK(F75)),D75&gt;=5,F75&gt;=5),ROUND(AVERAGE(D75:F75),0),"n/p"),"")</f>
        <v/>
      </c>
    </row>
    <row r="76" spans="1:7" x14ac:dyDescent="0.35">
      <c r="A76" s="30" t="str">
        <f>IF(NOT(ISBLANK(Curs!B80)),Curs!B80,"")</f>
        <v/>
      </c>
      <c r="B76" s="31" t="str">
        <f>IF(NOT(ISBLANK(Curs!C80)),Curs!C80,"")</f>
        <v/>
      </c>
      <c r="C76" s="45"/>
      <c r="D76" s="49"/>
      <c r="E76" s="49"/>
      <c r="F76" s="49"/>
      <c r="G76" s="32" t="str">
        <f>IF(NOT(ISBLANK(Curs!C80)),IF(AND(NOT(ISBLANK(D76)),NOT(ISBLANK(F76)),D76&gt;=5,F76&gt;=5),ROUND(AVERAGE(D76:F76),0),"n/p"),"")</f>
        <v/>
      </c>
    </row>
    <row r="77" spans="1:7" x14ac:dyDescent="0.35">
      <c r="A77" s="30" t="str">
        <f>IF(NOT(ISBLANK(Curs!B81)),Curs!B81,"")</f>
        <v/>
      </c>
      <c r="B77" s="31" t="str">
        <f>IF(NOT(ISBLANK(Curs!C81)),Curs!C81,"")</f>
        <v/>
      </c>
      <c r="C77" s="45"/>
      <c r="D77" s="49"/>
      <c r="E77" s="49"/>
      <c r="F77" s="49"/>
      <c r="G77" s="32" t="str">
        <f>IF(NOT(ISBLANK(Curs!C81)),IF(AND(NOT(ISBLANK(D77)),NOT(ISBLANK(F77)),D77&gt;=5,F77&gt;=5),ROUND(AVERAGE(D77:F77),0),"n/p"),"")</f>
        <v/>
      </c>
    </row>
    <row r="78" spans="1:7" x14ac:dyDescent="0.35">
      <c r="A78" s="30" t="str">
        <f>IF(NOT(ISBLANK(Curs!B82)),Curs!B82,"")</f>
        <v/>
      </c>
      <c r="B78" s="31" t="str">
        <f>IF(NOT(ISBLANK(Curs!C82)),Curs!C82,"")</f>
        <v/>
      </c>
      <c r="C78" s="45"/>
      <c r="D78" s="49"/>
      <c r="E78" s="49"/>
      <c r="F78" s="49"/>
      <c r="G78" s="32" t="str">
        <f>IF(NOT(ISBLANK(Curs!C82)),IF(AND(NOT(ISBLANK(D78)),NOT(ISBLANK(F78)),D78&gt;=5,F78&gt;=5),ROUND(AVERAGE(D78:F78),0),"n/p"),"")</f>
        <v/>
      </c>
    </row>
    <row r="79" spans="1:7" x14ac:dyDescent="0.35">
      <c r="A79" s="30" t="str">
        <f>IF(NOT(ISBLANK(Curs!B83)),Curs!B83,"")</f>
        <v/>
      </c>
      <c r="B79" s="31" t="str">
        <f>IF(NOT(ISBLANK(Curs!C83)),Curs!C83,"")</f>
        <v/>
      </c>
      <c r="C79" s="45"/>
      <c r="D79" s="49"/>
      <c r="E79" s="49"/>
      <c r="F79" s="49"/>
      <c r="G79" s="32" t="str">
        <f>IF(NOT(ISBLANK(Curs!C83)),IF(AND(NOT(ISBLANK(D79)),NOT(ISBLANK(F79)),D79&gt;=5,F79&gt;=5),ROUND(AVERAGE(D79:F79),0),"n/p"),"")</f>
        <v/>
      </c>
    </row>
    <row r="80" spans="1:7" x14ac:dyDescent="0.35">
      <c r="A80" s="30" t="str">
        <f>IF(NOT(ISBLANK(Curs!B84)),Curs!B84,"")</f>
        <v/>
      </c>
      <c r="B80" s="31" t="str">
        <f>IF(NOT(ISBLANK(Curs!C84)),Curs!C84,"")</f>
        <v/>
      </c>
      <c r="C80" s="45"/>
      <c r="D80" s="49"/>
      <c r="E80" s="49"/>
      <c r="F80" s="49"/>
      <c r="G80" s="32" t="str">
        <f>IF(NOT(ISBLANK(Curs!C84)),IF(AND(NOT(ISBLANK(D80)),NOT(ISBLANK(F80)),D80&gt;=5,F80&gt;=5),ROUND(AVERAGE(D80:F80),0),"n/p"),"")</f>
        <v/>
      </c>
    </row>
    <row r="81" spans="1:7" x14ac:dyDescent="0.35">
      <c r="A81" s="30" t="str">
        <f>IF(NOT(ISBLANK(Curs!B85)),Curs!B85,"")</f>
        <v/>
      </c>
      <c r="B81" s="31" t="str">
        <f>IF(NOT(ISBLANK(Curs!C85)),Curs!C85,"")</f>
        <v/>
      </c>
      <c r="C81" s="45"/>
      <c r="D81" s="49"/>
      <c r="E81" s="49"/>
      <c r="F81" s="49"/>
      <c r="G81" s="32" t="str">
        <f>IF(NOT(ISBLANK(Curs!C85)),IF(AND(NOT(ISBLANK(D81)),NOT(ISBLANK(F81)),D81&gt;=5,F81&gt;=5),ROUND(AVERAGE(D81:F81),0),"n/p"),"")</f>
        <v/>
      </c>
    </row>
    <row r="82" spans="1:7" x14ac:dyDescent="0.35">
      <c r="A82" s="30" t="str">
        <f>IF(NOT(ISBLANK(Curs!B86)),Curs!B86,"")</f>
        <v/>
      </c>
      <c r="B82" s="31" t="str">
        <f>IF(NOT(ISBLANK(Curs!C86)),Curs!C86,"")</f>
        <v/>
      </c>
      <c r="C82" s="45"/>
      <c r="D82" s="49"/>
      <c r="E82" s="49"/>
      <c r="F82" s="49"/>
      <c r="G82" s="32" t="str">
        <f>IF(NOT(ISBLANK(Curs!C86)),IF(AND(NOT(ISBLANK(D82)),NOT(ISBLANK(F82)),D82&gt;=5,F82&gt;=5),ROUND(AVERAGE(D82:F82),0),"n/p"),"")</f>
        <v/>
      </c>
    </row>
    <row r="83" spans="1:7" x14ac:dyDescent="0.35">
      <c r="A83" s="30" t="str">
        <f>IF(NOT(ISBLANK(Curs!B87)),Curs!B87,"")</f>
        <v/>
      </c>
      <c r="B83" s="31" t="str">
        <f>IF(NOT(ISBLANK(Curs!C87)),Curs!C87,"")</f>
        <v/>
      </c>
      <c r="C83" s="45"/>
      <c r="D83" s="49"/>
      <c r="E83" s="49"/>
      <c r="F83" s="49"/>
      <c r="G83" s="32" t="str">
        <f>IF(NOT(ISBLANK(Curs!C87)),IF(AND(NOT(ISBLANK(D83)),NOT(ISBLANK(F83)),D83&gt;=5,F83&gt;=5),ROUND(AVERAGE(D83:F83),0),"n/p"),"")</f>
        <v/>
      </c>
    </row>
    <row r="84" spans="1:7" x14ac:dyDescent="0.35">
      <c r="A84" s="30" t="str">
        <f>IF(NOT(ISBLANK(Curs!B88)),Curs!B88,"")</f>
        <v/>
      </c>
      <c r="B84" s="31" t="str">
        <f>IF(NOT(ISBLANK(Curs!C88)),Curs!C88,"")</f>
        <v/>
      </c>
      <c r="C84" s="45"/>
      <c r="D84" s="49"/>
      <c r="E84" s="49"/>
      <c r="F84" s="49"/>
      <c r="G84" s="32" t="str">
        <f>IF(NOT(ISBLANK(Curs!C88)),IF(AND(NOT(ISBLANK(D84)),NOT(ISBLANK(F84)),D84&gt;=5,F84&gt;=5),ROUND(AVERAGE(D84:F84),0),"n/p"),"")</f>
        <v/>
      </c>
    </row>
    <row r="85" spans="1:7" x14ac:dyDescent="0.35">
      <c r="A85" s="30" t="str">
        <f>IF(NOT(ISBLANK(Curs!B89)),Curs!B89,"")</f>
        <v/>
      </c>
      <c r="B85" s="31" t="str">
        <f>IF(NOT(ISBLANK(Curs!C89)),Curs!C89,"")</f>
        <v/>
      </c>
      <c r="C85" s="45"/>
      <c r="D85" s="49"/>
      <c r="E85" s="49"/>
      <c r="F85" s="49"/>
      <c r="G85" s="32" t="str">
        <f>IF(NOT(ISBLANK(Curs!C89)),IF(AND(NOT(ISBLANK(D85)),NOT(ISBLANK(F85)),D85&gt;=5,F85&gt;=5),ROUND(AVERAGE(D85:F85),0),"n/p"),"")</f>
        <v/>
      </c>
    </row>
    <row r="86" spans="1:7" x14ac:dyDescent="0.35">
      <c r="A86" s="30" t="str">
        <f>IF(NOT(ISBLANK(Curs!B90)),Curs!B90,"")</f>
        <v/>
      </c>
      <c r="B86" s="31" t="str">
        <f>IF(NOT(ISBLANK(Curs!C90)),Curs!C90,"")</f>
        <v/>
      </c>
      <c r="C86" s="45"/>
      <c r="D86" s="49"/>
      <c r="E86" s="49"/>
      <c r="F86" s="49"/>
      <c r="G86" s="32" t="str">
        <f>IF(NOT(ISBLANK(Curs!C90)),IF(AND(NOT(ISBLANK(D86)),NOT(ISBLANK(F86)),D86&gt;=5,F86&gt;=5),ROUND(AVERAGE(D86:F86),0),"n/p"),"")</f>
        <v/>
      </c>
    </row>
    <row r="87" spans="1:7" x14ac:dyDescent="0.35">
      <c r="A87" s="30" t="str">
        <f>IF(NOT(ISBLANK(Curs!B91)),Curs!B91,"")</f>
        <v/>
      </c>
      <c r="B87" s="31" t="str">
        <f>IF(NOT(ISBLANK(Curs!C91)),Curs!C91,"")</f>
        <v/>
      </c>
      <c r="C87" s="45"/>
      <c r="D87" s="49"/>
      <c r="E87" s="49"/>
      <c r="F87" s="49"/>
      <c r="G87" s="32" t="str">
        <f>IF(NOT(ISBLANK(Curs!C91)),IF(AND(NOT(ISBLANK(D87)),NOT(ISBLANK(F87)),D87&gt;=5,F87&gt;=5),ROUND(AVERAGE(D87:F87),0),"n/p"),"")</f>
        <v/>
      </c>
    </row>
    <row r="88" spans="1:7" x14ac:dyDescent="0.35">
      <c r="A88" s="30" t="str">
        <f>IF(NOT(ISBLANK(Curs!B92)),Curs!B92,"")</f>
        <v/>
      </c>
      <c r="B88" s="31" t="str">
        <f>IF(NOT(ISBLANK(Curs!C92)),Curs!C92,"")</f>
        <v/>
      </c>
      <c r="C88" s="45"/>
      <c r="D88" s="49"/>
      <c r="E88" s="49"/>
      <c r="F88" s="49"/>
      <c r="G88" s="32" t="str">
        <f>IF(NOT(ISBLANK(Curs!C92)),IF(AND(NOT(ISBLANK(D88)),NOT(ISBLANK(F88)),D88&gt;=5,F88&gt;=5),ROUND(AVERAGE(D88:F88),0),"n/p"),"")</f>
        <v/>
      </c>
    </row>
    <row r="89" spans="1:7" x14ac:dyDescent="0.35">
      <c r="A89" s="30" t="str">
        <f>IF(NOT(ISBLANK(Curs!B93)),Curs!B93,"")</f>
        <v/>
      </c>
      <c r="B89" s="31" t="str">
        <f>IF(NOT(ISBLANK(Curs!C93)),Curs!C93,"")</f>
        <v/>
      </c>
      <c r="C89" s="45"/>
      <c r="D89" s="49"/>
      <c r="E89" s="49"/>
      <c r="F89" s="49"/>
      <c r="G89" s="32" t="str">
        <f>IF(NOT(ISBLANK(Curs!C93)),IF(AND(NOT(ISBLANK(D89)),NOT(ISBLANK(F89)),D89&gt;=5,F89&gt;=5),ROUND(AVERAGE(D89:F89),0),"n/p"),"")</f>
        <v/>
      </c>
    </row>
    <row r="90" spans="1:7" x14ac:dyDescent="0.35">
      <c r="A90" s="30" t="str">
        <f>IF(NOT(ISBLANK(Curs!B94)),Curs!B94,"")</f>
        <v/>
      </c>
      <c r="B90" s="31" t="str">
        <f>IF(NOT(ISBLANK(Curs!C94)),Curs!C94,"")</f>
        <v/>
      </c>
      <c r="C90" s="45"/>
      <c r="D90" s="49"/>
      <c r="E90" s="49"/>
      <c r="F90" s="49"/>
      <c r="G90" s="32" t="str">
        <f>IF(NOT(ISBLANK(Curs!C94)),IF(AND(NOT(ISBLANK(D90)),NOT(ISBLANK(F90)),D90&gt;=5,F90&gt;=5),ROUND(AVERAGE(D90:F90),0),"n/p"),"")</f>
        <v/>
      </c>
    </row>
    <row r="91" spans="1:7" x14ac:dyDescent="0.35">
      <c r="A91" s="30" t="str">
        <f>IF(NOT(ISBLANK(Curs!B95)),Curs!B95,"")</f>
        <v/>
      </c>
      <c r="B91" s="31" t="str">
        <f>IF(NOT(ISBLANK(Curs!C95)),Curs!C95,"")</f>
        <v/>
      </c>
      <c r="C91" s="45"/>
      <c r="D91" s="49"/>
      <c r="E91" s="49"/>
      <c r="F91" s="49"/>
      <c r="G91" s="32" t="str">
        <f>IF(NOT(ISBLANK(Curs!C95)),IF(AND(NOT(ISBLANK(D91)),NOT(ISBLANK(F91)),D91&gt;=5,F91&gt;=5),ROUND(AVERAGE(D91:F91),0),"n/p"),"")</f>
        <v/>
      </c>
    </row>
    <row r="92" spans="1:7" x14ac:dyDescent="0.35">
      <c r="A92" s="30" t="str">
        <f>IF(NOT(ISBLANK(Curs!B96)),Curs!B96,"")</f>
        <v/>
      </c>
      <c r="B92" s="31" t="str">
        <f>IF(NOT(ISBLANK(Curs!C96)),Curs!C96,"")</f>
        <v/>
      </c>
      <c r="C92" s="45"/>
      <c r="D92" s="49"/>
      <c r="E92" s="49"/>
      <c r="F92" s="49"/>
      <c r="G92" s="32" t="str">
        <f>IF(NOT(ISBLANK(Curs!C96)),IF(AND(NOT(ISBLANK(D92)),NOT(ISBLANK(F92)),D92&gt;=5,F92&gt;=5),ROUND(AVERAGE(D92:F92),0),"n/p"),"")</f>
        <v/>
      </c>
    </row>
    <row r="93" spans="1:7" x14ac:dyDescent="0.35">
      <c r="A93" s="30" t="str">
        <f>IF(NOT(ISBLANK(Curs!B97)),Curs!B97,"")</f>
        <v/>
      </c>
      <c r="B93" s="31" t="str">
        <f>IF(NOT(ISBLANK(Curs!C97)),Curs!C97,"")</f>
        <v/>
      </c>
      <c r="C93" s="45"/>
      <c r="D93" s="49"/>
      <c r="E93" s="49"/>
      <c r="F93" s="49"/>
      <c r="G93" s="32" t="str">
        <f>IF(NOT(ISBLANK(Curs!C97)),IF(AND(NOT(ISBLANK(D93)),NOT(ISBLANK(F93)),D93&gt;=5,F93&gt;=5),ROUND(AVERAGE(D93:F93),0),"n/p"),"")</f>
        <v/>
      </c>
    </row>
    <row r="94" spans="1:7" x14ac:dyDescent="0.35">
      <c r="A94" s="30" t="str">
        <f>IF(NOT(ISBLANK(Curs!B98)),Curs!B98,"")</f>
        <v/>
      </c>
      <c r="B94" s="31" t="str">
        <f>IF(NOT(ISBLANK(Curs!C98)),Curs!C98,"")</f>
        <v/>
      </c>
      <c r="C94" s="45"/>
      <c r="D94" s="49"/>
      <c r="E94" s="49"/>
      <c r="F94" s="49"/>
      <c r="G94" s="32" t="str">
        <f>IF(NOT(ISBLANK(Curs!C98)),IF(AND(NOT(ISBLANK(D94)),NOT(ISBLANK(F94)),D94&gt;=5,F94&gt;=5),ROUND(AVERAGE(D94:F94),0),"n/p"),"")</f>
        <v/>
      </c>
    </row>
    <row r="95" spans="1:7" x14ac:dyDescent="0.35">
      <c r="A95" s="30" t="str">
        <f>IF(NOT(ISBLANK(Curs!B99)),Curs!B99,"")</f>
        <v/>
      </c>
      <c r="B95" s="31" t="str">
        <f>IF(NOT(ISBLANK(Curs!C99)),Curs!C99,"")</f>
        <v/>
      </c>
      <c r="C95" s="45"/>
      <c r="D95" s="49"/>
      <c r="E95" s="49"/>
      <c r="F95" s="49"/>
      <c r="G95" s="32" t="str">
        <f>IF(NOT(ISBLANK(Curs!C99)),IF(AND(NOT(ISBLANK(D95)),NOT(ISBLANK(F95)),D95&gt;=5,F95&gt;=5),ROUND(AVERAGE(D95:F95),0),"n/p"),"")</f>
        <v/>
      </c>
    </row>
    <row r="96" spans="1:7" x14ac:dyDescent="0.35">
      <c r="A96" s="30" t="str">
        <f>IF(NOT(ISBLANK(Curs!B100)),Curs!B100,"")</f>
        <v/>
      </c>
      <c r="B96" s="31" t="str">
        <f>IF(NOT(ISBLANK(Curs!C100)),Curs!C100,"")</f>
        <v/>
      </c>
      <c r="C96" s="45"/>
      <c r="D96" s="49"/>
      <c r="E96" s="49"/>
      <c r="F96" s="49"/>
      <c r="G96" s="32" t="str">
        <f>IF(NOT(ISBLANK(Curs!C100)),IF(AND(NOT(ISBLANK(D96)),NOT(ISBLANK(F96)),D96&gt;=5,F96&gt;=5),ROUND(AVERAGE(D96:F96),0),"n/p"),"")</f>
        <v/>
      </c>
    </row>
    <row r="97" spans="1:7" x14ac:dyDescent="0.35">
      <c r="A97" s="30" t="str">
        <f>IF(NOT(ISBLANK(Curs!B101)),Curs!B101,"")</f>
        <v/>
      </c>
      <c r="B97" s="31" t="str">
        <f>IF(NOT(ISBLANK(Curs!C101)),Curs!C101,"")</f>
        <v/>
      </c>
      <c r="C97" s="45"/>
      <c r="D97" s="49"/>
      <c r="E97" s="49"/>
      <c r="F97" s="49"/>
      <c r="G97" s="32" t="str">
        <f>IF(NOT(ISBLANK(Curs!C101)),IF(AND(NOT(ISBLANK(D97)),NOT(ISBLANK(F97)),D97&gt;=5,F97&gt;=5),ROUND(AVERAGE(D97:F97),0),"n/p"),"")</f>
        <v/>
      </c>
    </row>
    <row r="98" spans="1:7" x14ac:dyDescent="0.35">
      <c r="A98" s="30" t="str">
        <f>IF(NOT(ISBLANK(Curs!B102)),Curs!B102,"")</f>
        <v/>
      </c>
      <c r="B98" s="31" t="str">
        <f>IF(NOT(ISBLANK(Curs!C102)),Curs!C102,"")</f>
        <v/>
      </c>
      <c r="C98" s="45"/>
      <c r="D98" s="49"/>
      <c r="E98" s="49"/>
      <c r="F98" s="49"/>
      <c r="G98" s="32" t="str">
        <f>IF(NOT(ISBLANK(Curs!C102)),IF(AND(NOT(ISBLANK(D98)),NOT(ISBLANK(F98)),D98&gt;=5,F98&gt;=5),ROUND(AVERAGE(D98:F98),0),"n/p"),"")</f>
        <v/>
      </c>
    </row>
    <row r="99" spans="1:7" x14ac:dyDescent="0.35">
      <c r="A99" s="30" t="str">
        <f>IF(NOT(ISBLANK(Curs!B103)),Curs!B103,"")</f>
        <v/>
      </c>
      <c r="B99" s="31" t="str">
        <f>IF(NOT(ISBLANK(Curs!C103)),Curs!C103,"")</f>
        <v/>
      </c>
      <c r="C99" s="45"/>
      <c r="D99" s="49"/>
      <c r="E99" s="49"/>
      <c r="F99" s="49"/>
      <c r="G99" s="32" t="str">
        <f>IF(NOT(ISBLANK(Curs!C103)),IF(AND(NOT(ISBLANK(D99)),NOT(ISBLANK(F99)),D99&gt;=5,F99&gt;=5),ROUND(AVERAGE(D99:F99),0),"n/p"),"")</f>
        <v/>
      </c>
    </row>
    <row r="100" spans="1:7" x14ac:dyDescent="0.35">
      <c r="A100" s="30" t="str">
        <f>IF(NOT(ISBLANK(Curs!B104)),Curs!B104,"")</f>
        <v/>
      </c>
      <c r="B100" s="31" t="str">
        <f>IF(NOT(ISBLANK(Curs!C104)),Curs!C104,"")</f>
        <v/>
      </c>
      <c r="C100" s="45"/>
      <c r="D100" s="49"/>
      <c r="E100" s="49"/>
      <c r="F100" s="49"/>
      <c r="G100" s="32" t="str">
        <f>IF(NOT(ISBLANK(Curs!C104)),IF(AND(NOT(ISBLANK(D100)),NOT(ISBLANK(F100)),D100&gt;=5,F100&gt;=5),ROUND(AVERAGE(D100:F100),0),"n/p"),"")</f>
        <v/>
      </c>
    </row>
    <row r="101" spans="1:7" x14ac:dyDescent="0.35">
      <c r="A101" s="30" t="str">
        <f>IF(NOT(ISBLANK(Curs!B105)),Curs!B105,"")</f>
        <v/>
      </c>
      <c r="B101" s="31" t="str">
        <f>IF(NOT(ISBLANK(Curs!C105)),Curs!C105,"")</f>
        <v/>
      </c>
      <c r="C101" s="45"/>
      <c r="D101" s="49"/>
      <c r="E101" s="49"/>
      <c r="F101" s="49"/>
      <c r="G101" s="32" t="str">
        <f>IF(NOT(ISBLANK(Curs!C105)),IF(AND(NOT(ISBLANK(D101)),NOT(ISBLANK(F101)),D101&gt;=5,F101&gt;=5),ROUND(AVERAGE(D101:F101),0),"n/p"),"")</f>
        <v/>
      </c>
    </row>
    <row r="102" spans="1:7" x14ac:dyDescent="0.35">
      <c r="G102" s="32" t="str">
        <f>IF(NOT(ISBLANK(Curs!C106)),IF(AND(NOT(ISBLANK(D102)),NOT(ISBLANK(F102))),ROUND(AVERAGE(D102:F102),0),"n/p"),"")</f>
        <v/>
      </c>
    </row>
    <row r="103" spans="1:7" x14ac:dyDescent="0.35">
      <c r="G103" s="32" t="str">
        <f>IF(NOT(ISBLANK(Curs!C107)),IF(AND(NOT(ISBLANK(D103)),NOT(ISBLANK(F103))),ROUND(AVERAGE(D103:F103),0),"n/p"),"")</f>
        <v/>
      </c>
    </row>
    <row r="104" spans="1:7" x14ac:dyDescent="0.35">
      <c r="G104" s="32" t="str">
        <f>IF(NOT(ISBLANK(Curs!C108)),IF(AND(NOT(ISBLANK(D104)),NOT(ISBLANK(F104))),ROUND(AVERAGE(D104:F104),0),"n/p"),"")</f>
        <v/>
      </c>
    </row>
  </sheetData>
  <mergeCells count="1">
    <mergeCell ref="I1:J1"/>
  </mergeCells>
  <pageMargins left="0.7" right="0.7" top="0.75" bottom="0.75" header="0.3" footer="0.3"/>
  <ignoredErrors>
    <ignoredError sqref="C2 C4:C105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"/>
  <sheetViews>
    <sheetView zoomScale="85" zoomScaleNormal="85" workbookViewId="0">
      <selection activeCell="H22" sqref="H22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5" width="8.6640625" customWidth="1"/>
    <col min="6" max="6" width="10.109375" customWidth="1"/>
    <col min="7" max="8" width="8.6640625" customWidth="1"/>
    <col min="9" max="9" width="10.109375" customWidth="1"/>
    <col min="10" max="10" width="8.6640625" customWidth="1"/>
    <col min="11" max="11" width="11.109375" bestFit="1" customWidth="1"/>
    <col min="12" max="12" width="11.5546875" customWidth="1"/>
    <col min="16" max="16" width="8.6640625" customWidth="1"/>
  </cols>
  <sheetData>
    <row r="1" spans="1:16" ht="36" x14ac:dyDescent="0.35">
      <c r="A1" s="3" t="s">
        <v>0</v>
      </c>
      <c r="B1" s="4" t="s">
        <v>1</v>
      </c>
      <c r="C1" s="20" t="s">
        <v>20</v>
      </c>
      <c r="D1" s="20" t="s">
        <v>22</v>
      </c>
      <c r="E1" s="20" t="s">
        <v>21</v>
      </c>
      <c r="F1" s="24" t="s">
        <v>18</v>
      </c>
      <c r="G1" s="5" t="s">
        <v>13</v>
      </c>
      <c r="H1" s="6" t="s">
        <v>14</v>
      </c>
      <c r="I1" s="7"/>
      <c r="J1" s="6"/>
      <c r="K1" s="171" t="s">
        <v>38</v>
      </c>
      <c r="L1" s="171"/>
      <c r="M1" s="8"/>
      <c r="N1" s="9"/>
      <c r="O1" s="9"/>
      <c r="P1" s="9"/>
    </row>
    <row r="2" spans="1:16" ht="18" x14ac:dyDescent="0.35">
      <c r="A2" s="30">
        <f>IF(NOT(ISBLANK(Curs!B6)),Curs!B6,"")</f>
        <v>1</v>
      </c>
      <c r="B2" s="31" t="str">
        <f>IF(NOT(ISBLANK(Curs!C6)),Curs!C6,"")</f>
        <v>Nume, Prenume</v>
      </c>
      <c r="C2" s="10"/>
      <c r="D2" s="10"/>
      <c r="E2" s="10"/>
      <c r="F2" s="23">
        <f>IF(NOT(ISBLANK(Curs!C6)),
IF(Curs!R6,"Eliberat",
ROUND(SUM(C2:E2),0)),
"")</f>
        <v>0</v>
      </c>
      <c r="G2" s="22" t="str">
        <f>IF(NOT(ISBLANK(Curs!C6)),
IF(Curs!R6,Curs!R6,
IF(F2=0,"n/p",
IF(AND(F2&gt;=$H$3,F2&lt;=$I$3),$J$3,
IF(AND(F2&gt;=$H$4,F2&lt;=$I$4),$J$4,
IF(AND(F2&gt;=$H$5,F2&lt;=$I$5),$J$5,
IF(AND(F2&gt;=$H$6,F2&lt;=$I$6),$J$6,
IF(AND(F2&gt;=$H$7,F2&lt;=$I$7),$J$7,
IF(AND(F2&gt;=$H$8,F2&lt;=$I$8),$J$8,
IF(AND(F2&gt;=$H$9,F2&lt;=$I$9),$J$9,
IF(AND(F2&gt;=$H$10,F2&lt;=$I$10),$J$10,
IF(AND(F2&gt;=$H$11,F2&lt;=$I$11),$J$11))))))))))),
"")</f>
        <v>n/p</v>
      </c>
      <c r="H2" s="6" t="s">
        <v>16</v>
      </c>
      <c r="I2" s="6"/>
      <c r="J2" s="12" t="s">
        <v>13</v>
      </c>
      <c r="K2" s="27" t="s">
        <v>13</v>
      </c>
      <c r="L2" s="27" t="s">
        <v>15</v>
      </c>
      <c r="M2" s="8"/>
      <c r="N2" s="13"/>
      <c r="O2" s="13"/>
      <c r="P2" s="13"/>
    </row>
    <row r="3" spans="1:16" ht="18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23" t="str">
        <f>IF(NOT(ISBLANK(Curs!C7)),
IF(Curs!R7,"Eliberat",
ROUND(SUM(C3:E3),0)),
"")</f>
        <v/>
      </c>
      <c r="G3" s="22" t="str">
        <f>IF(NOT(ISBLANK(Curs!C7)),
IF(Curs!R7,Curs!R7,
IF(F3=0,"n/p",
IF(AND(F3&gt;=$H$3,F3&lt;=$I$3),$J$3,
IF(AND(F3&gt;=$H$4,F3&lt;=$I$4),$J$4,
IF(AND(F3&gt;=$H$5,F3&lt;=$I$5),$J$5,
IF(AND(F3&gt;=$H$6,F3&lt;=$I$6),$J$6,
IF(AND(F3&gt;=$H$7,F3&lt;=$I$7),$J$7,
IF(AND(F3&gt;=$H$8,F3&lt;=$I$8),$J$8,
IF(AND(F3&gt;=$H$9,F3&lt;=$I$9),$J$9,
IF(AND(F3&gt;=$H$10,F3&lt;=$I$10),$J$10,
IF(AND(F3&gt;=$H$11,F3&lt;=$I$11),$J$11))))))))))),
"")</f>
        <v/>
      </c>
      <c r="H3" s="21">
        <v>0</v>
      </c>
      <c r="I3" s="21">
        <v>3</v>
      </c>
      <c r="J3" s="12">
        <v>2</v>
      </c>
      <c r="K3" s="29">
        <v>1</v>
      </c>
      <c r="L3" s="27">
        <f>COUNTIF($G$2:$G101,K3)</f>
        <v>0</v>
      </c>
      <c r="M3" s="8"/>
      <c r="N3" s="13"/>
      <c r="O3" s="13"/>
      <c r="P3" s="13"/>
    </row>
    <row r="4" spans="1:16" ht="18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23" t="str">
        <f>IF(NOT(ISBLANK(Curs!C8)),
IF(Curs!R8,"Eliberat",
ROUND(SUM(C4:E4),0)),
"")</f>
        <v/>
      </c>
      <c r="G4" s="22" t="str">
        <f>IF(NOT(ISBLANK(Curs!C8)),
IF(Curs!R8,Curs!R8,
IF(F4=0,"n/p",
IF(AND(F4&gt;=$H$3,F4&lt;=$I$3),$J$3,
IF(AND(F4&gt;=$H$4,F4&lt;=$I$4),$J$4,
IF(AND(F4&gt;=$H$5,F4&lt;=$I$5),$J$5,
IF(AND(F4&gt;=$H$6,F4&lt;=$I$6),$J$6,
IF(AND(F4&gt;=$H$7,F4&lt;=$I$7),$J$7,
IF(AND(F4&gt;=$H$8,F4&lt;=$I$8),$J$8,
IF(AND(F4&gt;=$H$9,F4&lt;=$I$9),$J$9,
IF(AND(F4&gt;=$H$10,F4&lt;=$I$10),$J$10,
IF(AND(F4&gt;=$H$11,F4&lt;=$I$11),$J$11))))))))))),
"")</f>
        <v/>
      </c>
      <c r="H4" s="21">
        <v>4</v>
      </c>
      <c r="I4" s="21">
        <v>7</v>
      </c>
      <c r="J4" s="12">
        <v>3</v>
      </c>
      <c r="K4" s="28">
        <v>2</v>
      </c>
      <c r="L4" s="27">
        <f>COUNTIF($G$2:$G102,K4)</f>
        <v>0</v>
      </c>
      <c r="M4" s="8"/>
      <c r="N4" s="13"/>
      <c r="O4" s="13"/>
      <c r="P4" s="13"/>
    </row>
    <row r="5" spans="1:16" ht="18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23" t="str">
        <f>IF(NOT(ISBLANK(Curs!C9)),
IF(Curs!R9,"Eliberat",
ROUND(SUM(C5:E5),0)),
"")</f>
        <v/>
      </c>
      <c r="G5" s="22" t="str">
        <f>IF(NOT(ISBLANK(Curs!C9)),
IF(Curs!R9,Curs!R9,
IF(F5=0,"n/p",
IF(AND(F5&gt;=$H$3,F5&lt;=$I$3),$J$3,
IF(AND(F5&gt;=$H$4,F5&lt;=$I$4),$J$4,
IF(AND(F5&gt;=$H$5,F5&lt;=$I$5),$J$5,
IF(AND(F5&gt;=$H$6,F5&lt;=$I$6),$J$6,
IF(AND(F5&gt;=$H$7,F5&lt;=$I$7),$J$7,
IF(AND(F5&gt;=$H$8,F5&lt;=$I$8),$J$8,
IF(AND(F5&gt;=$H$9,F5&lt;=$I$9),$J$9,
IF(AND(F5&gt;=$H$10,F5&lt;=$I$10),$J$10,
IF(AND(F5&gt;=$H$11,F5&lt;=$I$11),$J$11))))))))))),
"")</f>
        <v/>
      </c>
      <c r="H5" s="21">
        <v>8</v>
      </c>
      <c r="I5" s="21">
        <v>12</v>
      </c>
      <c r="J5" s="12">
        <v>4</v>
      </c>
      <c r="K5" s="28">
        <v>3</v>
      </c>
      <c r="L5" s="27">
        <f>COUNTIF($G$2:$G103,K5)</f>
        <v>0</v>
      </c>
      <c r="M5" s="8"/>
      <c r="N5" s="13"/>
      <c r="O5" s="13"/>
      <c r="P5" s="13"/>
    </row>
    <row r="6" spans="1:16" ht="18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23" t="str">
        <f>IF(NOT(ISBLANK(Curs!C10)),
IF(Curs!R10,"Eliberat",
ROUND(SUM(C6:E6),0)),
"")</f>
        <v/>
      </c>
      <c r="G6" s="22" t="str">
        <f>IF(NOT(ISBLANK(Curs!C10)),
IF(Curs!R10,Curs!R10,
IF(F6=0,"n/p",
IF(AND(F6&gt;=$H$3,F6&lt;=$I$3),$J$3,
IF(AND(F6&gt;=$H$4,F6&lt;=$I$4),$J$4,
IF(AND(F6&gt;=$H$5,F6&lt;=$I$5),$J$5,
IF(AND(F6&gt;=$H$6,F6&lt;=$I$6),$J$6,
IF(AND(F6&gt;=$H$7,F6&lt;=$I$7),$J$7,
IF(AND(F6&gt;=$H$8,F6&lt;=$I$8),$J$8,
IF(AND(F6&gt;=$H$9,F6&lt;=$I$9),$J$9,
IF(AND(F6&gt;=$H$10,F6&lt;=$I$10),$J$10,
IF(AND(F6&gt;=$H$11,F6&lt;=$I$11),$J$11))))))))))),
"")</f>
        <v/>
      </c>
      <c r="H6" s="21">
        <v>13</v>
      </c>
      <c r="I6" s="21">
        <v>15</v>
      </c>
      <c r="J6" s="12">
        <v>5</v>
      </c>
      <c r="K6" s="29">
        <v>4</v>
      </c>
      <c r="L6" s="27">
        <f>COUNTIF($G$2:$G104,K6)</f>
        <v>0</v>
      </c>
      <c r="M6" s="8"/>
      <c r="N6" s="13"/>
      <c r="O6" s="13"/>
      <c r="P6" s="13"/>
    </row>
    <row r="7" spans="1:16" ht="18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23" t="str">
        <f>IF(NOT(ISBLANK(Curs!C11)),
IF(Curs!R11,"Eliberat",
ROUND(SUM(C7:E7),0)),
"")</f>
        <v/>
      </c>
      <c r="G7" s="22" t="str">
        <f>IF(NOT(ISBLANK(Curs!C11)),
IF(Curs!R11,Curs!R11,
IF(F7=0,"n/p",
IF(AND(F7&gt;=$H$3,F7&lt;=$I$3),$J$3,
IF(AND(F7&gt;=$H$4,F7&lt;=$I$4),$J$4,
IF(AND(F7&gt;=$H$5,F7&lt;=$I$5),$J$5,
IF(AND(F7&gt;=$H$6,F7&lt;=$I$6),$J$6,
IF(AND(F7&gt;=$H$7,F7&lt;=$I$7),$J$7,
IF(AND(F7&gt;=$H$8,F7&lt;=$I$8),$J$8,
IF(AND(F7&gt;=$H$9,F7&lt;=$I$9),$J$9,
IF(AND(F7&gt;=$H$10,F7&lt;=$I$10),$J$10,
IF(AND(F7&gt;=$H$11,F7&lt;=$I$11),$J$11))))))))))),
"")</f>
        <v/>
      </c>
      <c r="H7" s="21">
        <v>16</v>
      </c>
      <c r="I7" s="21">
        <v>18</v>
      </c>
      <c r="J7" s="12">
        <v>6</v>
      </c>
      <c r="K7" s="29">
        <v>5</v>
      </c>
      <c r="L7" s="27">
        <f>COUNTIF($G$2:$G105,K7)</f>
        <v>0</v>
      </c>
      <c r="M7" s="8"/>
      <c r="N7" s="13"/>
      <c r="O7" s="13"/>
      <c r="P7" s="13"/>
    </row>
    <row r="8" spans="1:16" ht="18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23" t="str">
        <f>IF(NOT(ISBLANK(Curs!C12)),
IF(Curs!R12,"Eliberat",
ROUND(SUM(C8:E8),0)),
"")</f>
        <v/>
      </c>
      <c r="G8" s="22" t="str">
        <f>IF(NOT(ISBLANK(Curs!C12)),
IF(Curs!R12,Curs!R12,
IF(F8=0,"n/p",
IF(AND(F8&gt;=$H$3,F8&lt;=$I$3),$J$3,
IF(AND(F8&gt;=$H$4,F8&lt;=$I$4),$J$4,
IF(AND(F8&gt;=$H$5,F8&lt;=$I$5),$J$5,
IF(AND(F8&gt;=$H$6,F8&lt;=$I$6),$J$6,
IF(AND(F8&gt;=$H$7,F8&lt;=$I$7),$J$7,
IF(AND(F8&gt;=$H$8,F8&lt;=$I$8),$J$8,
IF(AND(F8&gt;=$H$9,F8&lt;=$I$9),$J$9,
IF(AND(F8&gt;=$H$10,F8&lt;=$I$10),$J$10,
IF(AND(F8&gt;=$H$11,F8&lt;=$I$11),$J$11))))))))))),
"")</f>
        <v/>
      </c>
      <c r="H8" s="21">
        <v>19</v>
      </c>
      <c r="I8" s="21">
        <v>21</v>
      </c>
      <c r="J8" s="12">
        <v>7</v>
      </c>
      <c r="K8" s="29">
        <v>6</v>
      </c>
      <c r="L8" s="27">
        <f>COUNTIF($G$2:$G106,K8)</f>
        <v>0</v>
      </c>
      <c r="M8" s="8"/>
      <c r="N8" s="13"/>
      <c r="O8" s="13"/>
      <c r="P8" s="13"/>
    </row>
    <row r="9" spans="1:16" ht="18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23" t="str">
        <f>IF(NOT(ISBLANK(Curs!C13)),
IF(Curs!R13,"Eliberat",
ROUND(SUM(C9:E9),0)),
"")</f>
        <v/>
      </c>
      <c r="G9" s="22" t="str">
        <f>IF(NOT(ISBLANK(Curs!C13)),
IF(Curs!R13,Curs!R13,
IF(F9=0,"n/p",
IF(AND(F9&gt;=$H$3,F9&lt;=$I$3),$J$3,
IF(AND(F9&gt;=$H$4,F9&lt;=$I$4),$J$4,
IF(AND(F9&gt;=$H$5,F9&lt;=$I$5),$J$5,
IF(AND(F9&gt;=$H$6,F9&lt;=$I$6),$J$6,
IF(AND(F9&gt;=$H$7,F9&lt;=$I$7),$J$7,
IF(AND(F9&gt;=$H$8,F9&lt;=$I$8),$J$8,
IF(AND(F9&gt;=$H$9,F9&lt;=$I$9),$J$9,
IF(AND(F9&gt;=$H$10,F9&lt;=$I$10),$J$10,
IF(AND(F9&gt;=$H$11,F9&lt;=$I$11),$J$11))))))))))),
"")</f>
        <v/>
      </c>
      <c r="H9" s="21">
        <v>22</v>
      </c>
      <c r="I9" s="21">
        <v>24</v>
      </c>
      <c r="J9" s="12">
        <v>8</v>
      </c>
      <c r="K9" s="29">
        <v>7</v>
      </c>
      <c r="L9" s="27">
        <f>COUNTIF($G$2:$G107,K9)</f>
        <v>0</v>
      </c>
      <c r="M9" s="8"/>
      <c r="N9" s="13"/>
      <c r="O9" s="13"/>
      <c r="P9" s="13"/>
    </row>
    <row r="10" spans="1:16" ht="18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23" t="str">
        <f>IF(NOT(ISBLANK(Curs!C14)),
IF(Curs!R14,"Eliberat",
ROUND(SUM(C10:E10),0)),
"")</f>
        <v/>
      </c>
      <c r="G10" s="22" t="str">
        <f>IF(NOT(ISBLANK(Curs!C14)),
IF(Curs!R14,Curs!R14,
IF(F10=0,"n/p",
IF(AND(F10&gt;=$H$3,F10&lt;=$I$3),$J$3,
IF(AND(F10&gt;=$H$4,F10&lt;=$I$4),$J$4,
IF(AND(F10&gt;=$H$5,F10&lt;=$I$5),$J$5,
IF(AND(F10&gt;=$H$6,F10&lt;=$I$6),$J$6,
IF(AND(F10&gt;=$H$7,F10&lt;=$I$7),$J$7,
IF(AND(F10&gt;=$H$8,F10&lt;=$I$8),$J$8,
IF(AND(F10&gt;=$H$9,F10&lt;=$I$9),$J$9,
IF(AND(F10&gt;=$H$10,F10&lt;=$I$10),$J$10,
IF(AND(F10&gt;=$H$11,F10&lt;=$I$11),$J$11))))))))))),
"")</f>
        <v/>
      </c>
      <c r="H10" s="21">
        <v>25</v>
      </c>
      <c r="I10" s="21">
        <v>27</v>
      </c>
      <c r="J10" s="12">
        <v>9</v>
      </c>
      <c r="K10" s="29">
        <v>8</v>
      </c>
      <c r="L10" s="27">
        <f>COUNTIF($G$2:$G108,K10)</f>
        <v>0</v>
      </c>
      <c r="M10" s="8"/>
      <c r="N10" s="13"/>
      <c r="O10" s="13"/>
      <c r="P10" s="13"/>
    </row>
    <row r="11" spans="1:16" ht="18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23" t="str">
        <f>IF(NOT(ISBLANK(Curs!C15)),
IF(Curs!R15,"Eliberat",
ROUND(SUM(C11:E11),0)),
"")</f>
        <v/>
      </c>
      <c r="G11" s="22" t="str">
        <f>IF(NOT(ISBLANK(Curs!C15)),
IF(Curs!R15,Curs!R15,
IF(F11=0,"n/p",
IF(AND(F11&gt;=$H$3,F11&lt;=$I$3),$J$3,
IF(AND(F11&gt;=$H$4,F11&lt;=$I$4),$J$4,
IF(AND(F11&gt;=$H$5,F11&lt;=$I$5),$J$5,
IF(AND(F11&gt;=$H$6,F11&lt;=$I$6),$J$6,
IF(AND(F11&gt;=$H$7,F11&lt;=$I$7),$J$7,
IF(AND(F11&gt;=$H$8,F11&lt;=$I$8),$J$8,
IF(AND(F11&gt;=$H$9,F11&lt;=$I$9),$J$9,
IF(AND(F11&gt;=$H$10,F11&lt;=$I$10),$J$10,
IF(AND(F11&gt;=$H$11,F11&lt;=$I$11),$J$11))))))))))),
"")</f>
        <v/>
      </c>
      <c r="H11" s="21">
        <v>28</v>
      </c>
      <c r="I11" s="21">
        <v>30</v>
      </c>
      <c r="J11" s="12">
        <v>10</v>
      </c>
      <c r="K11" s="29">
        <v>9</v>
      </c>
      <c r="L11" s="27">
        <f>COUNTIF($G$2:$G109,K11)</f>
        <v>0</v>
      </c>
      <c r="M11" s="8"/>
      <c r="N11" s="13"/>
      <c r="O11" s="13"/>
      <c r="P11" s="13"/>
    </row>
    <row r="12" spans="1:16" ht="18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23" t="str">
        <f>IF(NOT(ISBLANK(Curs!C16)),
IF(Curs!R16,"Eliberat",
ROUND(SUM(C12:E12),0)),
"")</f>
        <v/>
      </c>
      <c r="G12" s="22" t="str">
        <f>IF(NOT(ISBLANK(Curs!C16)),
IF(Curs!R16,Curs!R16,
IF(F12=0,"n/p",
IF(AND(F12&gt;=$H$3,F12&lt;=$I$3),$J$3,
IF(AND(F12&gt;=$H$4,F12&lt;=$I$4),$J$4,
IF(AND(F12&gt;=$H$5,F12&lt;=$I$5),$J$5,
IF(AND(F12&gt;=$H$6,F12&lt;=$I$6),$J$6,
IF(AND(F12&gt;=$H$7,F12&lt;=$I$7),$J$7,
IF(AND(F12&gt;=$H$8,F12&lt;=$I$8),$J$8,
IF(AND(F12&gt;=$H$9,F12&lt;=$I$9),$J$9,
IF(AND(F12&gt;=$H$10,F12&lt;=$I$10),$J$10,
IF(AND(F12&gt;=$H$11,F12&lt;=$I$11),$J$11))))))))))),
"")</f>
        <v/>
      </c>
      <c r="H12" s="21"/>
      <c r="I12" s="21"/>
      <c r="J12" s="12"/>
      <c r="K12" s="29">
        <v>10</v>
      </c>
      <c r="L12" s="27">
        <f>COUNTIF($G$2:$G110,K12)</f>
        <v>0</v>
      </c>
      <c r="M12" s="8"/>
      <c r="N12" s="13"/>
      <c r="O12" s="13"/>
      <c r="P12" s="13"/>
    </row>
    <row r="13" spans="1:16" ht="18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23" t="str">
        <f>IF(NOT(ISBLANK(Curs!C17)),
IF(Curs!R17,"Eliberat",
ROUND(SUM(C13:E13),0)),
"")</f>
        <v/>
      </c>
      <c r="G13" s="22" t="str">
        <f>IF(NOT(ISBLANK(Curs!C17)),
IF(Curs!R17,Curs!R17,
IF(F13=0,"n/p",
IF(AND(F13&gt;=$H$3,F13&lt;=$I$3),$J$3,
IF(AND(F13&gt;=$H$4,F13&lt;=$I$4),$J$4,
IF(AND(F13&gt;=$H$5,F13&lt;=$I$5),$J$5,
IF(AND(F13&gt;=$H$6,F13&lt;=$I$6),$J$6,
IF(AND(F13&gt;=$H$7,F13&lt;=$I$7),$J$7,
IF(AND(F13&gt;=$H$8,F13&lt;=$I$8),$J$8,
IF(AND(F13&gt;=$H$9,F13&lt;=$I$9),$J$9,
IF(AND(F13&gt;=$H$10,F13&lt;=$I$10),$J$10,
IF(AND(F13&gt;=$H$11,F13&lt;=$I$11),$J$11))))))))))),
"")</f>
        <v/>
      </c>
      <c r="H13" s="21"/>
      <c r="I13" s="21"/>
      <c r="J13" s="12"/>
      <c r="K13" s="29" t="s">
        <v>17</v>
      </c>
      <c r="L13" s="27">
        <f>COUNTIF($G$2:$G111,K13)</f>
        <v>1</v>
      </c>
      <c r="M13" s="8"/>
      <c r="N13" s="13"/>
      <c r="O13" s="16"/>
      <c r="P13" s="13"/>
    </row>
    <row r="14" spans="1:16" ht="18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23" t="str">
        <f>IF(NOT(ISBLANK(Curs!C18)),
IF(Curs!R18,"Eliberat",
ROUND(SUM(C14:E14),0)),
"")</f>
        <v/>
      </c>
      <c r="G14" s="22" t="str">
        <f>IF(NOT(ISBLANK(Curs!C18)),
IF(Curs!R18,Curs!R18,
IF(F14=0,"n/p",
IF(AND(F14&gt;=$H$3,F14&lt;=$I$3),$J$3,
IF(AND(F14&gt;=$H$4,F14&lt;=$I$4),$J$4,
IF(AND(F14&gt;=$H$5,F14&lt;=$I$5),$J$5,
IF(AND(F14&gt;=$H$6,F14&lt;=$I$6),$J$6,
IF(AND(F14&gt;=$H$7,F14&lt;=$I$7),$J$7,
IF(AND(F14&gt;=$H$8,F14&lt;=$I$8),$J$8,
IF(AND(F14&gt;=$H$9,F14&lt;=$I$9),$J$9,
IF(AND(F14&gt;=$H$10,F14&lt;=$I$10),$J$10,
IF(AND(F14&gt;=$H$11,F14&lt;=$I$11),$J$11))))))))))),
"")</f>
        <v/>
      </c>
      <c r="H14" s="7"/>
      <c r="I14" s="14"/>
      <c r="J14" s="7"/>
      <c r="N14" s="15"/>
      <c r="O14" s="13"/>
      <c r="P14" s="16"/>
    </row>
    <row r="15" spans="1:16" ht="18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23" t="str">
        <f>IF(NOT(ISBLANK(Curs!C19)),
IF(Curs!R19,"Eliberat",
ROUND(SUM(C15:E15),0)),
"")</f>
        <v/>
      </c>
      <c r="G15" s="22" t="str">
        <f>IF(NOT(ISBLANK(Curs!C19)),
IF(Curs!R19,Curs!R19,
IF(F15=0,"n/p",
IF(AND(F15&gt;=$H$3,F15&lt;=$I$3),$J$3,
IF(AND(F15&gt;=$H$4,F15&lt;=$I$4),$J$4,
IF(AND(F15&gt;=$H$5,F15&lt;=$I$5),$J$5,
IF(AND(F15&gt;=$H$6,F15&lt;=$I$6),$J$6,
IF(AND(F15&gt;=$H$7,F15&lt;=$I$7),$J$7,
IF(AND(F15&gt;=$H$8,F15&lt;=$I$8),$J$8,
IF(AND(F15&gt;=$H$9,F15&lt;=$I$9),$J$9,
IF(AND(F15&gt;=$H$10,F15&lt;=$I$10),$J$10,
IF(AND(F15&gt;=$H$11,F15&lt;=$I$11),$J$11))))))))))),
"")</f>
        <v/>
      </c>
      <c r="H15" s="7"/>
      <c r="I15" s="14"/>
      <c r="J15" s="7"/>
      <c r="K15" s="1"/>
      <c r="N15" s="17"/>
    </row>
    <row r="16" spans="1:16" ht="18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23" t="str">
        <f>IF(NOT(ISBLANK(Curs!C20)),
IF(Curs!R20,"Eliberat",
ROUND(SUM(C16:E16),0)),
"")</f>
        <v/>
      </c>
      <c r="G16" s="22" t="str">
        <f>IF(NOT(ISBLANK(Curs!C20)),
IF(Curs!R20,Curs!R20,
IF(F16=0,"n/p",
IF(AND(F16&gt;=$H$3,F16&lt;=$I$3),$J$3,
IF(AND(F16&gt;=$H$4,F16&lt;=$I$4),$J$4,
IF(AND(F16&gt;=$H$5,F16&lt;=$I$5),$J$5,
IF(AND(F16&gt;=$H$6,F16&lt;=$I$6),$J$6,
IF(AND(F16&gt;=$H$7,F16&lt;=$I$7),$J$7,
IF(AND(F16&gt;=$H$8,F16&lt;=$I$8),$J$8,
IF(AND(F16&gt;=$H$9,F16&lt;=$I$9),$J$9,
IF(AND(F16&gt;=$H$10,F16&lt;=$I$10),$J$10,
IF(AND(F16&gt;=$H$11,F16&lt;=$I$11),$J$11))))))))))),
"")</f>
        <v/>
      </c>
      <c r="H16" s="7"/>
      <c r="I16" s="14"/>
      <c r="J16" s="7"/>
      <c r="K16" s="1"/>
      <c r="N16" s="17"/>
    </row>
    <row r="17" spans="1:16" ht="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23" t="str">
        <f>IF(NOT(ISBLANK(Curs!C21)),
IF(Curs!R21,"Eliberat",
ROUND(SUM(C17:E17),0)),
"")</f>
        <v/>
      </c>
      <c r="G17" s="22" t="str">
        <f>IF(NOT(ISBLANK(Curs!C21)),
IF(Curs!R21,Curs!R21,
IF(F17=0,"n/p",
IF(AND(F17&gt;=$H$3,F17&lt;=$I$3),$J$3,
IF(AND(F17&gt;=$H$4,F17&lt;=$I$4),$J$4,
IF(AND(F17&gt;=$H$5,F17&lt;=$I$5),$J$5,
IF(AND(F17&gt;=$H$6,F17&lt;=$I$6),$J$6,
IF(AND(F17&gt;=$H$7,F17&lt;=$I$7),$J$7,
IF(AND(F17&gt;=$H$8,F17&lt;=$I$8),$J$8,
IF(AND(F17&gt;=$H$9,F17&lt;=$I$9),$J$9,
IF(AND(F17&gt;=$H$10,F17&lt;=$I$10),$J$10,
IF(AND(F17&gt;=$H$11,F17&lt;=$I$11),$J$11))))))))))),
"")</f>
        <v/>
      </c>
      <c r="H17" s="7"/>
      <c r="I17" s="14"/>
      <c r="J17" s="7"/>
      <c r="K17" s="1"/>
      <c r="N17" s="17"/>
    </row>
    <row r="18" spans="1:16" ht="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23" t="str">
        <f>IF(NOT(ISBLANK(Curs!C22)),
IF(Curs!R22,"Eliberat",
ROUND(SUM(C18:E18),0)),
"")</f>
        <v/>
      </c>
      <c r="G18" s="22" t="str">
        <f>IF(NOT(ISBLANK(Curs!C22)),
IF(Curs!R22,Curs!R22,
IF(F18=0,"n/p",
IF(AND(F18&gt;=$H$3,F18&lt;=$I$3),$J$3,
IF(AND(F18&gt;=$H$4,F18&lt;=$I$4),$J$4,
IF(AND(F18&gt;=$H$5,F18&lt;=$I$5),$J$5,
IF(AND(F18&gt;=$H$6,F18&lt;=$I$6),$J$6,
IF(AND(F18&gt;=$H$7,F18&lt;=$I$7),$J$7,
IF(AND(F18&gt;=$H$8,F18&lt;=$I$8),$J$8,
IF(AND(F18&gt;=$H$9,F18&lt;=$I$9),$J$9,
IF(AND(F18&gt;=$H$10,F18&lt;=$I$10),$J$10,
IF(AND(F18&gt;=$H$11,F18&lt;=$I$11),$J$11))))))))))),
"")</f>
        <v/>
      </c>
      <c r="H18" s="7"/>
      <c r="I18" s="14"/>
      <c r="J18" s="7"/>
      <c r="K18" s="1"/>
      <c r="N18" s="17"/>
    </row>
    <row r="19" spans="1:16" ht="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23" t="str">
        <f>IF(NOT(ISBLANK(Curs!C23)),
IF(Curs!R23,"Eliberat",
ROUND(SUM(C19:E19),0)),
"")</f>
        <v/>
      </c>
      <c r="G19" s="22" t="str">
        <f>IF(NOT(ISBLANK(Curs!C23)),
IF(Curs!R23,Curs!R23,
IF(F19=0,"n/p",
IF(AND(F19&gt;=$H$3,F19&lt;=$I$3),$J$3,
IF(AND(F19&gt;=$H$4,F19&lt;=$I$4),$J$4,
IF(AND(F19&gt;=$H$5,F19&lt;=$I$5),$J$5,
IF(AND(F19&gt;=$H$6,F19&lt;=$I$6),$J$6,
IF(AND(F19&gt;=$H$7,F19&lt;=$I$7),$J$7,
IF(AND(F19&gt;=$H$8,F19&lt;=$I$8),$J$8,
IF(AND(F19&gt;=$H$9,F19&lt;=$I$9),$J$9,
IF(AND(F19&gt;=$H$10,F19&lt;=$I$10),$J$10,
IF(AND(F19&gt;=$H$11,F19&lt;=$I$11),$J$11))))))))))),
"")</f>
        <v/>
      </c>
      <c r="H19" s="7"/>
      <c r="I19" s="14"/>
      <c r="J19" s="7"/>
      <c r="K19" s="1"/>
      <c r="N19" s="17"/>
    </row>
    <row r="20" spans="1:16" ht="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23" t="str">
        <f>IF(NOT(ISBLANK(Curs!C24)),
IF(Curs!R24,"Eliberat",
ROUND(SUM(C20:E20),0)),
"")</f>
        <v/>
      </c>
      <c r="G20" s="22" t="str">
        <f>IF(NOT(ISBLANK(Curs!C24)),
IF(Curs!R24,Curs!R24,
IF(F20=0,"n/p",
IF(AND(F20&gt;=$H$3,F20&lt;=$I$3),$J$3,
IF(AND(F20&gt;=$H$4,F20&lt;=$I$4),$J$4,
IF(AND(F20&gt;=$H$5,F20&lt;=$I$5),$J$5,
IF(AND(F20&gt;=$H$6,F20&lt;=$I$6),$J$6,
IF(AND(F20&gt;=$H$7,F20&lt;=$I$7),$J$7,
IF(AND(F20&gt;=$H$8,F20&lt;=$I$8),$J$8,
IF(AND(F20&gt;=$H$9,F20&lt;=$I$9),$J$9,
IF(AND(F20&gt;=$H$10,F20&lt;=$I$10),$J$10,
IF(AND(F20&gt;=$H$11,F20&lt;=$I$11),$J$11))))))))))),
"")</f>
        <v/>
      </c>
      <c r="H20" s="7"/>
      <c r="I20" s="14"/>
      <c r="J20" s="7"/>
      <c r="K20" s="1"/>
      <c r="N20" s="17"/>
    </row>
    <row r="21" spans="1:16" ht="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23" t="str">
        <f>IF(NOT(ISBLANK(Curs!C25)),
IF(Curs!R25,"Eliberat",
ROUND(SUM(C21:E21),0)),
"")</f>
        <v/>
      </c>
      <c r="G21" s="22" t="str">
        <f>IF(NOT(ISBLANK(Curs!C25)),
IF(Curs!R25,Curs!R25,
IF(F21=0,"n/p",
IF(AND(F21&gt;=$H$3,F21&lt;=$I$3),$J$3,
IF(AND(F21&gt;=$H$4,F21&lt;=$I$4),$J$4,
IF(AND(F21&gt;=$H$5,F21&lt;=$I$5),$J$5,
IF(AND(F21&gt;=$H$6,F21&lt;=$I$6),$J$6,
IF(AND(F21&gt;=$H$7,F21&lt;=$I$7),$J$7,
IF(AND(F21&gt;=$H$8,F21&lt;=$I$8),$J$8,
IF(AND(F21&gt;=$H$9,F21&lt;=$I$9),$J$9,
IF(AND(F21&gt;=$H$10,F21&lt;=$I$10),$J$10,
IF(AND(F21&gt;=$H$11,F21&lt;=$I$11),$J$11))))))))))),
"")</f>
        <v/>
      </c>
      <c r="H21" s="7"/>
      <c r="I21" s="14"/>
      <c r="J21" s="7"/>
      <c r="K21" s="1"/>
      <c r="N21" s="17"/>
    </row>
    <row r="22" spans="1:16" ht="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23" t="str">
        <f>IF(NOT(ISBLANK(Curs!C26)),
IF(Curs!R26,"Eliberat",
ROUND(SUM(C22:E22),0)),
"")</f>
        <v/>
      </c>
      <c r="G22" s="22" t="str">
        <f>IF(NOT(ISBLANK(Curs!C26)),
IF(Curs!R26,Curs!R26,
IF(F22=0,"n/p",
IF(AND(F22&gt;=$H$3,F22&lt;=$I$3),$J$3,
IF(AND(F22&gt;=$H$4,F22&lt;=$I$4),$J$4,
IF(AND(F22&gt;=$H$5,F22&lt;=$I$5),$J$5,
IF(AND(F22&gt;=$H$6,F22&lt;=$I$6),$J$6,
IF(AND(F22&gt;=$H$7,F22&lt;=$I$7),$J$7,
IF(AND(F22&gt;=$H$8,F22&lt;=$I$8),$J$8,
IF(AND(F22&gt;=$H$9,F22&lt;=$I$9),$J$9,
IF(AND(F22&gt;=$H$10,F22&lt;=$I$10),$J$10,
IF(AND(F22&gt;=$H$11,F22&lt;=$I$11),$J$11))))))))))),
"")</f>
        <v/>
      </c>
      <c r="H22" s="7"/>
      <c r="I22" s="14"/>
      <c r="J22" s="7"/>
      <c r="K22" s="1"/>
      <c r="N22" s="17"/>
    </row>
    <row r="23" spans="1:16" ht="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23" t="str">
        <f>IF(NOT(ISBLANK(Curs!C27)),
IF(Curs!R27,"Eliberat",
ROUND(SUM(C23:E23),0)),
"")</f>
        <v/>
      </c>
      <c r="G23" s="22" t="str">
        <f>IF(NOT(ISBLANK(Curs!C27)),
IF(Curs!R27,Curs!R27,
IF(F23=0,"n/p",
IF(AND(F23&gt;=$H$3,F23&lt;=$I$3),$J$3,
IF(AND(F23&gt;=$H$4,F23&lt;=$I$4),$J$4,
IF(AND(F23&gt;=$H$5,F23&lt;=$I$5),$J$5,
IF(AND(F23&gt;=$H$6,F23&lt;=$I$6),$J$6,
IF(AND(F23&gt;=$H$7,F23&lt;=$I$7),$J$7,
IF(AND(F23&gt;=$H$8,F23&lt;=$I$8),$J$8,
IF(AND(F23&gt;=$H$9,F23&lt;=$I$9),$J$9,
IF(AND(F23&gt;=$H$10,F23&lt;=$I$10),$J$10,
IF(AND(F23&gt;=$H$11,F23&lt;=$I$11),$J$11))))))))))),
"")</f>
        <v/>
      </c>
      <c r="H23" s="7"/>
      <c r="I23" s="14"/>
      <c r="J23" s="7"/>
      <c r="K23" s="1"/>
      <c r="N23" s="17"/>
    </row>
    <row r="24" spans="1:16" ht="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23" t="str">
        <f>IF(NOT(ISBLANK(Curs!C28)),
IF(Curs!R28,"Eliberat",
ROUND(SUM(C24:E24),0)),
"")</f>
        <v/>
      </c>
      <c r="G24" s="22" t="str">
        <f>IF(NOT(ISBLANK(Curs!C28)),
IF(Curs!R28,Curs!R28,
IF(F24=0,"n/p",
IF(AND(F24&gt;=$H$3,F24&lt;=$I$3),$J$3,
IF(AND(F24&gt;=$H$4,F24&lt;=$I$4),$J$4,
IF(AND(F24&gt;=$H$5,F24&lt;=$I$5),$J$5,
IF(AND(F24&gt;=$H$6,F24&lt;=$I$6),$J$6,
IF(AND(F24&gt;=$H$7,F24&lt;=$I$7),$J$7,
IF(AND(F24&gt;=$H$8,F24&lt;=$I$8),$J$8,
IF(AND(F24&gt;=$H$9,F24&lt;=$I$9),$J$9,
IF(AND(F24&gt;=$H$10,F24&lt;=$I$10),$J$10,
IF(AND(F24&gt;=$H$11,F24&lt;=$I$11),$J$11))))))))))),
"")</f>
        <v/>
      </c>
      <c r="H24" s="7"/>
      <c r="I24" s="14"/>
      <c r="J24" s="7"/>
      <c r="K24" s="1"/>
      <c r="N24" s="17"/>
    </row>
    <row r="25" spans="1:16" ht="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23" t="str">
        <f>IF(NOT(ISBLANK(Curs!C29)),
IF(Curs!R29,"Eliberat",
ROUND(SUM(C25:E25),0)),
"")</f>
        <v/>
      </c>
      <c r="G25" s="22" t="str">
        <f>IF(NOT(ISBLANK(Curs!C29)),
IF(Curs!R29,Curs!R29,
IF(F25=0,"n/p",
IF(AND(F25&gt;=$H$3,F25&lt;=$I$3),$J$3,
IF(AND(F25&gt;=$H$4,F25&lt;=$I$4),$J$4,
IF(AND(F25&gt;=$H$5,F25&lt;=$I$5),$J$5,
IF(AND(F25&gt;=$H$6,F25&lt;=$I$6),$J$6,
IF(AND(F25&gt;=$H$7,F25&lt;=$I$7),$J$7,
IF(AND(F25&gt;=$H$8,F25&lt;=$I$8),$J$8,
IF(AND(F25&gt;=$H$9,F25&lt;=$I$9),$J$9,
IF(AND(F25&gt;=$H$10,F25&lt;=$I$10),$J$10,
IF(AND(F25&gt;=$H$11,F25&lt;=$I$11),$J$11))))))))))),
"")</f>
        <v/>
      </c>
      <c r="H25" s="7"/>
      <c r="I25" s="14"/>
      <c r="J25" s="7"/>
      <c r="K25" s="1"/>
      <c r="N25" s="17"/>
    </row>
    <row r="26" spans="1:16" ht="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23" t="str">
        <f>IF(NOT(ISBLANK(Curs!C30)),
IF(Curs!R30,"Eliberat",
ROUND(SUM(C26:E26),0)),
"")</f>
        <v/>
      </c>
      <c r="G26" s="22" t="str">
        <f>IF(NOT(ISBLANK(Curs!C30)),
IF(Curs!R30,Curs!R30,
IF(F26=0,"n/p",
IF(AND(F26&gt;=$H$3,F26&lt;=$I$3),$J$3,
IF(AND(F26&gt;=$H$4,F26&lt;=$I$4),$J$4,
IF(AND(F26&gt;=$H$5,F26&lt;=$I$5),$J$5,
IF(AND(F26&gt;=$H$6,F26&lt;=$I$6),$J$6,
IF(AND(F26&gt;=$H$7,F26&lt;=$I$7),$J$7,
IF(AND(F26&gt;=$H$8,F26&lt;=$I$8),$J$8,
IF(AND(F26&gt;=$H$9,F26&lt;=$I$9),$J$9,
IF(AND(F26&gt;=$H$10,F26&lt;=$I$10),$J$10,
IF(AND(F26&gt;=$H$11,F26&lt;=$I$11),$J$11))))))))))),
"")</f>
        <v/>
      </c>
      <c r="H26" s="7"/>
      <c r="I26" s="14"/>
      <c r="J26" s="7"/>
      <c r="K26" s="1"/>
      <c r="N26" s="17"/>
    </row>
    <row r="27" spans="1:16" ht="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23" t="str">
        <f>IF(NOT(ISBLANK(Curs!C31)),
IF(Curs!R31,"Eliberat",
ROUND(SUM(C27:E27),0)),
"")</f>
        <v/>
      </c>
      <c r="G27" s="22" t="str">
        <f>IF(NOT(ISBLANK(Curs!C31)),
IF(Curs!R31,Curs!R31,
IF(F27=0,"n/p",
IF(AND(F27&gt;=$H$3,F27&lt;=$I$3),$J$3,
IF(AND(F27&gt;=$H$4,F27&lt;=$I$4),$J$4,
IF(AND(F27&gt;=$H$5,F27&lt;=$I$5),$J$5,
IF(AND(F27&gt;=$H$6,F27&lt;=$I$6),$J$6,
IF(AND(F27&gt;=$H$7,F27&lt;=$I$7),$J$7,
IF(AND(F27&gt;=$H$8,F27&lt;=$I$8),$J$8,
IF(AND(F27&gt;=$H$9,F27&lt;=$I$9),$J$9,
IF(AND(F27&gt;=$H$10,F27&lt;=$I$10),$J$10,
IF(AND(F27&gt;=$H$11,F27&lt;=$I$11),$J$11))))))))))),
"")</f>
        <v/>
      </c>
      <c r="H27" s="10"/>
      <c r="I27" s="10"/>
      <c r="J27" s="10"/>
      <c r="K27" s="11"/>
      <c r="L27" s="22"/>
      <c r="M27" s="7"/>
      <c r="N27" s="14"/>
      <c r="O27" s="7"/>
      <c r="P27" s="1"/>
    </row>
    <row r="28" spans="1:16" ht="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23" t="str">
        <f>IF(NOT(ISBLANK(Curs!C32)),
IF(Curs!R32,"Eliberat",
ROUND(SUM(C28:E28),0)),
"")</f>
        <v/>
      </c>
      <c r="G28" s="22" t="str">
        <f>IF(NOT(ISBLANK(Curs!C32)),
IF(Curs!R32,Curs!R32,
IF(F28=0,"n/p",
IF(AND(F28&gt;=$H$3,F28&lt;=$I$3),$J$3,
IF(AND(F28&gt;=$H$4,F28&lt;=$I$4),$J$4,
IF(AND(F28&gt;=$H$5,F28&lt;=$I$5),$J$5,
IF(AND(F28&gt;=$H$6,F28&lt;=$I$6),$J$6,
IF(AND(F28&gt;=$H$7,F28&lt;=$I$7),$J$7,
IF(AND(F28&gt;=$H$8,F28&lt;=$I$8),$J$8,
IF(AND(F28&gt;=$H$9,F28&lt;=$I$9),$J$9,
IF(AND(F28&gt;=$H$10,F28&lt;=$I$10),$J$10,
IF(AND(F28&gt;=$H$11,F28&lt;=$I$11),$J$11))))))))))),
"")</f>
        <v/>
      </c>
    </row>
    <row r="29" spans="1:16" ht="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23" t="str">
        <f>IF(NOT(ISBLANK(Curs!C33)),
IF(Curs!R33,"Eliberat",
ROUND(SUM(C29:E29),0)),
"")</f>
        <v/>
      </c>
      <c r="G29" s="22" t="str">
        <f>IF(NOT(ISBLANK(Curs!C33)),
IF(Curs!R33,Curs!R33,
IF(F29=0,"n/p",
IF(AND(F29&gt;=$H$3,F29&lt;=$I$3),$J$3,
IF(AND(F29&gt;=$H$4,F29&lt;=$I$4),$J$4,
IF(AND(F29&gt;=$H$5,F29&lt;=$I$5),$J$5,
IF(AND(F29&gt;=$H$6,F29&lt;=$I$6),$J$6,
IF(AND(F29&gt;=$H$7,F29&lt;=$I$7),$J$7,
IF(AND(F29&gt;=$H$8,F29&lt;=$I$8),$J$8,
IF(AND(F29&gt;=$H$9,F29&lt;=$I$9),$J$9,
IF(AND(F29&gt;=$H$10,F29&lt;=$I$10),$J$10,
IF(AND(F29&gt;=$H$11,F29&lt;=$I$11),$J$11))))))))))),
"")</f>
        <v/>
      </c>
    </row>
    <row r="30" spans="1:16" ht="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23" t="str">
        <f>IF(NOT(ISBLANK(Curs!C34)),
IF(Curs!R34,"Eliberat",
ROUND(SUM(C30:E30),0)),
"")</f>
        <v/>
      </c>
      <c r="G30" s="22" t="str">
        <f>IF(NOT(ISBLANK(Curs!C34)),
IF(Curs!R34,Curs!R34,
IF(F30=0,"n/p",
IF(AND(F30&gt;=$H$3,F30&lt;=$I$3),$J$3,
IF(AND(F30&gt;=$H$4,F30&lt;=$I$4),$J$4,
IF(AND(F30&gt;=$H$5,F30&lt;=$I$5),$J$5,
IF(AND(F30&gt;=$H$6,F30&lt;=$I$6),$J$6,
IF(AND(F30&gt;=$H$7,F30&lt;=$I$7),$J$7,
IF(AND(F30&gt;=$H$8,F30&lt;=$I$8),$J$8,
IF(AND(F30&gt;=$H$9,F30&lt;=$I$9),$J$9,
IF(AND(F30&gt;=$H$10,F30&lt;=$I$10),$J$10,
IF(AND(F30&gt;=$H$11,F30&lt;=$I$11),$J$11))))))))))),
"")</f>
        <v/>
      </c>
    </row>
    <row r="31" spans="1:16" ht="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23" t="str">
        <f>IF(NOT(ISBLANK(Curs!C35)),
IF(Curs!R35,"Eliberat",
ROUND(SUM(C31:E31),0)),
"")</f>
        <v/>
      </c>
      <c r="G31" s="22" t="str">
        <f>IF(NOT(ISBLANK(Curs!C35)),
IF(Curs!R35,Curs!R35,
IF(F31=0,"n/p",
IF(AND(F31&gt;=$H$3,F31&lt;=$I$3),$J$3,
IF(AND(F31&gt;=$H$4,F31&lt;=$I$4),$J$4,
IF(AND(F31&gt;=$H$5,F31&lt;=$I$5),$J$5,
IF(AND(F31&gt;=$H$6,F31&lt;=$I$6),$J$6,
IF(AND(F31&gt;=$H$7,F31&lt;=$I$7),$J$7,
IF(AND(F31&gt;=$H$8,F31&lt;=$I$8),$J$8,
IF(AND(F31&gt;=$H$9,F31&lt;=$I$9),$J$9,
IF(AND(F31&gt;=$H$10,F31&lt;=$I$10),$J$10,
IF(AND(F31&gt;=$H$11,F31&lt;=$I$11),$J$11))))))))))),
"")</f>
        <v/>
      </c>
    </row>
    <row r="32" spans="1:16" ht="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23" t="str">
        <f>IF(NOT(ISBLANK(Curs!C36)),
IF(Curs!R36,"Eliberat",
ROUND(SUM(C32:E32),0)),
"")</f>
        <v/>
      </c>
      <c r="G32" s="22" t="str">
        <f>IF(NOT(ISBLANK(Curs!C36)),
IF(Curs!R36,Curs!R36,
IF(F32=0,"n/p",
IF(AND(F32&gt;=$H$3,F32&lt;=$I$3),$J$3,
IF(AND(F32&gt;=$H$4,F32&lt;=$I$4),$J$4,
IF(AND(F32&gt;=$H$5,F32&lt;=$I$5),$J$5,
IF(AND(F32&gt;=$H$6,F32&lt;=$I$6),$J$6,
IF(AND(F32&gt;=$H$7,F32&lt;=$I$7),$J$7,
IF(AND(F32&gt;=$H$8,F32&lt;=$I$8),$J$8,
IF(AND(F32&gt;=$H$9,F32&lt;=$I$9),$J$9,
IF(AND(F32&gt;=$H$10,F32&lt;=$I$10),$J$10,
IF(AND(F32&gt;=$H$11,F32&lt;=$I$11),$J$11))))))))))),
"")</f>
        <v/>
      </c>
    </row>
    <row r="33" spans="1:7" ht="18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23" t="str">
        <f>IF(NOT(ISBLANK(Curs!C37)),
IF(Curs!R37,"Eliberat",
ROUND(SUM(C33:E33),0)),
"")</f>
        <v/>
      </c>
      <c r="G33" s="22" t="str">
        <f>IF(NOT(ISBLANK(Curs!C37)),
IF(Curs!R37,Curs!R37,
IF(F33=0,"n/p",
IF(AND(F33&gt;=$H$3,F33&lt;=$I$3),$J$3,
IF(AND(F33&gt;=$H$4,F33&lt;=$I$4),$J$4,
IF(AND(F33&gt;=$H$5,F33&lt;=$I$5),$J$5,
IF(AND(F33&gt;=$H$6,F33&lt;=$I$6),$J$6,
IF(AND(F33&gt;=$H$7,F33&lt;=$I$7),$J$7,
IF(AND(F33&gt;=$H$8,F33&lt;=$I$8),$J$8,
IF(AND(F33&gt;=$H$9,F33&lt;=$I$9),$J$9,
IF(AND(F33&gt;=$H$10,F33&lt;=$I$10),$J$10,
IF(AND(F33&gt;=$H$11,F33&lt;=$I$11),$J$11))))))))))),
"")</f>
        <v/>
      </c>
    </row>
    <row r="34" spans="1:7" ht="18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23" t="str">
        <f>IF(NOT(ISBLANK(Curs!C38)),
IF(Curs!R38,"Eliberat",
ROUND(SUM(C34:E34),0)),
"")</f>
        <v/>
      </c>
      <c r="G34" s="22" t="str">
        <f>IF(NOT(ISBLANK(Curs!C38)),
IF(Curs!R38,Curs!R38,
IF(F34=0,"n/p",
IF(AND(F34&gt;=$H$3,F34&lt;=$I$3),$J$3,
IF(AND(F34&gt;=$H$4,F34&lt;=$I$4),$J$4,
IF(AND(F34&gt;=$H$5,F34&lt;=$I$5),$J$5,
IF(AND(F34&gt;=$H$6,F34&lt;=$I$6),$J$6,
IF(AND(F34&gt;=$H$7,F34&lt;=$I$7),$J$7,
IF(AND(F34&gt;=$H$8,F34&lt;=$I$8),$J$8,
IF(AND(F34&gt;=$H$9,F34&lt;=$I$9),$J$9,
IF(AND(F34&gt;=$H$10,F34&lt;=$I$10),$J$10,
IF(AND(F34&gt;=$H$11,F34&lt;=$I$11),$J$11))))))))))),
"")</f>
        <v/>
      </c>
    </row>
    <row r="35" spans="1:7" ht="18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23" t="str">
        <f>IF(NOT(ISBLANK(Curs!C39)),
IF(Curs!R39,"Eliberat",
ROUND(SUM(C35:E35),0)),
"")</f>
        <v/>
      </c>
      <c r="G35" s="22" t="str">
        <f>IF(NOT(ISBLANK(Curs!C39)),
IF(Curs!R39,Curs!R39,
IF(F35=0,"n/p",
IF(AND(F35&gt;=$H$3,F35&lt;=$I$3),$J$3,
IF(AND(F35&gt;=$H$4,F35&lt;=$I$4),$J$4,
IF(AND(F35&gt;=$H$5,F35&lt;=$I$5),$J$5,
IF(AND(F35&gt;=$H$6,F35&lt;=$I$6),$J$6,
IF(AND(F35&gt;=$H$7,F35&lt;=$I$7),$J$7,
IF(AND(F35&gt;=$H$8,F35&lt;=$I$8),$J$8,
IF(AND(F35&gt;=$H$9,F35&lt;=$I$9),$J$9,
IF(AND(F35&gt;=$H$10,F35&lt;=$I$10),$J$10,
IF(AND(F35&gt;=$H$11,F35&lt;=$I$11),$J$11))))))))))),
"")</f>
        <v/>
      </c>
    </row>
    <row r="36" spans="1:7" ht="18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23" t="str">
        <f>IF(NOT(ISBLANK(Curs!C40)),
IF(Curs!R40,"Eliberat",
ROUND(SUM(C36:E36),0)),
"")</f>
        <v/>
      </c>
      <c r="G36" s="22" t="str">
        <f>IF(NOT(ISBLANK(Curs!C40)),
IF(Curs!R40,Curs!R40,
IF(F36=0,"n/p",
IF(AND(F36&gt;=$H$3,F36&lt;=$I$3),$J$3,
IF(AND(F36&gt;=$H$4,F36&lt;=$I$4),$J$4,
IF(AND(F36&gt;=$H$5,F36&lt;=$I$5),$J$5,
IF(AND(F36&gt;=$H$6,F36&lt;=$I$6),$J$6,
IF(AND(F36&gt;=$H$7,F36&lt;=$I$7),$J$7,
IF(AND(F36&gt;=$H$8,F36&lt;=$I$8),$J$8,
IF(AND(F36&gt;=$H$9,F36&lt;=$I$9),$J$9,
IF(AND(F36&gt;=$H$10,F36&lt;=$I$10),$J$10,
IF(AND(F36&gt;=$H$11,F36&lt;=$I$11),$J$11))))))))))),
"")</f>
        <v/>
      </c>
    </row>
    <row r="37" spans="1:7" ht="18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23" t="str">
        <f>IF(NOT(ISBLANK(Curs!C41)),
IF(Curs!R41,"Eliberat",
ROUND(SUM(C37:E37),0)),
"")</f>
        <v/>
      </c>
      <c r="G37" s="22" t="str">
        <f>IF(NOT(ISBLANK(Curs!C41)),
IF(Curs!R41,Curs!R41,
IF(F37=0,"n/p",
IF(AND(F37&gt;=$H$3,F37&lt;=$I$3),$J$3,
IF(AND(F37&gt;=$H$4,F37&lt;=$I$4),$J$4,
IF(AND(F37&gt;=$H$5,F37&lt;=$I$5),$J$5,
IF(AND(F37&gt;=$H$6,F37&lt;=$I$6),$J$6,
IF(AND(F37&gt;=$H$7,F37&lt;=$I$7),$J$7,
IF(AND(F37&gt;=$H$8,F37&lt;=$I$8),$J$8,
IF(AND(F37&gt;=$H$9,F37&lt;=$I$9),$J$9,
IF(AND(F37&gt;=$H$10,F37&lt;=$I$10),$J$10,
IF(AND(F37&gt;=$H$11,F37&lt;=$I$11),$J$11))))))))))),
"")</f>
        <v/>
      </c>
    </row>
    <row r="38" spans="1:7" ht="18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23" t="str">
        <f>IF(NOT(ISBLANK(Curs!C42)),
IF(Curs!R42,"Eliberat",
ROUND(SUM(C38:E38),0)),
"")</f>
        <v/>
      </c>
      <c r="G38" s="22" t="str">
        <f>IF(NOT(ISBLANK(Curs!C42)),
IF(Curs!R42,Curs!R42,
IF(F38=0,"n/p",
IF(AND(F38&gt;=$H$3,F38&lt;=$I$3),$J$3,
IF(AND(F38&gt;=$H$4,F38&lt;=$I$4),$J$4,
IF(AND(F38&gt;=$H$5,F38&lt;=$I$5),$J$5,
IF(AND(F38&gt;=$H$6,F38&lt;=$I$6),$J$6,
IF(AND(F38&gt;=$H$7,F38&lt;=$I$7),$J$7,
IF(AND(F38&gt;=$H$8,F38&lt;=$I$8),$J$8,
IF(AND(F38&gt;=$H$9,F38&lt;=$I$9),$J$9,
IF(AND(F38&gt;=$H$10,F38&lt;=$I$10),$J$10,
IF(AND(F38&gt;=$H$11,F38&lt;=$I$11),$J$11))))))))))),
"")</f>
        <v/>
      </c>
    </row>
    <row r="39" spans="1:7" ht="18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23" t="str">
        <f>IF(NOT(ISBLANK(Curs!C43)),
IF(Curs!R43,"Eliberat",
ROUND(SUM(C39:E39),0)),
"")</f>
        <v/>
      </c>
      <c r="G39" s="22" t="str">
        <f>IF(NOT(ISBLANK(Curs!C43)),
IF(Curs!R43,Curs!R43,
IF(F39=0,"n/p",
IF(AND(F39&gt;=$H$3,F39&lt;=$I$3),$J$3,
IF(AND(F39&gt;=$H$4,F39&lt;=$I$4),$J$4,
IF(AND(F39&gt;=$H$5,F39&lt;=$I$5),$J$5,
IF(AND(F39&gt;=$H$6,F39&lt;=$I$6),$J$6,
IF(AND(F39&gt;=$H$7,F39&lt;=$I$7),$J$7,
IF(AND(F39&gt;=$H$8,F39&lt;=$I$8),$J$8,
IF(AND(F39&gt;=$H$9,F39&lt;=$I$9),$J$9,
IF(AND(F39&gt;=$H$10,F39&lt;=$I$10),$J$10,
IF(AND(F39&gt;=$H$11,F39&lt;=$I$11),$J$11))))))))))),
"")</f>
        <v/>
      </c>
    </row>
    <row r="40" spans="1:7" ht="18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23" t="str">
        <f>IF(NOT(ISBLANK(Curs!C44)),
IF(Curs!R44,"Eliberat",
ROUND(SUM(C40:E40),0)),
"")</f>
        <v/>
      </c>
      <c r="G40" s="22" t="str">
        <f>IF(NOT(ISBLANK(Curs!C44)),
IF(Curs!R44,Curs!R44,
IF(F40=0,"n/p",
IF(AND(F40&gt;=$H$3,F40&lt;=$I$3),$J$3,
IF(AND(F40&gt;=$H$4,F40&lt;=$I$4),$J$4,
IF(AND(F40&gt;=$H$5,F40&lt;=$I$5),$J$5,
IF(AND(F40&gt;=$H$6,F40&lt;=$I$6),$J$6,
IF(AND(F40&gt;=$H$7,F40&lt;=$I$7),$J$7,
IF(AND(F40&gt;=$H$8,F40&lt;=$I$8),$J$8,
IF(AND(F40&gt;=$H$9,F40&lt;=$I$9),$J$9,
IF(AND(F40&gt;=$H$10,F40&lt;=$I$10),$J$10,
IF(AND(F40&gt;=$H$11,F40&lt;=$I$11),$J$11))))))))))),
"")</f>
        <v/>
      </c>
    </row>
    <row r="41" spans="1:7" ht="18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23" t="str">
        <f>IF(NOT(ISBLANK(Curs!C45)),
IF(Curs!R45,"Eliberat",
ROUND(SUM(C41:E41),0)),
"")</f>
        <v/>
      </c>
      <c r="G41" s="22" t="str">
        <f>IF(NOT(ISBLANK(Curs!C45)),
IF(Curs!R45,Curs!R45,
IF(F41=0,"n/p",
IF(AND(F41&gt;=$H$3,F41&lt;=$I$3),$J$3,
IF(AND(F41&gt;=$H$4,F41&lt;=$I$4),$J$4,
IF(AND(F41&gt;=$H$5,F41&lt;=$I$5),$J$5,
IF(AND(F41&gt;=$H$6,F41&lt;=$I$6),$J$6,
IF(AND(F41&gt;=$H$7,F41&lt;=$I$7),$J$7,
IF(AND(F41&gt;=$H$8,F41&lt;=$I$8),$J$8,
IF(AND(F41&gt;=$H$9,F41&lt;=$I$9),$J$9,
IF(AND(F41&gt;=$H$10,F41&lt;=$I$10),$J$10,
IF(AND(F41&gt;=$H$11,F41&lt;=$I$11),$J$11))))))))))),
"")</f>
        <v/>
      </c>
    </row>
    <row r="42" spans="1:7" ht="18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23" t="str">
        <f>IF(NOT(ISBLANK(Curs!C46)),
IF(Curs!R46,"Eliberat",
ROUND(SUM(C42:E42),0)),
"")</f>
        <v/>
      </c>
      <c r="G42" s="22" t="str">
        <f>IF(NOT(ISBLANK(Curs!C46)),
IF(Curs!R46,Curs!R46,
IF(F42=0,"n/p",
IF(AND(F42&gt;=$H$3,F42&lt;=$I$3),$J$3,
IF(AND(F42&gt;=$H$4,F42&lt;=$I$4),$J$4,
IF(AND(F42&gt;=$H$5,F42&lt;=$I$5),$J$5,
IF(AND(F42&gt;=$H$6,F42&lt;=$I$6),$J$6,
IF(AND(F42&gt;=$H$7,F42&lt;=$I$7),$J$7,
IF(AND(F42&gt;=$H$8,F42&lt;=$I$8),$J$8,
IF(AND(F42&gt;=$H$9,F42&lt;=$I$9),$J$9,
IF(AND(F42&gt;=$H$10,F42&lt;=$I$10),$J$10,
IF(AND(F42&gt;=$H$11,F42&lt;=$I$11),$J$11))))))))))),
"")</f>
        <v/>
      </c>
    </row>
    <row r="43" spans="1:7" ht="18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23" t="str">
        <f>IF(NOT(ISBLANK(Curs!C47)),
IF(Curs!R47,"Eliberat",
ROUND(SUM(C43:E43),0)),
"")</f>
        <v/>
      </c>
      <c r="G43" s="22" t="str">
        <f>IF(NOT(ISBLANK(Curs!C47)),
IF(Curs!R47,Curs!R47,
IF(F43=0,"n/p",
IF(AND(F43&gt;=$H$3,F43&lt;=$I$3),$J$3,
IF(AND(F43&gt;=$H$4,F43&lt;=$I$4),$J$4,
IF(AND(F43&gt;=$H$5,F43&lt;=$I$5),$J$5,
IF(AND(F43&gt;=$H$6,F43&lt;=$I$6),$J$6,
IF(AND(F43&gt;=$H$7,F43&lt;=$I$7),$J$7,
IF(AND(F43&gt;=$H$8,F43&lt;=$I$8),$J$8,
IF(AND(F43&gt;=$H$9,F43&lt;=$I$9),$J$9,
IF(AND(F43&gt;=$H$10,F43&lt;=$I$10),$J$10,
IF(AND(F43&gt;=$H$11,F43&lt;=$I$11),$J$11))))))))))),
"")</f>
        <v/>
      </c>
    </row>
    <row r="44" spans="1:7" ht="18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23" t="str">
        <f>IF(NOT(ISBLANK(Curs!C48)),
IF(Curs!R48,"Eliberat",
ROUND(SUM(C44:E44),0)),
"")</f>
        <v/>
      </c>
      <c r="G44" s="22" t="str">
        <f>IF(NOT(ISBLANK(Curs!C48)),
IF(Curs!R48,Curs!R48,
IF(F44=0,"n/p",
IF(AND(F44&gt;=$H$3,F44&lt;=$I$3),$J$3,
IF(AND(F44&gt;=$H$4,F44&lt;=$I$4),$J$4,
IF(AND(F44&gt;=$H$5,F44&lt;=$I$5),$J$5,
IF(AND(F44&gt;=$H$6,F44&lt;=$I$6),$J$6,
IF(AND(F44&gt;=$H$7,F44&lt;=$I$7),$J$7,
IF(AND(F44&gt;=$H$8,F44&lt;=$I$8),$J$8,
IF(AND(F44&gt;=$H$9,F44&lt;=$I$9),$J$9,
IF(AND(F44&gt;=$H$10,F44&lt;=$I$10),$J$10,
IF(AND(F44&gt;=$H$11,F44&lt;=$I$11),$J$11))))))))))),
"")</f>
        <v/>
      </c>
    </row>
    <row r="45" spans="1:7" ht="18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23" t="str">
        <f>IF(NOT(ISBLANK(Curs!C49)),
IF(Curs!R49,"Eliberat",
ROUND(SUM(C45:E45),0)),
"")</f>
        <v/>
      </c>
      <c r="G45" s="22" t="str">
        <f>IF(NOT(ISBLANK(Curs!C49)),
IF(Curs!R49,Curs!R49,
IF(F45=0,"n/p",
IF(AND(F45&gt;=$H$3,F45&lt;=$I$3),$J$3,
IF(AND(F45&gt;=$H$4,F45&lt;=$I$4),$J$4,
IF(AND(F45&gt;=$H$5,F45&lt;=$I$5),$J$5,
IF(AND(F45&gt;=$H$6,F45&lt;=$I$6),$J$6,
IF(AND(F45&gt;=$H$7,F45&lt;=$I$7),$J$7,
IF(AND(F45&gt;=$H$8,F45&lt;=$I$8),$J$8,
IF(AND(F45&gt;=$H$9,F45&lt;=$I$9),$J$9,
IF(AND(F45&gt;=$H$10,F45&lt;=$I$10),$J$10,
IF(AND(F45&gt;=$H$11,F45&lt;=$I$11),$J$11))))))))))),
"")</f>
        <v/>
      </c>
    </row>
    <row r="46" spans="1:7" ht="18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23" t="str">
        <f>IF(NOT(ISBLANK(Curs!C50)),
IF(Curs!R50,"Eliberat",
ROUND(SUM(C46:E46),0)),
"")</f>
        <v/>
      </c>
      <c r="G46" s="22" t="str">
        <f>IF(NOT(ISBLANK(Curs!C50)),
IF(Curs!R50,Curs!R50,
IF(F46=0,"n/p",
IF(AND(F46&gt;=$H$3,F46&lt;=$I$3),$J$3,
IF(AND(F46&gt;=$H$4,F46&lt;=$I$4),$J$4,
IF(AND(F46&gt;=$H$5,F46&lt;=$I$5),$J$5,
IF(AND(F46&gt;=$H$6,F46&lt;=$I$6),$J$6,
IF(AND(F46&gt;=$H$7,F46&lt;=$I$7),$J$7,
IF(AND(F46&gt;=$H$8,F46&lt;=$I$8),$J$8,
IF(AND(F46&gt;=$H$9,F46&lt;=$I$9),$J$9,
IF(AND(F46&gt;=$H$10,F46&lt;=$I$10),$J$10,
IF(AND(F46&gt;=$H$11,F46&lt;=$I$11),$J$11))))))))))),
"")</f>
        <v/>
      </c>
    </row>
    <row r="47" spans="1:7" ht="18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23" t="str">
        <f>IF(NOT(ISBLANK(Curs!C51)),
IF(Curs!R51,"Eliberat",
ROUND(SUM(C47:E47),0)),
"")</f>
        <v/>
      </c>
      <c r="G47" s="22" t="str">
        <f>IF(NOT(ISBLANK(Curs!C51)),
IF(Curs!R51,Curs!R51,
IF(F47=0,"n/p",
IF(AND(F47&gt;=$H$3,F47&lt;=$I$3),$J$3,
IF(AND(F47&gt;=$H$4,F47&lt;=$I$4),$J$4,
IF(AND(F47&gt;=$H$5,F47&lt;=$I$5),$J$5,
IF(AND(F47&gt;=$H$6,F47&lt;=$I$6),$J$6,
IF(AND(F47&gt;=$H$7,F47&lt;=$I$7),$J$7,
IF(AND(F47&gt;=$H$8,F47&lt;=$I$8),$J$8,
IF(AND(F47&gt;=$H$9,F47&lt;=$I$9),$J$9,
IF(AND(F47&gt;=$H$10,F47&lt;=$I$10),$J$10,
IF(AND(F47&gt;=$H$11,F47&lt;=$I$11),$J$11))))))))))),
"")</f>
        <v/>
      </c>
    </row>
    <row r="48" spans="1:7" ht="18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23" t="str">
        <f>IF(NOT(ISBLANK(Curs!C52)),
IF(Curs!R52,"Eliberat",
ROUND(SUM(C48:E48),0)),
"")</f>
        <v/>
      </c>
      <c r="G48" s="22" t="str">
        <f>IF(NOT(ISBLANK(Curs!C52)),
IF(Curs!R52,Curs!R52,
IF(F48=0,"n/p",
IF(AND(F48&gt;=$H$3,F48&lt;=$I$3),$J$3,
IF(AND(F48&gt;=$H$4,F48&lt;=$I$4),$J$4,
IF(AND(F48&gt;=$H$5,F48&lt;=$I$5),$J$5,
IF(AND(F48&gt;=$H$6,F48&lt;=$I$6),$J$6,
IF(AND(F48&gt;=$H$7,F48&lt;=$I$7),$J$7,
IF(AND(F48&gt;=$H$8,F48&lt;=$I$8),$J$8,
IF(AND(F48&gt;=$H$9,F48&lt;=$I$9),$J$9,
IF(AND(F48&gt;=$H$10,F48&lt;=$I$10),$J$10,
IF(AND(F48&gt;=$H$11,F48&lt;=$I$11),$J$11))))))))))),
"")</f>
        <v/>
      </c>
    </row>
    <row r="49" spans="1:7" ht="18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23" t="str">
        <f>IF(NOT(ISBLANK(Curs!C53)),
IF(Curs!R53,"Eliberat",
ROUND(SUM(C49:E49),0)),
"")</f>
        <v/>
      </c>
      <c r="G49" s="22" t="str">
        <f>IF(NOT(ISBLANK(Curs!C53)),
IF(Curs!R53,Curs!R53,
IF(F49=0,"n/p",
IF(AND(F49&gt;=$H$3,F49&lt;=$I$3),$J$3,
IF(AND(F49&gt;=$H$4,F49&lt;=$I$4),$J$4,
IF(AND(F49&gt;=$H$5,F49&lt;=$I$5),$J$5,
IF(AND(F49&gt;=$H$6,F49&lt;=$I$6),$J$6,
IF(AND(F49&gt;=$H$7,F49&lt;=$I$7),$J$7,
IF(AND(F49&gt;=$H$8,F49&lt;=$I$8),$J$8,
IF(AND(F49&gt;=$H$9,F49&lt;=$I$9),$J$9,
IF(AND(F49&gt;=$H$10,F49&lt;=$I$10),$J$10,
IF(AND(F49&gt;=$H$11,F49&lt;=$I$11),$J$11))))))))))),
"")</f>
        <v/>
      </c>
    </row>
    <row r="50" spans="1:7" ht="18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23" t="str">
        <f>IF(NOT(ISBLANK(Curs!C54)),
IF(Curs!R54,"Eliberat",
ROUND(SUM(C50:E50),0)),
"")</f>
        <v/>
      </c>
      <c r="G50" s="22" t="str">
        <f>IF(NOT(ISBLANK(Curs!C54)),
IF(Curs!R54,Curs!R54,
IF(F50=0,"n/p",
IF(AND(F50&gt;=$H$3,F50&lt;=$I$3),$J$3,
IF(AND(F50&gt;=$H$4,F50&lt;=$I$4),$J$4,
IF(AND(F50&gt;=$H$5,F50&lt;=$I$5),$J$5,
IF(AND(F50&gt;=$H$6,F50&lt;=$I$6),$J$6,
IF(AND(F50&gt;=$H$7,F50&lt;=$I$7),$J$7,
IF(AND(F50&gt;=$H$8,F50&lt;=$I$8),$J$8,
IF(AND(F50&gt;=$H$9,F50&lt;=$I$9),$J$9,
IF(AND(F50&gt;=$H$10,F50&lt;=$I$10),$J$10,
IF(AND(F50&gt;=$H$11,F50&lt;=$I$11),$J$11))))))))))),
"")</f>
        <v/>
      </c>
    </row>
    <row r="51" spans="1:7" ht="18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23" t="str">
        <f>IF(NOT(ISBLANK(Curs!C55)),
IF(Curs!R55,"Eliberat",
ROUND(SUM(C51:E51),0)),
"")</f>
        <v/>
      </c>
      <c r="G51" s="22" t="str">
        <f>IF(NOT(ISBLANK(Curs!C55)),
IF(Curs!R55,Curs!R55,
IF(F51=0,"n/p",
IF(AND(F51&gt;=$H$3,F51&lt;=$I$3),$J$3,
IF(AND(F51&gt;=$H$4,F51&lt;=$I$4),$J$4,
IF(AND(F51&gt;=$H$5,F51&lt;=$I$5),$J$5,
IF(AND(F51&gt;=$H$6,F51&lt;=$I$6),$J$6,
IF(AND(F51&gt;=$H$7,F51&lt;=$I$7),$J$7,
IF(AND(F51&gt;=$H$8,F51&lt;=$I$8),$J$8,
IF(AND(F51&gt;=$H$9,F51&lt;=$I$9),$J$9,
IF(AND(F51&gt;=$H$10,F51&lt;=$I$10),$J$10,
IF(AND(F51&gt;=$H$11,F51&lt;=$I$11),$J$11))))))))))),
"")</f>
        <v/>
      </c>
    </row>
    <row r="52" spans="1:7" ht="18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23" t="str">
        <f>IF(NOT(ISBLANK(Curs!C56)),
IF(Curs!R56,"Eliberat",
ROUND(SUM(C52:E52),0)),
"")</f>
        <v/>
      </c>
      <c r="G52" s="22" t="str">
        <f>IF(NOT(ISBLANK(Curs!C56)),
IF(Curs!R56,Curs!R56,
IF(F52=0,"n/p",
IF(AND(F52&gt;=$H$3,F52&lt;=$I$3),$J$3,
IF(AND(F52&gt;=$H$4,F52&lt;=$I$4),$J$4,
IF(AND(F52&gt;=$H$5,F52&lt;=$I$5),$J$5,
IF(AND(F52&gt;=$H$6,F52&lt;=$I$6),$J$6,
IF(AND(F52&gt;=$H$7,F52&lt;=$I$7),$J$7,
IF(AND(F52&gt;=$H$8,F52&lt;=$I$8),$J$8,
IF(AND(F52&gt;=$H$9,F52&lt;=$I$9),$J$9,
IF(AND(F52&gt;=$H$10,F52&lt;=$I$10),$J$10,
IF(AND(F52&gt;=$H$11,F52&lt;=$I$11),$J$11))))))))))),
"")</f>
        <v/>
      </c>
    </row>
    <row r="53" spans="1:7" ht="18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23" t="str">
        <f>IF(NOT(ISBLANK(Curs!C57)),
IF(Curs!R57,"Eliberat",
ROUND(SUM(C53:E53),0)),
"")</f>
        <v/>
      </c>
      <c r="G53" s="22" t="str">
        <f>IF(NOT(ISBLANK(Curs!C57)),
IF(Curs!R57,Curs!R57,
IF(F53=0,"n/p",
IF(AND(F53&gt;=$H$3,F53&lt;=$I$3),$J$3,
IF(AND(F53&gt;=$H$4,F53&lt;=$I$4),$J$4,
IF(AND(F53&gt;=$H$5,F53&lt;=$I$5),$J$5,
IF(AND(F53&gt;=$H$6,F53&lt;=$I$6),$J$6,
IF(AND(F53&gt;=$H$7,F53&lt;=$I$7),$J$7,
IF(AND(F53&gt;=$H$8,F53&lt;=$I$8),$J$8,
IF(AND(F53&gt;=$H$9,F53&lt;=$I$9),$J$9,
IF(AND(F53&gt;=$H$10,F53&lt;=$I$10),$J$10,
IF(AND(F53&gt;=$H$11,F53&lt;=$I$11),$J$11))))))))))),
"")</f>
        <v/>
      </c>
    </row>
    <row r="54" spans="1:7" ht="18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23" t="str">
        <f>IF(NOT(ISBLANK(Curs!C58)),
IF(Curs!R58,"Eliberat",
ROUND(SUM(C54:E54),0)),
"")</f>
        <v/>
      </c>
      <c r="G54" s="22" t="str">
        <f>IF(NOT(ISBLANK(Curs!C58)),
IF(Curs!R58,Curs!R58,
IF(F54=0,"n/p",
IF(AND(F54&gt;=$H$3,F54&lt;=$I$3),$J$3,
IF(AND(F54&gt;=$H$4,F54&lt;=$I$4),$J$4,
IF(AND(F54&gt;=$H$5,F54&lt;=$I$5),$J$5,
IF(AND(F54&gt;=$H$6,F54&lt;=$I$6),$J$6,
IF(AND(F54&gt;=$H$7,F54&lt;=$I$7),$J$7,
IF(AND(F54&gt;=$H$8,F54&lt;=$I$8),$J$8,
IF(AND(F54&gt;=$H$9,F54&lt;=$I$9),$J$9,
IF(AND(F54&gt;=$H$10,F54&lt;=$I$10),$J$10,
IF(AND(F54&gt;=$H$11,F54&lt;=$I$11),$J$11))))))))))),
"")</f>
        <v/>
      </c>
    </row>
    <row r="55" spans="1:7" ht="18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23" t="str">
        <f>IF(NOT(ISBLANK(Curs!C59)),
IF(Curs!R59,"Eliberat",
ROUND(SUM(C55:E55),0)),
"")</f>
        <v/>
      </c>
      <c r="G55" s="22" t="str">
        <f>IF(NOT(ISBLANK(Curs!C59)),
IF(Curs!R59,Curs!R59,
IF(F55=0,"n/p",
IF(AND(F55&gt;=$H$3,F55&lt;=$I$3),$J$3,
IF(AND(F55&gt;=$H$4,F55&lt;=$I$4),$J$4,
IF(AND(F55&gt;=$H$5,F55&lt;=$I$5),$J$5,
IF(AND(F55&gt;=$H$6,F55&lt;=$I$6),$J$6,
IF(AND(F55&gt;=$H$7,F55&lt;=$I$7),$J$7,
IF(AND(F55&gt;=$H$8,F55&lt;=$I$8),$J$8,
IF(AND(F55&gt;=$H$9,F55&lt;=$I$9),$J$9,
IF(AND(F55&gt;=$H$10,F55&lt;=$I$10),$J$10,
IF(AND(F55&gt;=$H$11,F55&lt;=$I$11),$J$11))))))))))),
"")</f>
        <v/>
      </c>
    </row>
    <row r="56" spans="1:7" ht="18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23" t="str">
        <f>IF(NOT(ISBLANK(Curs!C60)),
IF(Curs!R60,"Eliberat",
ROUND(SUM(C56:E56),0)),
"")</f>
        <v/>
      </c>
      <c r="G56" s="22" t="str">
        <f>IF(NOT(ISBLANK(Curs!C60)),
IF(Curs!R60,Curs!R60,
IF(F56=0,"n/p",
IF(AND(F56&gt;=$H$3,F56&lt;=$I$3),$J$3,
IF(AND(F56&gt;=$H$4,F56&lt;=$I$4),$J$4,
IF(AND(F56&gt;=$H$5,F56&lt;=$I$5),$J$5,
IF(AND(F56&gt;=$H$6,F56&lt;=$I$6),$J$6,
IF(AND(F56&gt;=$H$7,F56&lt;=$I$7),$J$7,
IF(AND(F56&gt;=$H$8,F56&lt;=$I$8),$J$8,
IF(AND(F56&gt;=$H$9,F56&lt;=$I$9),$J$9,
IF(AND(F56&gt;=$H$10,F56&lt;=$I$10),$J$10,
IF(AND(F56&gt;=$H$11,F56&lt;=$I$11),$J$11))))))))))),
"")</f>
        <v/>
      </c>
    </row>
    <row r="57" spans="1:7" ht="18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23" t="str">
        <f>IF(NOT(ISBLANK(Curs!C61)),
IF(Curs!R61,"Eliberat",
ROUND(SUM(C57:E57),0)),
"")</f>
        <v/>
      </c>
      <c r="G57" s="22" t="str">
        <f>IF(NOT(ISBLANK(Curs!C61)),
IF(Curs!R61,Curs!R61,
IF(F57=0,"n/p",
IF(AND(F57&gt;=$H$3,F57&lt;=$I$3),$J$3,
IF(AND(F57&gt;=$H$4,F57&lt;=$I$4),$J$4,
IF(AND(F57&gt;=$H$5,F57&lt;=$I$5),$J$5,
IF(AND(F57&gt;=$H$6,F57&lt;=$I$6),$J$6,
IF(AND(F57&gt;=$H$7,F57&lt;=$I$7),$J$7,
IF(AND(F57&gt;=$H$8,F57&lt;=$I$8),$J$8,
IF(AND(F57&gt;=$H$9,F57&lt;=$I$9),$J$9,
IF(AND(F57&gt;=$H$10,F57&lt;=$I$10),$J$10,
IF(AND(F57&gt;=$H$11,F57&lt;=$I$11),$J$11))))))))))),
"")</f>
        <v/>
      </c>
    </row>
    <row r="58" spans="1:7" ht="18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23" t="str">
        <f>IF(NOT(ISBLANK(Curs!C62)),
IF(Curs!R62,"Eliberat",
ROUND(SUM(C58:E58),0)),
"")</f>
        <v/>
      </c>
      <c r="G58" s="22" t="str">
        <f>IF(NOT(ISBLANK(Curs!C62)),
IF(Curs!R62,Curs!R62,
IF(F58=0,"n/p",
IF(AND(F58&gt;=$H$3,F58&lt;=$I$3),$J$3,
IF(AND(F58&gt;=$H$4,F58&lt;=$I$4),$J$4,
IF(AND(F58&gt;=$H$5,F58&lt;=$I$5),$J$5,
IF(AND(F58&gt;=$H$6,F58&lt;=$I$6),$J$6,
IF(AND(F58&gt;=$H$7,F58&lt;=$I$7),$J$7,
IF(AND(F58&gt;=$H$8,F58&lt;=$I$8),$J$8,
IF(AND(F58&gt;=$H$9,F58&lt;=$I$9),$J$9,
IF(AND(F58&gt;=$H$10,F58&lt;=$I$10),$J$10,
IF(AND(F58&gt;=$H$11,F58&lt;=$I$11),$J$11))))))))))),
"")</f>
        <v/>
      </c>
    </row>
    <row r="59" spans="1:7" ht="18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23" t="str">
        <f>IF(NOT(ISBLANK(Curs!C63)),
IF(Curs!R63,"Eliberat",
ROUND(SUM(C59:E59),0)),
"")</f>
        <v/>
      </c>
      <c r="G59" s="22" t="str">
        <f>IF(NOT(ISBLANK(Curs!C63)),
IF(Curs!R63,Curs!R63,
IF(F59=0,"n/p",
IF(AND(F59&gt;=$H$3,F59&lt;=$I$3),$J$3,
IF(AND(F59&gt;=$H$4,F59&lt;=$I$4),$J$4,
IF(AND(F59&gt;=$H$5,F59&lt;=$I$5),$J$5,
IF(AND(F59&gt;=$H$6,F59&lt;=$I$6),$J$6,
IF(AND(F59&gt;=$H$7,F59&lt;=$I$7),$J$7,
IF(AND(F59&gt;=$H$8,F59&lt;=$I$8),$J$8,
IF(AND(F59&gt;=$H$9,F59&lt;=$I$9),$J$9,
IF(AND(F59&gt;=$H$10,F59&lt;=$I$10),$J$10,
IF(AND(F59&gt;=$H$11,F59&lt;=$I$11),$J$11))))))))))),
"")</f>
        <v/>
      </c>
    </row>
    <row r="60" spans="1:7" ht="18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23" t="str">
        <f>IF(NOT(ISBLANK(Curs!C64)),
IF(Curs!R64,"Eliberat",
ROUND(SUM(C60:E60),0)),
"")</f>
        <v/>
      </c>
      <c r="G60" s="22" t="str">
        <f>IF(NOT(ISBLANK(Curs!C64)),
IF(Curs!R64,Curs!R64,
IF(F60=0,"n/p",
IF(AND(F60&gt;=$H$3,F60&lt;=$I$3),$J$3,
IF(AND(F60&gt;=$H$4,F60&lt;=$I$4),$J$4,
IF(AND(F60&gt;=$H$5,F60&lt;=$I$5),$J$5,
IF(AND(F60&gt;=$H$6,F60&lt;=$I$6),$J$6,
IF(AND(F60&gt;=$H$7,F60&lt;=$I$7),$J$7,
IF(AND(F60&gt;=$H$8,F60&lt;=$I$8),$J$8,
IF(AND(F60&gt;=$H$9,F60&lt;=$I$9),$J$9,
IF(AND(F60&gt;=$H$10,F60&lt;=$I$10),$J$10,
IF(AND(F60&gt;=$H$11,F60&lt;=$I$11),$J$11))))))))))),
"")</f>
        <v/>
      </c>
    </row>
    <row r="61" spans="1:7" ht="18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23" t="str">
        <f>IF(NOT(ISBLANK(Curs!C65)),
IF(Curs!R65,"Eliberat",
ROUND(SUM(C61:E61),0)),
"")</f>
        <v/>
      </c>
      <c r="G61" s="22" t="str">
        <f>IF(NOT(ISBLANK(Curs!C65)),
IF(Curs!R65,Curs!R65,
IF(F61=0,"n/p",
IF(AND(F61&gt;=$H$3,F61&lt;=$I$3),$J$3,
IF(AND(F61&gt;=$H$4,F61&lt;=$I$4),$J$4,
IF(AND(F61&gt;=$H$5,F61&lt;=$I$5),$J$5,
IF(AND(F61&gt;=$H$6,F61&lt;=$I$6),$J$6,
IF(AND(F61&gt;=$H$7,F61&lt;=$I$7),$J$7,
IF(AND(F61&gt;=$H$8,F61&lt;=$I$8),$J$8,
IF(AND(F61&gt;=$H$9,F61&lt;=$I$9),$J$9,
IF(AND(F61&gt;=$H$10,F61&lt;=$I$10),$J$10,
IF(AND(F61&gt;=$H$11,F61&lt;=$I$11),$J$11))))))))))),
"")</f>
        <v/>
      </c>
    </row>
    <row r="62" spans="1:7" ht="18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23" t="str">
        <f>IF(NOT(ISBLANK(Curs!C66)),
IF(Curs!R66,"Eliberat",
ROUND(SUM(C62:E62),0)),
"")</f>
        <v/>
      </c>
      <c r="G62" s="22" t="str">
        <f>IF(NOT(ISBLANK(Curs!C66)),
IF(Curs!R66,Curs!R66,
IF(F62=0,"n/p",
IF(AND(F62&gt;=$H$3,F62&lt;=$I$3),$J$3,
IF(AND(F62&gt;=$H$4,F62&lt;=$I$4),$J$4,
IF(AND(F62&gt;=$H$5,F62&lt;=$I$5),$J$5,
IF(AND(F62&gt;=$H$6,F62&lt;=$I$6),$J$6,
IF(AND(F62&gt;=$H$7,F62&lt;=$I$7),$J$7,
IF(AND(F62&gt;=$H$8,F62&lt;=$I$8),$J$8,
IF(AND(F62&gt;=$H$9,F62&lt;=$I$9),$J$9,
IF(AND(F62&gt;=$H$10,F62&lt;=$I$10),$J$10,
IF(AND(F62&gt;=$H$11,F62&lt;=$I$11),$J$11))))))))))),
"")</f>
        <v/>
      </c>
    </row>
    <row r="63" spans="1:7" ht="18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23" t="str">
        <f>IF(NOT(ISBLANK(Curs!C67)),
IF(Curs!R67,"Eliberat",
ROUND(SUM(C63:E63),0)),
"")</f>
        <v/>
      </c>
      <c r="G63" s="22" t="str">
        <f>IF(NOT(ISBLANK(Curs!C67)),
IF(Curs!R67,Curs!R67,
IF(F63=0,"n/p",
IF(AND(F63&gt;=$H$3,F63&lt;=$I$3),$J$3,
IF(AND(F63&gt;=$H$4,F63&lt;=$I$4),$J$4,
IF(AND(F63&gt;=$H$5,F63&lt;=$I$5),$J$5,
IF(AND(F63&gt;=$H$6,F63&lt;=$I$6),$J$6,
IF(AND(F63&gt;=$H$7,F63&lt;=$I$7),$J$7,
IF(AND(F63&gt;=$H$8,F63&lt;=$I$8),$J$8,
IF(AND(F63&gt;=$H$9,F63&lt;=$I$9),$J$9,
IF(AND(F63&gt;=$H$10,F63&lt;=$I$10),$J$10,
IF(AND(F63&gt;=$H$11,F63&lt;=$I$11),$J$11))))))))))),
"")</f>
        <v/>
      </c>
    </row>
    <row r="64" spans="1:7" ht="18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23" t="str">
        <f>IF(NOT(ISBLANK(Curs!C68)),
IF(Curs!R68,"Eliberat",
ROUND(SUM(C64:E64),0)),
"")</f>
        <v/>
      </c>
      <c r="G64" s="22" t="str">
        <f>IF(NOT(ISBLANK(Curs!C68)),
IF(Curs!R68,Curs!R68,
IF(F64=0,"n/p",
IF(AND(F64&gt;=$H$3,F64&lt;=$I$3),$J$3,
IF(AND(F64&gt;=$H$4,F64&lt;=$I$4),$J$4,
IF(AND(F64&gt;=$H$5,F64&lt;=$I$5),$J$5,
IF(AND(F64&gt;=$H$6,F64&lt;=$I$6),$J$6,
IF(AND(F64&gt;=$H$7,F64&lt;=$I$7),$J$7,
IF(AND(F64&gt;=$H$8,F64&lt;=$I$8),$J$8,
IF(AND(F64&gt;=$H$9,F64&lt;=$I$9),$J$9,
IF(AND(F64&gt;=$H$10,F64&lt;=$I$10),$J$10,
IF(AND(F64&gt;=$H$11,F64&lt;=$I$11),$J$11))))))))))),
"")</f>
        <v/>
      </c>
    </row>
    <row r="65" spans="1:7" ht="18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23" t="str">
        <f>IF(NOT(ISBLANK(Curs!C69)),
IF(Curs!R69,"Eliberat",
ROUND(SUM(C65:E65),0)),
"")</f>
        <v/>
      </c>
      <c r="G65" s="22" t="str">
        <f>IF(NOT(ISBLANK(Curs!C69)),
IF(Curs!R69,Curs!R69,
IF(F65=0,"n/p",
IF(AND(F65&gt;=$H$3,F65&lt;=$I$3),$J$3,
IF(AND(F65&gt;=$H$4,F65&lt;=$I$4),$J$4,
IF(AND(F65&gt;=$H$5,F65&lt;=$I$5),$J$5,
IF(AND(F65&gt;=$H$6,F65&lt;=$I$6),$J$6,
IF(AND(F65&gt;=$H$7,F65&lt;=$I$7),$J$7,
IF(AND(F65&gt;=$H$8,F65&lt;=$I$8),$J$8,
IF(AND(F65&gt;=$H$9,F65&lt;=$I$9),$J$9,
IF(AND(F65&gt;=$H$10,F65&lt;=$I$10),$J$10,
IF(AND(F65&gt;=$H$11,F65&lt;=$I$11),$J$11))))))))))),
"")</f>
        <v/>
      </c>
    </row>
    <row r="66" spans="1:7" ht="18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23" t="str">
        <f>IF(NOT(ISBLANK(Curs!C70)),
IF(Curs!R70,"Eliberat",
ROUND(SUM(C66:E66),0)),
"")</f>
        <v/>
      </c>
      <c r="G66" s="22" t="str">
        <f>IF(NOT(ISBLANK(Curs!C70)),
IF(Curs!R70,Curs!R70,
IF(F66=0,"n/p",
IF(AND(F66&gt;=$H$3,F66&lt;=$I$3),$J$3,
IF(AND(F66&gt;=$H$4,F66&lt;=$I$4),$J$4,
IF(AND(F66&gt;=$H$5,F66&lt;=$I$5),$J$5,
IF(AND(F66&gt;=$H$6,F66&lt;=$I$6),$J$6,
IF(AND(F66&gt;=$H$7,F66&lt;=$I$7),$J$7,
IF(AND(F66&gt;=$H$8,F66&lt;=$I$8),$J$8,
IF(AND(F66&gt;=$H$9,F66&lt;=$I$9),$J$9,
IF(AND(F66&gt;=$H$10,F66&lt;=$I$10),$J$10,
IF(AND(F66&gt;=$H$11,F66&lt;=$I$11),$J$11))))))))))),
"")</f>
        <v/>
      </c>
    </row>
    <row r="67" spans="1:7" ht="18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23" t="str">
        <f>IF(NOT(ISBLANK(Curs!C71)),
IF(Curs!R71,"Eliberat",
ROUND(SUM(C67:E67),0)),
"")</f>
        <v/>
      </c>
      <c r="G67" s="22" t="str">
        <f>IF(NOT(ISBLANK(Curs!C71)),
IF(Curs!R71,Curs!R71,
IF(F67=0,"n/p",
IF(AND(F67&gt;=$H$3,F67&lt;=$I$3),$J$3,
IF(AND(F67&gt;=$H$4,F67&lt;=$I$4),$J$4,
IF(AND(F67&gt;=$H$5,F67&lt;=$I$5),$J$5,
IF(AND(F67&gt;=$H$6,F67&lt;=$I$6),$J$6,
IF(AND(F67&gt;=$H$7,F67&lt;=$I$7),$J$7,
IF(AND(F67&gt;=$H$8,F67&lt;=$I$8),$J$8,
IF(AND(F67&gt;=$H$9,F67&lt;=$I$9),$J$9,
IF(AND(F67&gt;=$H$10,F67&lt;=$I$10),$J$10,
IF(AND(F67&gt;=$H$11,F67&lt;=$I$11),$J$11))))))))))),
"")</f>
        <v/>
      </c>
    </row>
    <row r="68" spans="1:7" ht="18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23" t="str">
        <f>IF(NOT(ISBLANK(Curs!C72)),
IF(Curs!R72,"Eliberat",
ROUND(SUM(C68:E68),0)),
"")</f>
        <v/>
      </c>
      <c r="G68" s="22" t="str">
        <f>IF(NOT(ISBLANK(Curs!C72)),
IF(Curs!R72,Curs!R72,
IF(F68=0,"n/p",
IF(AND(F68&gt;=$H$3,F68&lt;=$I$3),$J$3,
IF(AND(F68&gt;=$H$4,F68&lt;=$I$4),$J$4,
IF(AND(F68&gt;=$H$5,F68&lt;=$I$5),$J$5,
IF(AND(F68&gt;=$H$6,F68&lt;=$I$6),$J$6,
IF(AND(F68&gt;=$H$7,F68&lt;=$I$7),$J$7,
IF(AND(F68&gt;=$H$8,F68&lt;=$I$8),$J$8,
IF(AND(F68&gt;=$H$9,F68&lt;=$I$9),$J$9,
IF(AND(F68&gt;=$H$10,F68&lt;=$I$10),$J$10,
IF(AND(F68&gt;=$H$11,F68&lt;=$I$11),$J$11))))))))))),
"")</f>
        <v/>
      </c>
    </row>
    <row r="69" spans="1:7" ht="18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23" t="str">
        <f>IF(NOT(ISBLANK(Curs!C73)),
IF(Curs!R73,"Eliberat",
ROUND(SUM(C69:E69),0)),
"")</f>
        <v/>
      </c>
      <c r="G69" s="22" t="str">
        <f>IF(NOT(ISBLANK(Curs!C73)),
IF(Curs!R73,Curs!R73,
IF(F69=0,"n/p",
IF(AND(F69&gt;=$H$3,F69&lt;=$I$3),$J$3,
IF(AND(F69&gt;=$H$4,F69&lt;=$I$4),$J$4,
IF(AND(F69&gt;=$H$5,F69&lt;=$I$5),$J$5,
IF(AND(F69&gt;=$H$6,F69&lt;=$I$6),$J$6,
IF(AND(F69&gt;=$H$7,F69&lt;=$I$7),$J$7,
IF(AND(F69&gt;=$H$8,F69&lt;=$I$8),$J$8,
IF(AND(F69&gt;=$H$9,F69&lt;=$I$9),$J$9,
IF(AND(F69&gt;=$H$10,F69&lt;=$I$10),$J$10,
IF(AND(F69&gt;=$H$11,F69&lt;=$I$11),$J$11))))))))))),
"")</f>
        <v/>
      </c>
    </row>
    <row r="70" spans="1:7" ht="18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23" t="str">
        <f>IF(NOT(ISBLANK(Curs!C74)),
IF(Curs!R74,"Eliberat",
ROUND(SUM(C70:E70),0)),
"")</f>
        <v/>
      </c>
      <c r="G70" s="22" t="str">
        <f>IF(NOT(ISBLANK(Curs!C74)),
IF(Curs!R74,Curs!R74,
IF(F70=0,"n/p",
IF(AND(F70&gt;=$H$3,F70&lt;=$I$3),$J$3,
IF(AND(F70&gt;=$H$4,F70&lt;=$I$4),$J$4,
IF(AND(F70&gt;=$H$5,F70&lt;=$I$5),$J$5,
IF(AND(F70&gt;=$H$6,F70&lt;=$I$6),$J$6,
IF(AND(F70&gt;=$H$7,F70&lt;=$I$7),$J$7,
IF(AND(F70&gt;=$H$8,F70&lt;=$I$8),$J$8,
IF(AND(F70&gt;=$H$9,F70&lt;=$I$9),$J$9,
IF(AND(F70&gt;=$H$10,F70&lt;=$I$10),$J$10,
IF(AND(F70&gt;=$H$11,F70&lt;=$I$11),$J$11))))))))))),
"")</f>
        <v/>
      </c>
    </row>
    <row r="71" spans="1:7" ht="18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23" t="str">
        <f>IF(NOT(ISBLANK(Curs!C75)),
IF(Curs!R75,"Eliberat",
ROUND(SUM(C71:E71),0)),
"")</f>
        <v/>
      </c>
      <c r="G71" s="22" t="str">
        <f>IF(NOT(ISBLANK(Curs!C75)),
IF(Curs!R75,Curs!R75,
IF(F71=0,"n/p",
IF(AND(F71&gt;=$H$3,F71&lt;=$I$3),$J$3,
IF(AND(F71&gt;=$H$4,F71&lt;=$I$4),$J$4,
IF(AND(F71&gt;=$H$5,F71&lt;=$I$5),$J$5,
IF(AND(F71&gt;=$H$6,F71&lt;=$I$6),$J$6,
IF(AND(F71&gt;=$H$7,F71&lt;=$I$7),$J$7,
IF(AND(F71&gt;=$H$8,F71&lt;=$I$8),$J$8,
IF(AND(F71&gt;=$H$9,F71&lt;=$I$9),$J$9,
IF(AND(F71&gt;=$H$10,F71&lt;=$I$10),$J$10,
IF(AND(F71&gt;=$H$11,F71&lt;=$I$11),$J$11))))))))))),
"")</f>
        <v/>
      </c>
    </row>
    <row r="72" spans="1:7" ht="18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23" t="str">
        <f>IF(NOT(ISBLANK(Curs!C76)),
IF(Curs!R76,"Eliberat",
ROUND(SUM(C72:E72),0)),
"")</f>
        <v/>
      </c>
      <c r="G72" s="22" t="str">
        <f>IF(NOT(ISBLANK(Curs!C76)),
IF(Curs!R76,Curs!R76,
IF(F72=0,"n/p",
IF(AND(F72&gt;=$H$3,F72&lt;=$I$3),$J$3,
IF(AND(F72&gt;=$H$4,F72&lt;=$I$4),$J$4,
IF(AND(F72&gt;=$H$5,F72&lt;=$I$5),$J$5,
IF(AND(F72&gt;=$H$6,F72&lt;=$I$6),$J$6,
IF(AND(F72&gt;=$H$7,F72&lt;=$I$7),$J$7,
IF(AND(F72&gt;=$H$8,F72&lt;=$I$8),$J$8,
IF(AND(F72&gt;=$H$9,F72&lt;=$I$9),$J$9,
IF(AND(F72&gt;=$H$10,F72&lt;=$I$10),$J$10,
IF(AND(F72&gt;=$H$11,F72&lt;=$I$11),$J$11))))))))))),
"")</f>
        <v/>
      </c>
    </row>
    <row r="73" spans="1:7" ht="18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23" t="str">
        <f>IF(NOT(ISBLANK(Curs!C77)),
IF(Curs!R77,"Eliberat",
ROUND(SUM(C73:E73),0)),
"")</f>
        <v/>
      </c>
      <c r="G73" s="22" t="str">
        <f>IF(NOT(ISBLANK(Curs!C77)),
IF(Curs!R77,Curs!R77,
IF(F73=0,"n/p",
IF(AND(F73&gt;=$H$3,F73&lt;=$I$3),$J$3,
IF(AND(F73&gt;=$H$4,F73&lt;=$I$4),$J$4,
IF(AND(F73&gt;=$H$5,F73&lt;=$I$5),$J$5,
IF(AND(F73&gt;=$H$6,F73&lt;=$I$6),$J$6,
IF(AND(F73&gt;=$H$7,F73&lt;=$I$7),$J$7,
IF(AND(F73&gt;=$H$8,F73&lt;=$I$8),$J$8,
IF(AND(F73&gt;=$H$9,F73&lt;=$I$9),$J$9,
IF(AND(F73&gt;=$H$10,F73&lt;=$I$10),$J$10,
IF(AND(F73&gt;=$H$11,F73&lt;=$I$11),$J$11))))))))))),
"")</f>
        <v/>
      </c>
    </row>
    <row r="74" spans="1:7" ht="18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23" t="str">
        <f>IF(NOT(ISBLANK(Curs!C78)),
IF(Curs!R78,"Eliberat",
ROUND(SUM(C74:E74),0)),
"")</f>
        <v/>
      </c>
      <c r="G74" s="22" t="str">
        <f>IF(NOT(ISBLANK(Curs!C78)),
IF(Curs!R78,Curs!R78,
IF(F74=0,"n/p",
IF(AND(F74&gt;=$H$3,F74&lt;=$I$3),$J$3,
IF(AND(F74&gt;=$H$4,F74&lt;=$I$4),$J$4,
IF(AND(F74&gt;=$H$5,F74&lt;=$I$5),$J$5,
IF(AND(F74&gt;=$H$6,F74&lt;=$I$6),$J$6,
IF(AND(F74&gt;=$H$7,F74&lt;=$I$7),$J$7,
IF(AND(F74&gt;=$H$8,F74&lt;=$I$8),$J$8,
IF(AND(F74&gt;=$H$9,F74&lt;=$I$9),$J$9,
IF(AND(F74&gt;=$H$10,F74&lt;=$I$10),$J$10,
IF(AND(F74&gt;=$H$11,F74&lt;=$I$11),$J$11))))))))))),
"")</f>
        <v/>
      </c>
    </row>
    <row r="75" spans="1:7" ht="18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23" t="str">
        <f>IF(NOT(ISBLANK(Curs!C79)),
IF(Curs!R79,"Eliberat",
ROUND(SUM(C75:E75),0)),
"")</f>
        <v/>
      </c>
      <c r="G75" s="22" t="str">
        <f>IF(NOT(ISBLANK(Curs!C79)),
IF(Curs!R79,Curs!R79,
IF(F75=0,"n/p",
IF(AND(F75&gt;=$H$3,F75&lt;=$I$3),$J$3,
IF(AND(F75&gt;=$H$4,F75&lt;=$I$4),$J$4,
IF(AND(F75&gt;=$H$5,F75&lt;=$I$5),$J$5,
IF(AND(F75&gt;=$H$6,F75&lt;=$I$6),$J$6,
IF(AND(F75&gt;=$H$7,F75&lt;=$I$7),$J$7,
IF(AND(F75&gt;=$H$8,F75&lt;=$I$8),$J$8,
IF(AND(F75&gt;=$H$9,F75&lt;=$I$9),$J$9,
IF(AND(F75&gt;=$H$10,F75&lt;=$I$10),$J$10,
IF(AND(F75&gt;=$H$11,F75&lt;=$I$11),$J$11))))))))))),
"")</f>
        <v/>
      </c>
    </row>
    <row r="76" spans="1:7" ht="18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23" t="str">
        <f>IF(NOT(ISBLANK(Curs!C80)),
IF(Curs!R80,"Eliberat",
ROUND(SUM(C76:E76),0)),
"")</f>
        <v/>
      </c>
      <c r="G76" s="22" t="str">
        <f>IF(NOT(ISBLANK(Curs!C80)),
IF(Curs!R80,Curs!R80,
IF(F76=0,"n/p",
IF(AND(F76&gt;=$H$3,F76&lt;=$I$3),$J$3,
IF(AND(F76&gt;=$H$4,F76&lt;=$I$4),$J$4,
IF(AND(F76&gt;=$H$5,F76&lt;=$I$5),$J$5,
IF(AND(F76&gt;=$H$6,F76&lt;=$I$6),$J$6,
IF(AND(F76&gt;=$H$7,F76&lt;=$I$7),$J$7,
IF(AND(F76&gt;=$H$8,F76&lt;=$I$8),$J$8,
IF(AND(F76&gt;=$H$9,F76&lt;=$I$9),$J$9,
IF(AND(F76&gt;=$H$10,F76&lt;=$I$10),$J$10,
IF(AND(F76&gt;=$H$11,F76&lt;=$I$11),$J$11))))))))))),
"")</f>
        <v/>
      </c>
    </row>
    <row r="77" spans="1:7" ht="18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23" t="str">
        <f>IF(NOT(ISBLANK(Curs!C81)),
IF(Curs!R81,"Eliberat",
ROUND(SUM(C77:E77),0)),
"")</f>
        <v/>
      </c>
      <c r="G77" s="22" t="str">
        <f>IF(NOT(ISBLANK(Curs!C81)),
IF(Curs!R81,Curs!R81,
IF(F77=0,"n/p",
IF(AND(F77&gt;=$H$3,F77&lt;=$I$3),$J$3,
IF(AND(F77&gt;=$H$4,F77&lt;=$I$4),$J$4,
IF(AND(F77&gt;=$H$5,F77&lt;=$I$5),$J$5,
IF(AND(F77&gt;=$H$6,F77&lt;=$I$6),$J$6,
IF(AND(F77&gt;=$H$7,F77&lt;=$I$7),$J$7,
IF(AND(F77&gt;=$H$8,F77&lt;=$I$8),$J$8,
IF(AND(F77&gt;=$H$9,F77&lt;=$I$9),$J$9,
IF(AND(F77&gt;=$H$10,F77&lt;=$I$10),$J$10,
IF(AND(F77&gt;=$H$11,F77&lt;=$I$11),$J$11))))))))))),
"")</f>
        <v/>
      </c>
    </row>
    <row r="78" spans="1:7" ht="18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23" t="str">
        <f>IF(NOT(ISBLANK(Curs!C82)),
IF(Curs!R82,"Eliberat",
ROUND(SUM(C78:E78),0)),
"")</f>
        <v/>
      </c>
      <c r="G78" s="22" t="str">
        <f>IF(NOT(ISBLANK(Curs!C82)),
IF(Curs!R82,Curs!R82,
IF(F78=0,"n/p",
IF(AND(F78&gt;=$H$3,F78&lt;=$I$3),$J$3,
IF(AND(F78&gt;=$H$4,F78&lt;=$I$4),$J$4,
IF(AND(F78&gt;=$H$5,F78&lt;=$I$5),$J$5,
IF(AND(F78&gt;=$H$6,F78&lt;=$I$6),$J$6,
IF(AND(F78&gt;=$H$7,F78&lt;=$I$7),$J$7,
IF(AND(F78&gt;=$H$8,F78&lt;=$I$8),$J$8,
IF(AND(F78&gt;=$H$9,F78&lt;=$I$9),$J$9,
IF(AND(F78&gt;=$H$10,F78&lt;=$I$10),$J$10,
IF(AND(F78&gt;=$H$11,F78&lt;=$I$11),$J$11))))))))))),
"")</f>
        <v/>
      </c>
    </row>
    <row r="79" spans="1:7" ht="18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23" t="str">
        <f>IF(NOT(ISBLANK(Curs!C83)),
IF(Curs!R83,"Eliberat",
ROUND(SUM(C79:E79),0)),
"")</f>
        <v/>
      </c>
      <c r="G79" s="22" t="str">
        <f>IF(NOT(ISBLANK(Curs!C83)),
IF(Curs!R83,Curs!R83,
IF(F79=0,"n/p",
IF(AND(F79&gt;=$H$3,F79&lt;=$I$3),$J$3,
IF(AND(F79&gt;=$H$4,F79&lt;=$I$4),$J$4,
IF(AND(F79&gt;=$H$5,F79&lt;=$I$5),$J$5,
IF(AND(F79&gt;=$H$6,F79&lt;=$I$6),$J$6,
IF(AND(F79&gt;=$H$7,F79&lt;=$I$7),$J$7,
IF(AND(F79&gt;=$H$8,F79&lt;=$I$8),$J$8,
IF(AND(F79&gt;=$H$9,F79&lt;=$I$9),$J$9,
IF(AND(F79&gt;=$H$10,F79&lt;=$I$10),$J$10,
IF(AND(F79&gt;=$H$11,F79&lt;=$I$11),$J$11))))))))))),
"")</f>
        <v/>
      </c>
    </row>
    <row r="80" spans="1:7" ht="18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23" t="str">
        <f>IF(NOT(ISBLANK(Curs!C84)),
IF(Curs!R84,"Eliberat",
ROUND(SUM(C80:E80),0)),
"")</f>
        <v/>
      </c>
      <c r="G80" s="22" t="str">
        <f>IF(NOT(ISBLANK(Curs!C84)),
IF(Curs!R84,Curs!R84,
IF(F80=0,"n/p",
IF(AND(F80&gt;=$H$3,F80&lt;=$I$3),$J$3,
IF(AND(F80&gt;=$H$4,F80&lt;=$I$4),$J$4,
IF(AND(F80&gt;=$H$5,F80&lt;=$I$5),$J$5,
IF(AND(F80&gt;=$H$6,F80&lt;=$I$6),$J$6,
IF(AND(F80&gt;=$H$7,F80&lt;=$I$7),$J$7,
IF(AND(F80&gt;=$H$8,F80&lt;=$I$8),$J$8,
IF(AND(F80&gt;=$H$9,F80&lt;=$I$9),$J$9,
IF(AND(F80&gt;=$H$10,F80&lt;=$I$10),$J$10,
IF(AND(F80&gt;=$H$11,F80&lt;=$I$11),$J$11))))))))))),
"")</f>
        <v/>
      </c>
    </row>
    <row r="81" spans="1:7" ht="18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23" t="str">
        <f>IF(NOT(ISBLANK(Curs!C85)),
IF(Curs!R85,"Eliberat",
ROUND(SUM(C81:E81),0)),
"")</f>
        <v/>
      </c>
      <c r="G81" s="22" t="str">
        <f>IF(NOT(ISBLANK(Curs!C85)),
IF(Curs!R85,Curs!R85,
IF(F81=0,"n/p",
IF(AND(F81&gt;=$H$3,F81&lt;=$I$3),$J$3,
IF(AND(F81&gt;=$H$4,F81&lt;=$I$4),$J$4,
IF(AND(F81&gt;=$H$5,F81&lt;=$I$5),$J$5,
IF(AND(F81&gt;=$H$6,F81&lt;=$I$6),$J$6,
IF(AND(F81&gt;=$H$7,F81&lt;=$I$7),$J$7,
IF(AND(F81&gt;=$H$8,F81&lt;=$I$8),$J$8,
IF(AND(F81&gt;=$H$9,F81&lt;=$I$9),$J$9,
IF(AND(F81&gt;=$H$10,F81&lt;=$I$10),$J$10,
IF(AND(F81&gt;=$H$11,F81&lt;=$I$11),$J$11))))))))))),
"")</f>
        <v/>
      </c>
    </row>
    <row r="82" spans="1:7" ht="18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23" t="str">
        <f>IF(NOT(ISBLANK(Curs!C86)),
IF(Curs!R86,"Eliberat",
ROUND(SUM(C82:E82),0)),
"")</f>
        <v/>
      </c>
      <c r="G82" s="22" t="str">
        <f>IF(NOT(ISBLANK(Curs!C86)),
IF(Curs!R86,Curs!R86,
IF(F82=0,"n/p",
IF(AND(F82&gt;=$H$3,F82&lt;=$I$3),$J$3,
IF(AND(F82&gt;=$H$4,F82&lt;=$I$4),$J$4,
IF(AND(F82&gt;=$H$5,F82&lt;=$I$5),$J$5,
IF(AND(F82&gt;=$H$6,F82&lt;=$I$6),$J$6,
IF(AND(F82&gt;=$H$7,F82&lt;=$I$7),$J$7,
IF(AND(F82&gt;=$H$8,F82&lt;=$I$8),$J$8,
IF(AND(F82&gt;=$H$9,F82&lt;=$I$9),$J$9,
IF(AND(F82&gt;=$H$10,F82&lt;=$I$10),$J$10,
IF(AND(F82&gt;=$H$11,F82&lt;=$I$11),$J$11))))))))))),
"")</f>
        <v/>
      </c>
    </row>
    <row r="83" spans="1:7" ht="18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23" t="str">
        <f>IF(NOT(ISBLANK(Curs!C87)),
IF(Curs!R87,"Eliberat",
ROUND(SUM(C83:E83),0)),
"")</f>
        <v/>
      </c>
      <c r="G83" s="22" t="str">
        <f>IF(NOT(ISBLANK(Curs!C87)),
IF(Curs!R87,Curs!R87,
IF(F83=0,"n/p",
IF(AND(F83&gt;=$H$3,F83&lt;=$I$3),$J$3,
IF(AND(F83&gt;=$H$4,F83&lt;=$I$4),$J$4,
IF(AND(F83&gt;=$H$5,F83&lt;=$I$5),$J$5,
IF(AND(F83&gt;=$H$6,F83&lt;=$I$6),$J$6,
IF(AND(F83&gt;=$H$7,F83&lt;=$I$7),$J$7,
IF(AND(F83&gt;=$H$8,F83&lt;=$I$8),$J$8,
IF(AND(F83&gt;=$H$9,F83&lt;=$I$9),$J$9,
IF(AND(F83&gt;=$H$10,F83&lt;=$I$10),$J$10,
IF(AND(F83&gt;=$H$11,F83&lt;=$I$11),$J$11))))))))))),
"")</f>
        <v/>
      </c>
    </row>
    <row r="84" spans="1:7" ht="18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23" t="str">
        <f>IF(NOT(ISBLANK(Curs!C88)),
IF(Curs!R88,"Eliberat",
ROUND(SUM(C84:E84),0)),
"")</f>
        <v/>
      </c>
      <c r="G84" s="22" t="str">
        <f>IF(NOT(ISBLANK(Curs!C88)),
IF(Curs!R88,Curs!R88,
IF(F84=0,"n/p",
IF(AND(F84&gt;=$H$3,F84&lt;=$I$3),$J$3,
IF(AND(F84&gt;=$H$4,F84&lt;=$I$4),$J$4,
IF(AND(F84&gt;=$H$5,F84&lt;=$I$5),$J$5,
IF(AND(F84&gt;=$H$6,F84&lt;=$I$6),$J$6,
IF(AND(F84&gt;=$H$7,F84&lt;=$I$7),$J$7,
IF(AND(F84&gt;=$H$8,F84&lt;=$I$8),$J$8,
IF(AND(F84&gt;=$H$9,F84&lt;=$I$9),$J$9,
IF(AND(F84&gt;=$H$10,F84&lt;=$I$10),$J$10,
IF(AND(F84&gt;=$H$11,F84&lt;=$I$11),$J$11))))))))))),
"")</f>
        <v/>
      </c>
    </row>
    <row r="85" spans="1:7" ht="18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23" t="str">
        <f>IF(NOT(ISBLANK(Curs!C89)),
IF(Curs!R89,"Eliberat",
ROUND(SUM(C85:E85),0)),
"")</f>
        <v/>
      </c>
      <c r="G85" s="22" t="str">
        <f>IF(NOT(ISBLANK(Curs!C89)),
IF(Curs!R89,Curs!R89,
IF(F85=0,"n/p",
IF(AND(F85&gt;=$H$3,F85&lt;=$I$3),$J$3,
IF(AND(F85&gt;=$H$4,F85&lt;=$I$4),$J$4,
IF(AND(F85&gt;=$H$5,F85&lt;=$I$5),$J$5,
IF(AND(F85&gt;=$H$6,F85&lt;=$I$6),$J$6,
IF(AND(F85&gt;=$H$7,F85&lt;=$I$7),$J$7,
IF(AND(F85&gt;=$H$8,F85&lt;=$I$8),$J$8,
IF(AND(F85&gt;=$H$9,F85&lt;=$I$9),$J$9,
IF(AND(F85&gt;=$H$10,F85&lt;=$I$10),$J$10,
IF(AND(F85&gt;=$H$11,F85&lt;=$I$11),$J$11))))))))))),
"")</f>
        <v/>
      </c>
    </row>
    <row r="86" spans="1:7" ht="18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23" t="str">
        <f>IF(NOT(ISBLANK(Curs!C90)),
IF(Curs!R90,"Eliberat",
ROUND(SUM(C86:E86),0)),
"")</f>
        <v/>
      </c>
      <c r="G86" s="22" t="str">
        <f>IF(NOT(ISBLANK(Curs!C90)),
IF(Curs!R90,Curs!R90,
IF(F86=0,"n/p",
IF(AND(F86&gt;=$H$3,F86&lt;=$I$3),$J$3,
IF(AND(F86&gt;=$H$4,F86&lt;=$I$4),$J$4,
IF(AND(F86&gt;=$H$5,F86&lt;=$I$5),$J$5,
IF(AND(F86&gt;=$H$6,F86&lt;=$I$6),$J$6,
IF(AND(F86&gt;=$H$7,F86&lt;=$I$7),$J$7,
IF(AND(F86&gt;=$H$8,F86&lt;=$I$8),$J$8,
IF(AND(F86&gt;=$H$9,F86&lt;=$I$9),$J$9,
IF(AND(F86&gt;=$H$10,F86&lt;=$I$10),$J$10,
IF(AND(F86&gt;=$H$11,F86&lt;=$I$11),$J$11))))))))))),
"")</f>
        <v/>
      </c>
    </row>
    <row r="87" spans="1:7" ht="18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23" t="str">
        <f>IF(NOT(ISBLANK(Curs!C91)),
IF(Curs!R91,"Eliberat",
ROUND(SUM(C87:E87),0)),
"")</f>
        <v/>
      </c>
      <c r="G87" s="22" t="str">
        <f>IF(NOT(ISBLANK(Curs!C91)),
IF(Curs!R91,Curs!R91,
IF(F87=0,"n/p",
IF(AND(F87&gt;=$H$3,F87&lt;=$I$3),$J$3,
IF(AND(F87&gt;=$H$4,F87&lt;=$I$4),$J$4,
IF(AND(F87&gt;=$H$5,F87&lt;=$I$5),$J$5,
IF(AND(F87&gt;=$H$6,F87&lt;=$I$6),$J$6,
IF(AND(F87&gt;=$H$7,F87&lt;=$I$7),$J$7,
IF(AND(F87&gt;=$H$8,F87&lt;=$I$8),$J$8,
IF(AND(F87&gt;=$H$9,F87&lt;=$I$9),$J$9,
IF(AND(F87&gt;=$H$10,F87&lt;=$I$10),$J$10,
IF(AND(F87&gt;=$H$11,F87&lt;=$I$11),$J$11))))))))))),
"")</f>
        <v/>
      </c>
    </row>
    <row r="88" spans="1:7" ht="18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23" t="str">
        <f>IF(NOT(ISBLANK(Curs!C92)),
IF(Curs!R92,"Eliberat",
ROUND(SUM(C88:E88),0)),
"")</f>
        <v/>
      </c>
      <c r="G88" s="22" t="str">
        <f>IF(NOT(ISBLANK(Curs!C92)),
IF(Curs!R92,Curs!R92,
IF(F88=0,"n/p",
IF(AND(F88&gt;=$H$3,F88&lt;=$I$3),$J$3,
IF(AND(F88&gt;=$H$4,F88&lt;=$I$4),$J$4,
IF(AND(F88&gt;=$H$5,F88&lt;=$I$5),$J$5,
IF(AND(F88&gt;=$H$6,F88&lt;=$I$6),$J$6,
IF(AND(F88&gt;=$H$7,F88&lt;=$I$7),$J$7,
IF(AND(F88&gt;=$H$8,F88&lt;=$I$8),$J$8,
IF(AND(F88&gt;=$H$9,F88&lt;=$I$9),$J$9,
IF(AND(F88&gt;=$H$10,F88&lt;=$I$10),$J$10,
IF(AND(F88&gt;=$H$11,F88&lt;=$I$11),$J$11))))))))))),
"")</f>
        <v/>
      </c>
    </row>
    <row r="89" spans="1:7" ht="18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23" t="str">
        <f>IF(NOT(ISBLANK(Curs!C93)),
IF(Curs!R93,"Eliberat",
ROUND(SUM(C89:E89),0)),
"")</f>
        <v/>
      </c>
      <c r="G89" s="22" t="str">
        <f>IF(NOT(ISBLANK(Curs!C93)),
IF(Curs!R93,Curs!R93,
IF(F89=0,"n/p",
IF(AND(F89&gt;=$H$3,F89&lt;=$I$3),$J$3,
IF(AND(F89&gt;=$H$4,F89&lt;=$I$4),$J$4,
IF(AND(F89&gt;=$H$5,F89&lt;=$I$5),$J$5,
IF(AND(F89&gt;=$H$6,F89&lt;=$I$6),$J$6,
IF(AND(F89&gt;=$H$7,F89&lt;=$I$7),$J$7,
IF(AND(F89&gt;=$H$8,F89&lt;=$I$8),$J$8,
IF(AND(F89&gt;=$H$9,F89&lt;=$I$9),$J$9,
IF(AND(F89&gt;=$H$10,F89&lt;=$I$10),$J$10,
IF(AND(F89&gt;=$H$11,F89&lt;=$I$11),$J$11))))))))))),
"")</f>
        <v/>
      </c>
    </row>
    <row r="90" spans="1:7" ht="18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23" t="str">
        <f>IF(NOT(ISBLANK(Curs!C94)),
IF(Curs!R94,"Eliberat",
ROUND(SUM(C90:E90),0)),
"")</f>
        <v/>
      </c>
      <c r="G90" s="22" t="str">
        <f>IF(NOT(ISBLANK(Curs!C94)),
IF(Curs!R94,Curs!R94,
IF(F90=0,"n/p",
IF(AND(F90&gt;=$H$3,F90&lt;=$I$3),$J$3,
IF(AND(F90&gt;=$H$4,F90&lt;=$I$4),$J$4,
IF(AND(F90&gt;=$H$5,F90&lt;=$I$5),$J$5,
IF(AND(F90&gt;=$H$6,F90&lt;=$I$6),$J$6,
IF(AND(F90&gt;=$H$7,F90&lt;=$I$7),$J$7,
IF(AND(F90&gt;=$H$8,F90&lt;=$I$8),$J$8,
IF(AND(F90&gt;=$H$9,F90&lt;=$I$9),$J$9,
IF(AND(F90&gt;=$H$10,F90&lt;=$I$10),$J$10,
IF(AND(F90&gt;=$H$11,F90&lt;=$I$11),$J$11))))))))))),
"")</f>
        <v/>
      </c>
    </row>
    <row r="91" spans="1:7" ht="18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23" t="str">
        <f>IF(NOT(ISBLANK(Curs!C95)),
IF(Curs!R95,"Eliberat",
ROUND(SUM(C91:E91),0)),
"")</f>
        <v/>
      </c>
      <c r="G91" s="22" t="str">
        <f>IF(NOT(ISBLANK(Curs!C95)),
IF(Curs!R95,Curs!R95,
IF(F91=0,"n/p",
IF(AND(F91&gt;=$H$3,F91&lt;=$I$3),$J$3,
IF(AND(F91&gt;=$H$4,F91&lt;=$I$4),$J$4,
IF(AND(F91&gt;=$H$5,F91&lt;=$I$5),$J$5,
IF(AND(F91&gt;=$H$6,F91&lt;=$I$6),$J$6,
IF(AND(F91&gt;=$H$7,F91&lt;=$I$7),$J$7,
IF(AND(F91&gt;=$H$8,F91&lt;=$I$8),$J$8,
IF(AND(F91&gt;=$H$9,F91&lt;=$I$9),$J$9,
IF(AND(F91&gt;=$H$10,F91&lt;=$I$10),$J$10,
IF(AND(F91&gt;=$H$11,F91&lt;=$I$11),$J$11))))))))))),
"")</f>
        <v/>
      </c>
    </row>
    <row r="92" spans="1:7" ht="18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23" t="str">
        <f>IF(NOT(ISBLANK(Curs!C96)),
IF(Curs!R96,"Eliberat",
ROUND(SUM(C92:E92),0)),
"")</f>
        <v/>
      </c>
      <c r="G92" s="22" t="str">
        <f>IF(NOT(ISBLANK(Curs!C96)),
IF(Curs!R96,Curs!R96,
IF(F92=0,"n/p",
IF(AND(F92&gt;=$H$3,F92&lt;=$I$3),$J$3,
IF(AND(F92&gt;=$H$4,F92&lt;=$I$4),$J$4,
IF(AND(F92&gt;=$H$5,F92&lt;=$I$5),$J$5,
IF(AND(F92&gt;=$H$6,F92&lt;=$I$6),$J$6,
IF(AND(F92&gt;=$H$7,F92&lt;=$I$7),$J$7,
IF(AND(F92&gt;=$H$8,F92&lt;=$I$8),$J$8,
IF(AND(F92&gt;=$H$9,F92&lt;=$I$9),$J$9,
IF(AND(F92&gt;=$H$10,F92&lt;=$I$10),$J$10,
IF(AND(F92&gt;=$H$11,F92&lt;=$I$11),$J$11))))))))))),
"")</f>
        <v/>
      </c>
    </row>
    <row r="93" spans="1:7" ht="18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23" t="str">
        <f>IF(NOT(ISBLANK(Curs!C97)),
IF(Curs!R97,"Eliberat",
ROUND(SUM(C93:E93),0)),
"")</f>
        <v/>
      </c>
      <c r="G93" s="22" t="str">
        <f>IF(NOT(ISBLANK(Curs!C97)),
IF(Curs!R97,Curs!R97,
IF(F93=0,"n/p",
IF(AND(F93&gt;=$H$3,F93&lt;=$I$3),$J$3,
IF(AND(F93&gt;=$H$4,F93&lt;=$I$4),$J$4,
IF(AND(F93&gt;=$H$5,F93&lt;=$I$5),$J$5,
IF(AND(F93&gt;=$H$6,F93&lt;=$I$6),$J$6,
IF(AND(F93&gt;=$H$7,F93&lt;=$I$7),$J$7,
IF(AND(F93&gt;=$H$8,F93&lt;=$I$8),$J$8,
IF(AND(F93&gt;=$H$9,F93&lt;=$I$9),$J$9,
IF(AND(F93&gt;=$H$10,F93&lt;=$I$10),$J$10,
IF(AND(F93&gt;=$H$11,F93&lt;=$I$11),$J$11))))))))))),
"")</f>
        <v/>
      </c>
    </row>
    <row r="94" spans="1:7" ht="18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23" t="str">
        <f>IF(NOT(ISBLANK(Curs!C98)),
IF(Curs!R98,"Eliberat",
ROUND(SUM(C94:E94),0)),
"")</f>
        <v/>
      </c>
      <c r="G94" s="22" t="str">
        <f>IF(NOT(ISBLANK(Curs!C98)),
IF(Curs!R98,Curs!R98,
IF(F94=0,"n/p",
IF(AND(F94&gt;=$H$3,F94&lt;=$I$3),$J$3,
IF(AND(F94&gt;=$H$4,F94&lt;=$I$4),$J$4,
IF(AND(F94&gt;=$H$5,F94&lt;=$I$5),$J$5,
IF(AND(F94&gt;=$H$6,F94&lt;=$I$6),$J$6,
IF(AND(F94&gt;=$H$7,F94&lt;=$I$7),$J$7,
IF(AND(F94&gt;=$H$8,F94&lt;=$I$8),$J$8,
IF(AND(F94&gt;=$H$9,F94&lt;=$I$9),$J$9,
IF(AND(F94&gt;=$H$10,F94&lt;=$I$10),$J$10,
IF(AND(F94&gt;=$H$11,F94&lt;=$I$11),$J$11))))))))))),
"")</f>
        <v/>
      </c>
    </row>
    <row r="95" spans="1:7" ht="18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23" t="str">
        <f>IF(NOT(ISBLANK(Curs!C99)),
IF(Curs!R99,"Eliberat",
ROUND(SUM(C95:E95),0)),
"")</f>
        <v/>
      </c>
      <c r="G95" s="22" t="str">
        <f>IF(NOT(ISBLANK(Curs!C99)),
IF(Curs!R99,Curs!R99,
IF(F95=0,"n/p",
IF(AND(F95&gt;=$H$3,F95&lt;=$I$3),$J$3,
IF(AND(F95&gt;=$H$4,F95&lt;=$I$4),$J$4,
IF(AND(F95&gt;=$H$5,F95&lt;=$I$5),$J$5,
IF(AND(F95&gt;=$H$6,F95&lt;=$I$6),$J$6,
IF(AND(F95&gt;=$H$7,F95&lt;=$I$7),$J$7,
IF(AND(F95&gt;=$H$8,F95&lt;=$I$8),$J$8,
IF(AND(F95&gt;=$H$9,F95&lt;=$I$9),$J$9,
IF(AND(F95&gt;=$H$10,F95&lt;=$I$10),$J$10,
IF(AND(F95&gt;=$H$11,F95&lt;=$I$11),$J$11))))))))))),
"")</f>
        <v/>
      </c>
    </row>
    <row r="96" spans="1:7" ht="18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23" t="str">
        <f>IF(NOT(ISBLANK(Curs!C100)),
IF(Curs!R100,"Eliberat",
ROUND(SUM(C96:E96),0)),
"")</f>
        <v/>
      </c>
      <c r="G96" s="22" t="str">
        <f>IF(NOT(ISBLANK(Curs!C100)),
IF(Curs!R100,Curs!R100,
IF(F96=0,"n/p",
IF(AND(F96&gt;=$H$3,F96&lt;=$I$3),$J$3,
IF(AND(F96&gt;=$H$4,F96&lt;=$I$4),$J$4,
IF(AND(F96&gt;=$H$5,F96&lt;=$I$5),$J$5,
IF(AND(F96&gt;=$H$6,F96&lt;=$I$6),$J$6,
IF(AND(F96&gt;=$H$7,F96&lt;=$I$7),$J$7,
IF(AND(F96&gt;=$H$8,F96&lt;=$I$8),$J$8,
IF(AND(F96&gt;=$H$9,F96&lt;=$I$9),$J$9,
IF(AND(F96&gt;=$H$10,F96&lt;=$I$10),$J$10,
IF(AND(F96&gt;=$H$11,F96&lt;=$I$11),$J$11))))))))))),
"")</f>
        <v/>
      </c>
    </row>
    <row r="97" spans="1:7" ht="18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23" t="str">
        <f>IF(NOT(ISBLANK(Curs!C101)),
IF(Curs!R101,"Eliberat",
ROUND(SUM(C97:E97),0)),
"")</f>
        <v/>
      </c>
      <c r="G97" s="22" t="str">
        <f>IF(NOT(ISBLANK(Curs!C101)),
IF(Curs!R101,Curs!R101,
IF(F97=0,"n/p",
IF(AND(F97&gt;=$H$3,F97&lt;=$I$3),$J$3,
IF(AND(F97&gt;=$H$4,F97&lt;=$I$4),$J$4,
IF(AND(F97&gt;=$H$5,F97&lt;=$I$5),$J$5,
IF(AND(F97&gt;=$H$6,F97&lt;=$I$6),$J$6,
IF(AND(F97&gt;=$H$7,F97&lt;=$I$7),$J$7,
IF(AND(F97&gt;=$H$8,F97&lt;=$I$8),$J$8,
IF(AND(F97&gt;=$H$9,F97&lt;=$I$9),$J$9,
IF(AND(F97&gt;=$H$10,F97&lt;=$I$10),$J$10,
IF(AND(F97&gt;=$H$11,F97&lt;=$I$11),$J$11))))))))))),
"")</f>
        <v/>
      </c>
    </row>
    <row r="98" spans="1:7" ht="18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23" t="str">
        <f>IF(NOT(ISBLANK(Curs!C102)),
IF(Curs!R102,"Eliberat",
ROUND(SUM(C98:E98),0)),
"")</f>
        <v/>
      </c>
      <c r="G98" s="22" t="str">
        <f>IF(NOT(ISBLANK(Curs!C102)),
IF(Curs!R102,Curs!R102,
IF(F98=0,"n/p",
IF(AND(F98&gt;=$H$3,F98&lt;=$I$3),$J$3,
IF(AND(F98&gt;=$H$4,F98&lt;=$I$4),$J$4,
IF(AND(F98&gt;=$H$5,F98&lt;=$I$5),$J$5,
IF(AND(F98&gt;=$H$6,F98&lt;=$I$6),$J$6,
IF(AND(F98&gt;=$H$7,F98&lt;=$I$7),$J$7,
IF(AND(F98&gt;=$H$8,F98&lt;=$I$8),$J$8,
IF(AND(F98&gt;=$H$9,F98&lt;=$I$9),$J$9,
IF(AND(F98&gt;=$H$10,F98&lt;=$I$10),$J$10,
IF(AND(F98&gt;=$H$11,F98&lt;=$I$11),$J$11))))))))))),
"")</f>
        <v/>
      </c>
    </row>
    <row r="99" spans="1:7" ht="18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23" t="str">
        <f>IF(NOT(ISBLANK(Curs!C103)),
IF(Curs!R103,"Eliberat",
ROUND(SUM(C99:E99),0)),
"")</f>
        <v/>
      </c>
      <c r="G99" s="22" t="str">
        <f>IF(NOT(ISBLANK(Curs!C103)),
IF(Curs!R103,Curs!R103,
IF(F99=0,"n/p",
IF(AND(F99&gt;=$H$3,F99&lt;=$I$3),$J$3,
IF(AND(F99&gt;=$H$4,F99&lt;=$I$4),$J$4,
IF(AND(F99&gt;=$H$5,F99&lt;=$I$5),$J$5,
IF(AND(F99&gt;=$H$6,F99&lt;=$I$6),$J$6,
IF(AND(F99&gt;=$H$7,F99&lt;=$I$7),$J$7,
IF(AND(F99&gt;=$H$8,F99&lt;=$I$8),$J$8,
IF(AND(F99&gt;=$H$9,F99&lt;=$I$9),$J$9,
IF(AND(F99&gt;=$H$10,F99&lt;=$I$10),$J$10,
IF(AND(F99&gt;=$H$11,F99&lt;=$I$11),$J$11))))))))))),
"")</f>
        <v/>
      </c>
    </row>
    <row r="100" spans="1:7" ht="18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23" t="str">
        <f>IF(NOT(ISBLANK(Curs!C104)),
IF(Curs!R104,"Eliberat",
ROUND(SUM(C100:E100),0)),
"")</f>
        <v/>
      </c>
      <c r="G100" s="22" t="str">
        <f>IF(NOT(ISBLANK(Curs!C104)),
IF(Curs!R104,Curs!R104,
IF(F100=0,"n/p",
IF(AND(F100&gt;=$H$3,F100&lt;=$I$3),$J$3,
IF(AND(F100&gt;=$H$4,F100&lt;=$I$4),$J$4,
IF(AND(F100&gt;=$H$5,F100&lt;=$I$5),$J$5,
IF(AND(F100&gt;=$H$6,F100&lt;=$I$6),$J$6,
IF(AND(F100&gt;=$H$7,F100&lt;=$I$7),$J$7,
IF(AND(F100&gt;=$H$8,F100&lt;=$I$8),$J$8,
IF(AND(F100&gt;=$H$9,F100&lt;=$I$9),$J$9,
IF(AND(F100&gt;=$H$10,F100&lt;=$I$10),$J$10,
IF(AND(F100&gt;=$H$11,F100&lt;=$I$11),$J$11))))))))))),
"")</f>
        <v/>
      </c>
    </row>
    <row r="101" spans="1:7" ht="18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23" t="str">
        <f>IF(NOT(ISBLANK(Curs!C105)),
IF(Curs!R105,"Eliberat",
ROUND(SUM(C101:E101),0)),
"")</f>
        <v/>
      </c>
      <c r="G101" s="22" t="str">
        <f>IF(NOT(ISBLANK(Curs!C105)),
IF(Curs!R105,Curs!R105,
IF(F101=0,"n/p",
IF(AND(F101&gt;=$H$3,F101&lt;=$I$3),$J$3,
IF(AND(F101&gt;=$H$4,F101&lt;=$I$4),$J$4,
IF(AND(F101&gt;=$H$5,F101&lt;=$I$5),$J$5,
IF(AND(F101&gt;=$H$6,F101&lt;=$I$6),$J$6,
IF(AND(F101&gt;=$H$7,F101&lt;=$I$7),$J$7,
IF(AND(F101&gt;=$H$8,F101&lt;=$I$8),$J$8,
IF(AND(F101&gt;=$H$9,F101&lt;=$I$9),$J$9,
IF(AND(F101&gt;=$H$10,F101&lt;=$I$10),$J$10,
IF(AND(F101&gt;=$H$11,F101&lt;=$I$11),$J$11))))))))))),
"")</f>
        <v/>
      </c>
    </row>
  </sheetData>
  <mergeCells count="1">
    <mergeCell ref="K1:L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6"/>
  <sheetViews>
    <sheetView zoomScale="70" zoomScaleNormal="70" workbookViewId="0">
      <selection activeCell="T22" sqref="T22"/>
    </sheetView>
  </sheetViews>
  <sheetFormatPr defaultColWidth="9.109375" defaultRowHeight="15.6" x14ac:dyDescent="0.3"/>
  <cols>
    <col min="1" max="1" width="4.88671875" style="102" customWidth="1"/>
    <col min="2" max="2" width="31.109375" style="102" customWidth="1"/>
    <col min="3" max="30" width="4.33203125" style="102" customWidth="1"/>
    <col min="31" max="32" width="6.33203125" style="102" customWidth="1"/>
    <col min="33" max="33" width="12.109375" style="102" customWidth="1"/>
    <col min="34" max="34" width="9.109375" style="102"/>
    <col min="35" max="35" width="15" style="102" customWidth="1"/>
    <col min="36" max="36" width="120" style="102" customWidth="1"/>
    <col min="37" max="37" width="8" style="102" customWidth="1"/>
    <col min="38" max="38" width="19.6640625" style="102" customWidth="1"/>
    <col min="39" max="46" width="9.109375" style="102"/>
    <col min="47" max="47" width="9.109375" style="102" customWidth="1"/>
    <col min="48" max="16384" width="9.109375" style="102"/>
  </cols>
  <sheetData>
    <row r="1" spans="1:38" x14ac:dyDescent="0.3">
      <c r="AJ1" s="103" t="s">
        <v>84</v>
      </c>
    </row>
    <row r="2" spans="1:38" x14ac:dyDescent="0.3">
      <c r="AI2" s="102" t="s">
        <v>94</v>
      </c>
    </row>
    <row r="3" spans="1:38" x14ac:dyDescent="0.3">
      <c r="B3" s="103" t="s">
        <v>85</v>
      </c>
      <c r="AI3" s="102" t="s">
        <v>114</v>
      </c>
      <c r="AJ3" s="103"/>
    </row>
    <row r="4" spans="1:38" ht="18" x14ac:dyDescent="0.35">
      <c r="C4" s="172" t="str">
        <f>Curs!E3</f>
        <v>Curs</v>
      </c>
      <c r="D4" s="172"/>
      <c r="E4" s="172"/>
      <c r="F4" s="172"/>
      <c r="G4" s="172"/>
      <c r="H4" s="172"/>
      <c r="I4" s="129"/>
      <c r="J4" s="129"/>
      <c r="K4" s="172" t="s">
        <v>100</v>
      </c>
      <c r="L4" s="172"/>
      <c r="M4" s="172"/>
      <c r="N4" s="172"/>
      <c r="O4" s="172"/>
      <c r="P4" s="172"/>
      <c r="Q4" s="129"/>
      <c r="R4" s="129"/>
      <c r="AI4" s="102" t="s">
        <v>95</v>
      </c>
      <c r="AJ4" s="104"/>
    </row>
    <row r="5" spans="1:38" ht="15.6" customHeight="1" x14ac:dyDescent="0.3">
      <c r="A5" s="175" t="s">
        <v>86</v>
      </c>
      <c r="B5" s="175" t="s">
        <v>93</v>
      </c>
      <c r="C5" s="173" t="str">
        <f>IF(Curs!E5&lt;&gt;"",Curs!E5,"")</f>
        <v>30.01</v>
      </c>
      <c r="D5" s="173" t="str">
        <f>IF(Curs!F5&lt;&gt;"",Curs!F5,"")</f>
        <v>6.02</v>
      </c>
      <c r="E5" s="173" t="str">
        <f>IF(Curs!G5&lt;&gt;"",Curs!G5,"")</f>
        <v>13.02</v>
      </c>
      <c r="F5" s="173" t="str">
        <f>IF(Curs!H5&lt;&gt;"",Curs!H5,"")</f>
        <v>20.02</v>
      </c>
      <c r="G5" s="173" t="str">
        <f>IF(Curs!I5&lt;&gt;"",Curs!I5,"")</f>
        <v>27.02</v>
      </c>
      <c r="H5" s="173" t="str">
        <f>IF(Curs!J5&lt;&gt;"",Curs!J5,"")</f>
        <v>6.03</v>
      </c>
      <c r="I5" s="173"/>
      <c r="J5" s="173"/>
      <c r="K5" s="173" t="str">
        <f>Laborator!E6</f>
        <v>28.01</v>
      </c>
      <c r="L5" s="173" t="str">
        <f>Laborator!F6</f>
        <v>11.02/ 18.02</v>
      </c>
      <c r="M5" s="173" t="str">
        <f>Laborator!G6</f>
        <v>25.02/ 4.03</v>
      </c>
      <c r="N5" s="173" t="str">
        <f>Laborator!H6</f>
        <v>11.03/ 18.03</v>
      </c>
      <c r="O5" s="173" t="str">
        <f>Laborator!I6</f>
        <v>25.03/ 1.04</v>
      </c>
      <c r="P5" s="173" t="str">
        <f>Laborator!J6</f>
        <v>8.04/ 15.04</v>
      </c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8"/>
      <c r="AE5" s="180" t="s">
        <v>87</v>
      </c>
      <c r="AF5" s="180"/>
      <c r="AG5" s="180"/>
      <c r="AI5" s="176" t="s">
        <v>88</v>
      </c>
      <c r="AJ5" s="176" t="s">
        <v>89</v>
      </c>
      <c r="AK5" s="176" t="s">
        <v>90</v>
      </c>
      <c r="AL5" s="176" t="s">
        <v>91</v>
      </c>
    </row>
    <row r="6" spans="1:38" ht="96.6" customHeight="1" x14ac:dyDescent="0.3">
      <c r="A6" s="175"/>
      <c r="B6" s="175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9"/>
      <c r="AE6" s="105" t="s">
        <v>9</v>
      </c>
      <c r="AF6" s="105" t="s">
        <v>10</v>
      </c>
      <c r="AG6" s="105" t="s">
        <v>92</v>
      </c>
      <c r="AI6" s="177"/>
      <c r="AJ6" s="177"/>
      <c r="AK6" s="177"/>
      <c r="AL6" s="177"/>
    </row>
    <row r="7" spans="1:38" ht="19.95" customHeight="1" x14ac:dyDescent="0.3">
      <c r="A7" s="106">
        <f>Curs!B6</f>
        <v>1</v>
      </c>
      <c r="B7" s="107" t="str">
        <f>IF(NOT(ISBLANK(Curs!C6)),Curs!C6,"")</f>
        <v>Nume, Prenume</v>
      </c>
      <c r="C7" s="115" t="str">
        <f>IF(Curs!E6&lt;&gt;"a","",Curs!E6)</f>
        <v/>
      </c>
      <c r="D7" s="115" t="str">
        <f>IF(Curs!F6&lt;&gt;"a","",Curs!F6)</f>
        <v/>
      </c>
      <c r="E7" s="115" t="str">
        <f>IF(Curs!G6&lt;&gt;"a","",Curs!G6)</f>
        <v/>
      </c>
      <c r="F7" s="115" t="str">
        <f>IF(Curs!H6&lt;&gt;"a","",Curs!H6)</f>
        <v/>
      </c>
      <c r="G7" s="115" t="str">
        <f>IF(Curs!I6&lt;&gt;"a","",Curs!I6)</f>
        <v/>
      </c>
      <c r="H7" s="115" t="str">
        <f>IF(Curs!J6&lt;&gt;"a","",Curs!J6)</f>
        <v/>
      </c>
      <c r="I7" s="115"/>
      <c r="J7" s="115"/>
      <c r="K7" s="115" t="str">
        <f>IF(Laborator!E7&lt;&gt;"a","",Curs!#REF!)</f>
        <v/>
      </c>
      <c r="L7" s="115" t="str">
        <f>IF(Laborator!F7&lt;&gt;"a","",Curs!#REF!)</f>
        <v/>
      </c>
      <c r="M7" s="115" t="str">
        <f>IF(Laborator!G7&lt;&gt;"a","",Curs!#REF!)</f>
        <v/>
      </c>
      <c r="N7" s="115" t="str">
        <f>IF(Laborator!H7&lt;&gt;"a","",Curs!#REF!)</f>
        <v/>
      </c>
      <c r="O7" s="115" t="str">
        <f>IF(Laborator!I7&lt;&gt;"a","",Curs!#REF!)</f>
        <v/>
      </c>
      <c r="P7" s="115" t="str">
        <f>IF(Laborator!J7&lt;&gt;"a","",Curs!#REF!)</f>
        <v/>
      </c>
      <c r="Q7" s="115"/>
      <c r="R7" s="115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9"/>
      <c r="AF7" s="109"/>
      <c r="AG7" s="106"/>
      <c r="AI7" s="110" t="str">
        <f>C5</f>
        <v>30.01</v>
      </c>
      <c r="AJ7" s="111" t="s">
        <v>106</v>
      </c>
      <c r="AK7" s="112">
        <v>2</v>
      </c>
      <c r="AL7" s="112"/>
    </row>
    <row r="8" spans="1:38" ht="19.95" customHeight="1" x14ac:dyDescent="0.3">
      <c r="A8" s="106" t="str">
        <f>Curs!B7</f>
        <v/>
      </c>
      <c r="B8" s="107" t="str">
        <f>IF(NOT(ISBLANK(Curs!C7)),Curs!C7,"")</f>
        <v/>
      </c>
      <c r="C8" s="115" t="str">
        <f>IF(Curs!E7&lt;&gt;"a","",Curs!E7)</f>
        <v/>
      </c>
      <c r="D8" s="115" t="str">
        <f>IF(Curs!F7&lt;&gt;"a","",Curs!F7)</f>
        <v/>
      </c>
      <c r="E8" s="115" t="str">
        <f>IF(Curs!G7&lt;&gt;"a","",Curs!G7)</f>
        <v/>
      </c>
      <c r="F8" s="115" t="str">
        <f>IF(Curs!H7&lt;&gt;"a","",Curs!H7)</f>
        <v/>
      </c>
      <c r="G8" s="115" t="str">
        <f>IF(Curs!I7&lt;&gt;"a","",Curs!I7)</f>
        <v/>
      </c>
      <c r="H8" s="115" t="str">
        <f>IF(Curs!J7&lt;&gt;"a","",Curs!J7)</f>
        <v/>
      </c>
      <c r="I8" s="115"/>
      <c r="J8" s="115"/>
      <c r="K8" s="115" t="str">
        <f>IF(Laborator!E8&lt;&gt;"a","",Curs!#REF!)</f>
        <v/>
      </c>
      <c r="L8" s="115" t="str">
        <f>IF(Laborator!F8&lt;&gt;"a","",Curs!#REF!)</f>
        <v/>
      </c>
      <c r="M8" s="115" t="str">
        <f>IF(Laborator!G8&lt;&gt;"a","",Curs!#REF!)</f>
        <v/>
      </c>
      <c r="N8" s="115" t="str">
        <f>IF(Laborator!H8&lt;&gt;"a","",Curs!#REF!)</f>
        <v/>
      </c>
      <c r="O8" s="115" t="str">
        <f>IF(Laborator!I8&lt;&gt;"a","",Curs!#REF!)</f>
        <v/>
      </c>
      <c r="P8" s="115" t="str">
        <f>IF(Laborator!J8&lt;&gt;"a","",Curs!#REF!)</f>
        <v/>
      </c>
      <c r="Q8" s="115"/>
      <c r="R8" s="115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9"/>
      <c r="AF8" s="109"/>
      <c r="AG8" s="106"/>
      <c r="AI8" s="110" t="str">
        <f>D5</f>
        <v>6.02</v>
      </c>
      <c r="AJ8" s="111" t="s">
        <v>107</v>
      </c>
      <c r="AK8" s="112"/>
      <c r="AL8" s="112"/>
    </row>
    <row r="9" spans="1:38" ht="19.95" customHeight="1" x14ac:dyDescent="0.3">
      <c r="A9" s="106" t="str">
        <f>Curs!B8</f>
        <v/>
      </c>
      <c r="B9" s="107" t="str">
        <f>IF(NOT(ISBLANK(Curs!C8)),Curs!C8,"")</f>
        <v/>
      </c>
      <c r="C9" s="115" t="str">
        <f>IF(Curs!E8&lt;&gt;"a","",Curs!E8)</f>
        <v/>
      </c>
      <c r="D9" s="115" t="str">
        <f>IF(Curs!F8&lt;&gt;"a","",Curs!F8)</f>
        <v/>
      </c>
      <c r="E9" s="115" t="str">
        <f>IF(Curs!G8&lt;&gt;"a","",Curs!G8)</f>
        <v/>
      </c>
      <c r="F9" s="115" t="str">
        <f>IF(Curs!H8&lt;&gt;"a","",Curs!H8)</f>
        <v/>
      </c>
      <c r="G9" s="115" t="str">
        <f>IF(Curs!I8&lt;&gt;"a","",Curs!I8)</f>
        <v/>
      </c>
      <c r="H9" s="115" t="str">
        <f>IF(Curs!J8&lt;&gt;"a","",Curs!J8)</f>
        <v/>
      </c>
      <c r="I9" s="115"/>
      <c r="J9" s="115"/>
      <c r="K9" s="115" t="str">
        <f>IF(Laborator!E9&lt;&gt;"a","",Curs!#REF!)</f>
        <v/>
      </c>
      <c r="L9" s="115" t="str">
        <f>IF(Laborator!F9&lt;&gt;"a","",Curs!#REF!)</f>
        <v/>
      </c>
      <c r="M9" s="115" t="str">
        <f>IF(Laborator!G9&lt;&gt;"a","",Curs!#REF!)</f>
        <v/>
      </c>
      <c r="N9" s="115" t="str">
        <f>IF(Laborator!H9&lt;&gt;"a","",Curs!#REF!)</f>
        <v/>
      </c>
      <c r="O9" s="115" t="str">
        <f>IF(Laborator!I9&lt;&gt;"a","",Curs!#REF!)</f>
        <v/>
      </c>
      <c r="P9" s="115" t="str">
        <f>IF(Laborator!J9&lt;&gt;"a","",Curs!#REF!)</f>
        <v/>
      </c>
      <c r="Q9" s="115"/>
      <c r="R9" s="115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9"/>
      <c r="AF9" s="109"/>
      <c r="AG9" s="106"/>
      <c r="AI9" s="110" t="str">
        <f>E5</f>
        <v>13.02</v>
      </c>
      <c r="AJ9" s="111" t="s">
        <v>108</v>
      </c>
      <c r="AK9" s="112"/>
      <c r="AL9" s="112"/>
    </row>
    <row r="10" spans="1:38" ht="19.95" customHeight="1" x14ac:dyDescent="0.3">
      <c r="A10" s="106" t="str">
        <f>Curs!B9</f>
        <v/>
      </c>
      <c r="B10" s="107" t="str">
        <f>IF(NOT(ISBLANK(Curs!C9)),Curs!C9,"")</f>
        <v/>
      </c>
      <c r="C10" s="115" t="str">
        <f>IF(Curs!E9&lt;&gt;"a","",Curs!E9)</f>
        <v/>
      </c>
      <c r="D10" s="115" t="str">
        <f>IF(Curs!F9&lt;&gt;"a","",Curs!F9)</f>
        <v/>
      </c>
      <c r="E10" s="115" t="str">
        <f>IF(Curs!G9&lt;&gt;"a","",Curs!G9)</f>
        <v/>
      </c>
      <c r="F10" s="115" t="str">
        <f>IF(Curs!H9&lt;&gt;"a","",Curs!H9)</f>
        <v/>
      </c>
      <c r="G10" s="115" t="str">
        <f>IF(Curs!I9&lt;&gt;"a","",Curs!I9)</f>
        <v/>
      </c>
      <c r="H10" s="115" t="str">
        <f>IF(Curs!J9&lt;&gt;"a","",Curs!J9)</f>
        <v/>
      </c>
      <c r="I10" s="115"/>
      <c r="J10" s="115"/>
      <c r="K10" s="115" t="str">
        <f>IF(Laborator!E10&lt;&gt;"a","",Curs!#REF!)</f>
        <v/>
      </c>
      <c r="L10" s="115" t="str">
        <f>IF(Laborator!F10&lt;&gt;"a","",Curs!#REF!)</f>
        <v/>
      </c>
      <c r="M10" s="115" t="str">
        <f>IF(Laborator!G10&lt;&gt;"a","",Curs!#REF!)</f>
        <v/>
      </c>
      <c r="N10" s="115" t="str">
        <f>IF(Laborator!H10&lt;&gt;"a","",Curs!#REF!)</f>
        <v/>
      </c>
      <c r="O10" s="115" t="str">
        <f>IF(Laborator!I10&lt;&gt;"a","",Curs!#REF!)</f>
        <v/>
      </c>
      <c r="P10" s="115" t="str">
        <f>IF(Laborator!J10&lt;&gt;"a","",Curs!#REF!)</f>
        <v/>
      </c>
      <c r="Q10" s="115"/>
      <c r="R10" s="115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9"/>
      <c r="AF10" s="109"/>
      <c r="AG10" s="106"/>
      <c r="AI10" s="110" t="str">
        <f>F5</f>
        <v>20.02</v>
      </c>
      <c r="AJ10" s="111" t="s">
        <v>109</v>
      </c>
      <c r="AK10" s="112"/>
      <c r="AL10" s="112"/>
    </row>
    <row r="11" spans="1:38" ht="19.95" customHeight="1" x14ac:dyDescent="0.3">
      <c r="A11" s="106" t="str">
        <f>Curs!B10</f>
        <v/>
      </c>
      <c r="B11" s="107" t="str">
        <f>IF(NOT(ISBLANK(Curs!C10)),Curs!C10,"")</f>
        <v/>
      </c>
      <c r="C11" s="115" t="str">
        <f>IF(Curs!E10&lt;&gt;"a","",Curs!E10)</f>
        <v/>
      </c>
      <c r="D11" s="115" t="str">
        <f>IF(Curs!F10&lt;&gt;"a","",Curs!F10)</f>
        <v/>
      </c>
      <c r="E11" s="115" t="str">
        <f>IF(Curs!G10&lt;&gt;"a","",Curs!G10)</f>
        <v/>
      </c>
      <c r="F11" s="115" t="str">
        <f>IF(Curs!H10&lt;&gt;"a","",Curs!H10)</f>
        <v/>
      </c>
      <c r="G11" s="115" t="str">
        <f>IF(Curs!I10&lt;&gt;"a","",Curs!I10)</f>
        <v/>
      </c>
      <c r="H11" s="115" t="str">
        <f>IF(Curs!J10&lt;&gt;"a","",Curs!J10)</f>
        <v/>
      </c>
      <c r="I11" s="115"/>
      <c r="J11" s="115"/>
      <c r="K11" s="115" t="str">
        <f>IF(Laborator!E11&lt;&gt;"a","",Curs!#REF!)</f>
        <v/>
      </c>
      <c r="L11" s="115" t="str">
        <f>IF(Laborator!F11&lt;&gt;"a","",Curs!#REF!)</f>
        <v/>
      </c>
      <c r="M11" s="115" t="str">
        <f>IF(Laborator!G11&lt;&gt;"a","",Curs!#REF!)</f>
        <v/>
      </c>
      <c r="N11" s="115" t="str">
        <f>IF(Laborator!H11&lt;&gt;"a","",Curs!#REF!)</f>
        <v/>
      </c>
      <c r="O11" s="115" t="str">
        <f>IF(Laborator!I11&lt;&gt;"a","",Curs!#REF!)</f>
        <v/>
      </c>
      <c r="P11" s="115" t="str">
        <f>IF(Laborator!J11&lt;&gt;"a","",Curs!#REF!)</f>
        <v/>
      </c>
      <c r="Q11" s="115"/>
      <c r="R11" s="115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9"/>
      <c r="AF11" s="109"/>
      <c r="AG11" s="106"/>
      <c r="AI11" s="110" t="str">
        <f>G5</f>
        <v>27.02</v>
      </c>
      <c r="AJ11" s="111" t="s">
        <v>110</v>
      </c>
      <c r="AK11" s="112"/>
      <c r="AL11" s="112"/>
    </row>
    <row r="12" spans="1:38" ht="19.95" customHeight="1" x14ac:dyDescent="0.3">
      <c r="A12" s="106" t="str">
        <f>Curs!B11</f>
        <v/>
      </c>
      <c r="B12" s="107" t="str">
        <f>IF(NOT(ISBLANK(Curs!C11)),Curs!C11,"")</f>
        <v/>
      </c>
      <c r="C12" s="115" t="str">
        <f>IF(Curs!E11&lt;&gt;"a","",Curs!E11)</f>
        <v/>
      </c>
      <c r="D12" s="115" t="str">
        <f>IF(Curs!F11&lt;&gt;"a","",Curs!F11)</f>
        <v/>
      </c>
      <c r="E12" s="115" t="str">
        <f>IF(Curs!G11&lt;&gt;"a","",Curs!G11)</f>
        <v/>
      </c>
      <c r="F12" s="115" t="str">
        <f>IF(Curs!H11&lt;&gt;"a","",Curs!H11)</f>
        <v/>
      </c>
      <c r="G12" s="115" t="str">
        <f>IF(Curs!I11&lt;&gt;"a","",Curs!I11)</f>
        <v/>
      </c>
      <c r="H12" s="115" t="str">
        <f>IF(Curs!J11&lt;&gt;"a","",Curs!J11)</f>
        <v/>
      </c>
      <c r="I12" s="115"/>
      <c r="J12" s="115"/>
      <c r="K12" s="115" t="str">
        <f>IF(Laborator!E12&lt;&gt;"a","",Curs!#REF!)</f>
        <v/>
      </c>
      <c r="L12" s="115" t="str">
        <f>IF(Laborator!F12&lt;&gt;"a","",Curs!#REF!)</f>
        <v/>
      </c>
      <c r="M12" s="115" t="str">
        <f>IF(Laborator!G12&lt;&gt;"a","",Curs!#REF!)</f>
        <v/>
      </c>
      <c r="N12" s="115" t="str">
        <f>IF(Laborator!H12&lt;&gt;"a","",Curs!#REF!)</f>
        <v/>
      </c>
      <c r="O12" s="115" t="str">
        <f>IF(Laborator!I12&lt;&gt;"a","",Curs!#REF!)</f>
        <v/>
      </c>
      <c r="P12" s="115" t="str">
        <f>IF(Laborator!J12&lt;&gt;"a","",Curs!#REF!)</f>
        <v/>
      </c>
      <c r="Q12" s="115"/>
      <c r="R12" s="115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9"/>
      <c r="AF12" s="109"/>
      <c r="AG12" s="106"/>
      <c r="AI12" s="110" t="str">
        <f>H5</f>
        <v>6.03</v>
      </c>
      <c r="AJ12" s="111" t="s">
        <v>111</v>
      </c>
      <c r="AK12" s="112"/>
      <c r="AL12" s="112"/>
    </row>
    <row r="13" spans="1:38" ht="19.95" customHeight="1" x14ac:dyDescent="0.3">
      <c r="A13" s="106" t="str">
        <f>Curs!B12</f>
        <v/>
      </c>
      <c r="B13" s="107" t="str">
        <f>IF(NOT(ISBLANK(Curs!C12)),Curs!C12,"")</f>
        <v/>
      </c>
      <c r="C13" s="115" t="str">
        <f>IF(Curs!E12&lt;&gt;"a","",Curs!E12)</f>
        <v/>
      </c>
      <c r="D13" s="115" t="str">
        <f>IF(Curs!F12&lt;&gt;"a","",Curs!F12)</f>
        <v/>
      </c>
      <c r="E13" s="115" t="str">
        <f>IF(Curs!G12&lt;&gt;"a","",Curs!G12)</f>
        <v/>
      </c>
      <c r="F13" s="115" t="str">
        <f>IF(Curs!H12&lt;&gt;"a","",Curs!H12)</f>
        <v/>
      </c>
      <c r="G13" s="115" t="str">
        <f>IF(Curs!I12&lt;&gt;"a","",Curs!I12)</f>
        <v/>
      </c>
      <c r="H13" s="115" t="str">
        <f>IF(Curs!J12&lt;&gt;"a","",Curs!J12)</f>
        <v/>
      </c>
      <c r="I13" s="115"/>
      <c r="J13" s="115"/>
      <c r="K13" s="115" t="str">
        <f>IF(Laborator!E13&lt;&gt;"a","",Curs!#REF!)</f>
        <v/>
      </c>
      <c r="L13" s="115" t="str">
        <f>IF(Laborator!F13&lt;&gt;"a","",Curs!#REF!)</f>
        <v/>
      </c>
      <c r="M13" s="115" t="str">
        <f>IF(Laborator!G13&lt;&gt;"a","",Curs!#REF!)</f>
        <v/>
      </c>
      <c r="N13" s="115" t="str">
        <f>IF(Laborator!H13&lt;&gt;"a","",Curs!#REF!)</f>
        <v/>
      </c>
      <c r="O13" s="115" t="str">
        <f>IF(Laborator!I13&lt;&gt;"a","",Curs!#REF!)</f>
        <v/>
      </c>
      <c r="P13" s="115" t="str">
        <f>IF(Laborator!J13&lt;&gt;"a","",Curs!#REF!)</f>
        <v/>
      </c>
      <c r="Q13" s="115"/>
      <c r="R13" s="115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9"/>
      <c r="AF13" s="109"/>
      <c r="AG13" s="106"/>
      <c r="AI13" s="110"/>
      <c r="AJ13" s="130" t="s">
        <v>112</v>
      </c>
      <c r="AK13" s="131">
        <v>12</v>
      </c>
      <c r="AL13" s="112"/>
    </row>
    <row r="14" spans="1:38" ht="19.95" customHeight="1" x14ac:dyDescent="0.3">
      <c r="A14" s="106" t="str">
        <f>Curs!B13</f>
        <v/>
      </c>
      <c r="B14" s="107" t="str">
        <f>IF(NOT(ISBLANK(Curs!C13)),Curs!C13,"")</f>
        <v/>
      </c>
      <c r="C14" s="115" t="str">
        <f>IF(Curs!E13&lt;&gt;"a","",Curs!E13)</f>
        <v/>
      </c>
      <c r="D14" s="115" t="str">
        <f>IF(Curs!F13&lt;&gt;"a","",Curs!F13)</f>
        <v/>
      </c>
      <c r="E14" s="115" t="str">
        <f>IF(Curs!G13&lt;&gt;"a","",Curs!G13)</f>
        <v/>
      </c>
      <c r="F14" s="115" t="str">
        <f>IF(Curs!H13&lt;&gt;"a","",Curs!H13)</f>
        <v/>
      </c>
      <c r="G14" s="115" t="str">
        <f>IF(Curs!I13&lt;&gt;"a","",Curs!I13)</f>
        <v/>
      </c>
      <c r="H14" s="115" t="str">
        <f>IF(Curs!J13&lt;&gt;"a","",Curs!J13)</f>
        <v/>
      </c>
      <c r="I14" s="115"/>
      <c r="J14" s="115"/>
      <c r="K14" s="115" t="str">
        <f>IF(Laborator!E14&lt;&gt;"a","",Curs!#REF!)</f>
        <v/>
      </c>
      <c r="L14" s="115" t="str">
        <f>IF(Laborator!F14&lt;&gt;"a","",Curs!#REF!)</f>
        <v/>
      </c>
      <c r="M14" s="115" t="str">
        <f>IF(Laborator!G14&lt;&gt;"a","",Curs!#REF!)</f>
        <v/>
      </c>
      <c r="N14" s="115" t="str">
        <f>IF(Laborator!H14&lt;&gt;"a","",Curs!#REF!)</f>
        <v/>
      </c>
      <c r="O14" s="115" t="str">
        <f>IF(Laborator!I14&lt;&gt;"a","",Curs!#REF!)</f>
        <v/>
      </c>
      <c r="P14" s="115" t="str">
        <f>IF(Laborator!J14&lt;&gt;"a","",Curs!#REF!)</f>
        <v/>
      </c>
      <c r="Q14" s="115"/>
      <c r="R14" s="115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9"/>
      <c r="AF14" s="109"/>
      <c r="AG14" s="106"/>
      <c r="AI14" s="112"/>
      <c r="AJ14" s="130" t="s">
        <v>113</v>
      </c>
      <c r="AK14" s="131">
        <f>SUM(AK7:AK12)</f>
        <v>2</v>
      </c>
      <c r="AL14" s="112"/>
    </row>
    <row r="15" spans="1:38" ht="19.95" customHeight="1" x14ac:dyDescent="0.3">
      <c r="A15" s="106" t="str">
        <f>Curs!B14</f>
        <v/>
      </c>
      <c r="B15" s="107" t="str">
        <f>IF(NOT(ISBLANK(Curs!C14)),Curs!C14,"")</f>
        <v/>
      </c>
      <c r="C15" s="115" t="str">
        <f>IF(Curs!E14&lt;&gt;"a","",Curs!E14)</f>
        <v/>
      </c>
      <c r="D15" s="115" t="str">
        <f>IF(Curs!F14&lt;&gt;"a","",Curs!F14)</f>
        <v/>
      </c>
      <c r="E15" s="115" t="str">
        <f>IF(Curs!G14&lt;&gt;"a","",Curs!G14)</f>
        <v/>
      </c>
      <c r="F15" s="115" t="str">
        <f>IF(Curs!H14&lt;&gt;"a","",Curs!H14)</f>
        <v/>
      </c>
      <c r="G15" s="115" t="str">
        <f>IF(Curs!I14&lt;&gt;"a","",Curs!I14)</f>
        <v/>
      </c>
      <c r="H15" s="115" t="str">
        <f>IF(Curs!J14&lt;&gt;"a","",Curs!J14)</f>
        <v/>
      </c>
      <c r="I15" s="115"/>
      <c r="J15" s="115"/>
      <c r="K15" s="115" t="str">
        <f>IF(Laborator!E15&lt;&gt;"a","",Curs!#REF!)</f>
        <v/>
      </c>
      <c r="L15" s="115" t="str">
        <f>IF(Laborator!F15&lt;&gt;"a","",Curs!#REF!)</f>
        <v/>
      </c>
      <c r="M15" s="115" t="str">
        <f>IF(Laborator!G15&lt;&gt;"a","",Curs!#REF!)</f>
        <v/>
      </c>
      <c r="N15" s="115" t="str">
        <f>IF(Laborator!H15&lt;&gt;"a","",Curs!#REF!)</f>
        <v/>
      </c>
      <c r="O15" s="115" t="str">
        <f>IF(Laborator!I15&lt;&gt;"a","",Curs!#REF!)</f>
        <v/>
      </c>
      <c r="P15" s="115" t="str">
        <f>IF(Laborator!J15&lt;&gt;"a","",Curs!#REF!)</f>
        <v/>
      </c>
      <c r="Q15" s="115"/>
      <c r="R15" s="115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9"/>
      <c r="AF15" s="109"/>
      <c r="AG15" s="106"/>
      <c r="AI15" s="112"/>
      <c r="AJ15" s="114"/>
      <c r="AK15" s="112"/>
      <c r="AL15" s="112"/>
    </row>
    <row r="16" spans="1:38" ht="19.95" customHeight="1" x14ac:dyDescent="0.3">
      <c r="A16" s="106" t="str">
        <f>Curs!B15</f>
        <v/>
      </c>
      <c r="B16" s="107" t="str">
        <f>IF(NOT(ISBLANK(Curs!C15)),Curs!C15,"")</f>
        <v/>
      </c>
      <c r="C16" s="115" t="str">
        <f>IF(Curs!E15&lt;&gt;"a","",Curs!E15)</f>
        <v/>
      </c>
      <c r="D16" s="115" t="str">
        <f>IF(Curs!F15&lt;&gt;"a","",Curs!F15)</f>
        <v/>
      </c>
      <c r="E16" s="115" t="str">
        <f>IF(Curs!G15&lt;&gt;"a","",Curs!G15)</f>
        <v/>
      </c>
      <c r="F16" s="115" t="str">
        <f>IF(Curs!H15&lt;&gt;"a","",Curs!H15)</f>
        <v/>
      </c>
      <c r="G16" s="115" t="str">
        <f>IF(Curs!I15&lt;&gt;"a","",Curs!I15)</f>
        <v/>
      </c>
      <c r="H16" s="115" t="str">
        <f>IF(Curs!J15&lt;&gt;"a","",Curs!J15)</f>
        <v/>
      </c>
      <c r="I16" s="115"/>
      <c r="J16" s="115"/>
      <c r="K16" s="115" t="str">
        <f>IF(Laborator!E16&lt;&gt;"a","",Curs!#REF!)</f>
        <v/>
      </c>
      <c r="L16" s="115" t="str">
        <f>IF(Laborator!F16&lt;&gt;"a","",Curs!#REF!)</f>
        <v/>
      </c>
      <c r="M16" s="115" t="str">
        <f>IF(Laborator!G16&lt;&gt;"a","",Curs!#REF!)</f>
        <v/>
      </c>
      <c r="N16" s="115" t="str">
        <f>IF(Laborator!H16&lt;&gt;"a","",Curs!#REF!)</f>
        <v/>
      </c>
      <c r="O16" s="115" t="str">
        <f>IF(Laborator!I16&lt;&gt;"a","",Curs!#REF!)</f>
        <v/>
      </c>
      <c r="P16" s="115" t="str">
        <f>IF(Laborator!J16&lt;&gt;"a","",Curs!#REF!)</f>
        <v/>
      </c>
      <c r="Q16" s="115"/>
      <c r="R16" s="115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9"/>
      <c r="AF16" s="109"/>
      <c r="AG16" s="106"/>
      <c r="AI16" s="110" t="str">
        <f>K5</f>
        <v>28.01</v>
      </c>
      <c r="AJ16" s="111" t="s">
        <v>96</v>
      </c>
      <c r="AK16" s="112"/>
      <c r="AL16" s="112"/>
    </row>
    <row r="17" spans="1:38" ht="19.95" customHeight="1" x14ac:dyDescent="0.3">
      <c r="A17" s="106" t="str">
        <f>Curs!B16</f>
        <v/>
      </c>
      <c r="B17" s="107" t="str">
        <f>IF(NOT(ISBLANK(Curs!C16)),Curs!C16,"")</f>
        <v/>
      </c>
      <c r="C17" s="115" t="str">
        <f>IF(Curs!E16&lt;&gt;"a","",Curs!E16)</f>
        <v/>
      </c>
      <c r="D17" s="115" t="str">
        <f>IF(Curs!F16&lt;&gt;"a","",Curs!F16)</f>
        <v/>
      </c>
      <c r="E17" s="115" t="str">
        <f>IF(Curs!G16&lt;&gt;"a","",Curs!G16)</f>
        <v/>
      </c>
      <c r="F17" s="115" t="str">
        <f>IF(Curs!H16&lt;&gt;"a","",Curs!H16)</f>
        <v/>
      </c>
      <c r="G17" s="115" t="str">
        <f>IF(Curs!I16&lt;&gt;"a","",Curs!I16)</f>
        <v/>
      </c>
      <c r="H17" s="115" t="str">
        <f>IF(Curs!J16&lt;&gt;"a","",Curs!J16)</f>
        <v/>
      </c>
      <c r="I17" s="115"/>
      <c r="J17" s="115"/>
      <c r="K17" s="115" t="str">
        <f>IF(Laborator!E17&lt;&gt;"a","",Curs!#REF!)</f>
        <v/>
      </c>
      <c r="L17" s="115" t="str">
        <f>IF(Laborator!F17&lt;&gt;"a","",Curs!#REF!)</f>
        <v/>
      </c>
      <c r="M17" s="115" t="str">
        <f>IF(Laborator!G17&lt;&gt;"a","",Curs!#REF!)</f>
        <v/>
      </c>
      <c r="N17" s="115" t="str">
        <f>IF(Laborator!H17&lt;&gt;"a","",Curs!#REF!)</f>
        <v/>
      </c>
      <c r="O17" s="115" t="str">
        <f>IF(Laborator!I17&lt;&gt;"a","",Curs!#REF!)</f>
        <v/>
      </c>
      <c r="P17" s="115" t="str">
        <f>IF(Laborator!J17&lt;&gt;"a","",Curs!#REF!)</f>
        <v/>
      </c>
      <c r="Q17" s="115"/>
      <c r="R17" s="115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9"/>
      <c r="AF17" s="109"/>
      <c r="AG17" s="106"/>
      <c r="AI17" s="110" t="str">
        <f>L5</f>
        <v>11.02/ 18.02</v>
      </c>
      <c r="AJ17" s="111" t="s">
        <v>97</v>
      </c>
      <c r="AK17" s="112"/>
      <c r="AL17" s="112"/>
    </row>
    <row r="18" spans="1:38" ht="19.95" customHeight="1" x14ac:dyDescent="0.3">
      <c r="A18" s="106" t="str">
        <f>Curs!B17</f>
        <v/>
      </c>
      <c r="B18" s="107" t="str">
        <f>IF(NOT(ISBLANK(Curs!C17)),Curs!C17,"")</f>
        <v/>
      </c>
      <c r="C18" s="115" t="str">
        <f>IF(Curs!E17&lt;&gt;"a","",Curs!E17)</f>
        <v/>
      </c>
      <c r="D18" s="115" t="str">
        <f>IF(Curs!F17&lt;&gt;"a","",Curs!F17)</f>
        <v/>
      </c>
      <c r="E18" s="115" t="str">
        <f>IF(Curs!G17&lt;&gt;"a","",Curs!G17)</f>
        <v/>
      </c>
      <c r="F18" s="115" t="str">
        <f>IF(Curs!H17&lt;&gt;"a","",Curs!H17)</f>
        <v/>
      </c>
      <c r="G18" s="115" t="str">
        <f>IF(Curs!I17&lt;&gt;"a","",Curs!I17)</f>
        <v/>
      </c>
      <c r="H18" s="115" t="str">
        <f>IF(Curs!J17&lt;&gt;"a","",Curs!J17)</f>
        <v/>
      </c>
      <c r="I18" s="115"/>
      <c r="J18" s="115"/>
      <c r="K18" s="115" t="str">
        <f>IF(Laborator!E18&lt;&gt;"a","",Curs!#REF!)</f>
        <v/>
      </c>
      <c r="L18" s="115" t="str">
        <f>IF(Laborator!F18&lt;&gt;"a","",Curs!#REF!)</f>
        <v/>
      </c>
      <c r="M18" s="115" t="str">
        <f>IF(Laborator!G18&lt;&gt;"a","",Curs!#REF!)</f>
        <v/>
      </c>
      <c r="N18" s="115" t="str">
        <f>IF(Laborator!H18&lt;&gt;"a","",Curs!#REF!)</f>
        <v/>
      </c>
      <c r="O18" s="115" t="str">
        <f>IF(Laborator!I18&lt;&gt;"a","",Curs!#REF!)</f>
        <v/>
      </c>
      <c r="P18" s="115" t="str">
        <f>IF(Laborator!J18&lt;&gt;"a","",Curs!#REF!)</f>
        <v/>
      </c>
      <c r="Q18" s="115"/>
      <c r="R18" s="115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9"/>
      <c r="AF18" s="109"/>
      <c r="AG18" s="106"/>
      <c r="AI18" s="110" t="str">
        <f>M5</f>
        <v>25.02/ 4.03</v>
      </c>
      <c r="AJ18" s="111" t="s">
        <v>98</v>
      </c>
      <c r="AK18" s="112"/>
      <c r="AL18" s="112"/>
    </row>
    <row r="19" spans="1:38" ht="19.95" customHeight="1" x14ac:dyDescent="0.3">
      <c r="A19" s="106" t="str">
        <f>Curs!B18</f>
        <v/>
      </c>
      <c r="B19" s="107" t="str">
        <f>IF(NOT(ISBLANK(Curs!C18)),Curs!C18,"")</f>
        <v/>
      </c>
      <c r="C19" s="115" t="str">
        <f>IF(Curs!E18&lt;&gt;"a","",Curs!E18)</f>
        <v/>
      </c>
      <c r="D19" s="115" t="str">
        <f>IF(Curs!F18&lt;&gt;"a","",Curs!F18)</f>
        <v/>
      </c>
      <c r="E19" s="115" t="str">
        <f>IF(Curs!G18&lt;&gt;"a","",Curs!G18)</f>
        <v/>
      </c>
      <c r="F19" s="115" t="str">
        <f>IF(Curs!H18&lt;&gt;"a","",Curs!H18)</f>
        <v/>
      </c>
      <c r="G19" s="115" t="str">
        <f>IF(Curs!I18&lt;&gt;"a","",Curs!I18)</f>
        <v/>
      </c>
      <c r="H19" s="115" t="str">
        <f>IF(Curs!J18&lt;&gt;"a","",Curs!J18)</f>
        <v/>
      </c>
      <c r="I19" s="115"/>
      <c r="J19" s="115"/>
      <c r="K19" s="115" t="str">
        <f>IF(Laborator!E19&lt;&gt;"a","",Curs!#REF!)</f>
        <v/>
      </c>
      <c r="L19" s="115" t="str">
        <f>IF(Laborator!F19&lt;&gt;"a","",Curs!#REF!)</f>
        <v/>
      </c>
      <c r="M19" s="115" t="str">
        <f>IF(Laborator!G19&lt;&gt;"a","",Curs!#REF!)</f>
        <v/>
      </c>
      <c r="N19" s="115" t="str">
        <f>IF(Laborator!H19&lt;&gt;"a","",Curs!#REF!)</f>
        <v/>
      </c>
      <c r="O19" s="115" t="str">
        <f>IF(Laborator!I19&lt;&gt;"a","",Curs!#REF!)</f>
        <v/>
      </c>
      <c r="P19" s="115" t="str">
        <f>IF(Laborator!J19&lt;&gt;"a","",Curs!#REF!)</f>
        <v/>
      </c>
      <c r="Q19" s="115"/>
      <c r="R19" s="115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9"/>
      <c r="AF19" s="109"/>
      <c r="AG19" s="106"/>
      <c r="AI19" s="110" t="str">
        <f>N5</f>
        <v>11.03/ 18.03</v>
      </c>
      <c r="AJ19" s="111" t="s">
        <v>99</v>
      </c>
      <c r="AK19" s="113"/>
      <c r="AL19" s="112"/>
    </row>
    <row r="20" spans="1:38" ht="19.95" customHeight="1" x14ac:dyDescent="0.3">
      <c r="A20" s="106" t="str">
        <f>Curs!B19</f>
        <v/>
      </c>
      <c r="B20" s="107" t="str">
        <f>IF(NOT(ISBLANK(Curs!C19)),Curs!C19,"")</f>
        <v/>
      </c>
      <c r="C20" s="115" t="str">
        <f>IF(Curs!E19&lt;&gt;"a","",Curs!E19)</f>
        <v/>
      </c>
      <c r="D20" s="115" t="str">
        <f>IF(Curs!F19&lt;&gt;"a","",Curs!F19)</f>
        <v/>
      </c>
      <c r="E20" s="115" t="str">
        <f>IF(Curs!G19&lt;&gt;"a","",Curs!G19)</f>
        <v/>
      </c>
      <c r="F20" s="115" t="str">
        <f>IF(Curs!H19&lt;&gt;"a","",Curs!H19)</f>
        <v/>
      </c>
      <c r="G20" s="115" t="str">
        <f>IF(Curs!I19&lt;&gt;"a","",Curs!I19)</f>
        <v/>
      </c>
      <c r="H20" s="115" t="str">
        <f>IF(Curs!J19&lt;&gt;"a","",Curs!J19)</f>
        <v/>
      </c>
      <c r="I20" s="115"/>
      <c r="J20" s="115"/>
      <c r="K20" s="115" t="str">
        <f>IF(Laborator!E20&lt;&gt;"a","",Curs!#REF!)</f>
        <v/>
      </c>
      <c r="L20" s="115" t="str">
        <f>IF(Laborator!F20&lt;&gt;"a","",Curs!#REF!)</f>
        <v/>
      </c>
      <c r="M20" s="115" t="str">
        <f>IF(Laborator!G20&lt;&gt;"a","",Curs!#REF!)</f>
        <v/>
      </c>
      <c r="N20" s="115" t="str">
        <f>IF(Laborator!H20&lt;&gt;"a","",Curs!#REF!)</f>
        <v/>
      </c>
      <c r="O20" s="115" t="str">
        <f>IF(Laborator!I20&lt;&gt;"a","",Curs!#REF!)</f>
        <v/>
      </c>
      <c r="P20" s="115" t="str">
        <f>IF(Laborator!J20&lt;&gt;"a","",Curs!#REF!)</f>
        <v/>
      </c>
      <c r="Q20" s="115"/>
      <c r="R20" s="115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9"/>
      <c r="AF20" s="109"/>
      <c r="AG20" s="106"/>
      <c r="AI20" s="110" t="str">
        <f>O5</f>
        <v>25.03/ 1.04</v>
      </c>
      <c r="AJ20" s="111" t="s">
        <v>102</v>
      </c>
      <c r="AK20" s="109"/>
      <c r="AL20" s="112"/>
    </row>
    <row r="21" spans="1:38" ht="19.95" customHeight="1" x14ac:dyDescent="0.3">
      <c r="A21" s="106" t="str">
        <f>Curs!B20</f>
        <v/>
      </c>
      <c r="B21" s="107" t="str">
        <f>IF(NOT(ISBLANK(Curs!C20)),Curs!C20,"")</f>
        <v/>
      </c>
      <c r="C21" s="115" t="str">
        <f>IF(Curs!E20&lt;&gt;"a","",Curs!E20)</f>
        <v/>
      </c>
      <c r="D21" s="115" t="str">
        <f>IF(Curs!F20&lt;&gt;"a","",Curs!F20)</f>
        <v/>
      </c>
      <c r="E21" s="115" t="str">
        <f>IF(Curs!G20&lt;&gt;"a","",Curs!G20)</f>
        <v/>
      </c>
      <c r="F21" s="115" t="str">
        <f>IF(Curs!H20&lt;&gt;"a","",Curs!H20)</f>
        <v/>
      </c>
      <c r="G21" s="115" t="str">
        <f>IF(Curs!I20&lt;&gt;"a","",Curs!I20)</f>
        <v/>
      </c>
      <c r="H21" s="115" t="str">
        <f>IF(Curs!J20&lt;&gt;"a","",Curs!J20)</f>
        <v/>
      </c>
      <c r="I21" s="115"/>
      <c r="J21" s="115"/>
      <c r="K21" s="115" t="str">
        <f>IF(Laborator!E21&lt;&gt;"a","",Curs!#REF!)</f>
        <v/>
      </c>
      <c r="L21" s="115" t="str">
        <f>IF(Laborator!F21&lt;&gt;"a","",Curs!#REF!)</f>
        <v/>
      </c>
      <c r="M21" s="115" t="str">
        <f>IF(Laborator!G21&lt;&gt;"a","",Curs!#REF!)</f>
        <v/>
      </c>
      <c r="N21" s="115" t="str">
        <f>IF(Laborator!H21&lt;&gt;"a","",Curs!#REF!)</f>
        <v/>
      </c>
      <c r="O21" s="115" t="str">
        <f>IF(Laborator!I21&lt;&gt;"a","",Curs!#REF!)</f>
        <v/>
      </c>
      <c r="P21" s="115" t="str">
        <f>IF(Laborator!J21&lt;&gt;"a","",Curs!#REF!)</f>
        <v/>
      </c>
      <c r="Q21" s="115"/>
      <c r="R21" s="115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9"/>
      <c r="AF21" s="109"/>
      <c r="AG21" s="106"/>
      <c r="AI21" s="110" t="str">
        <f>P5</f>
        <v>8.04/ 15.04</v>
      </c>
      <c r="AJ21" s="111" t="s">
        <v>103</v>
      </c>
      <c r="AK21" s="109"/>
      <c r="AL21" s="112"/>
    </row>
    <row r="22" spans="1:38" ht="19.95" customHeight="1" x14ac:dyDescent="0.3">
      <c r="A22" s="106" t="str">
        <f>Curs!B21</f>
        <v/>
      </c>
      <c r="B22" s="107" t="str">
        <f>IF(NOT(ISBLANK(Curs!C21)),Curs!C21,"")</f>
        <v/>
      </c>
      <c r="C22" s="115" t="str">
        <f>IF(Curs!E21&lt;&gt;"a","",Curs!E21)</f>
        <v/>
      </c>
      <c r="D22" s="115" t="str">
        <f>IF(Curs!F21&lt;&gt;"a","",Curs!F21)</f>
        <v/>
      </c>
      <c r="E22" s="115" t="str">
        <f>IF(Curs!G21&lt;&gt;"a","",Curs!G21)</f>
        <v/>
      </c>
      <c r="F22" s="115" t="str">
        <f>IF(Curs!H21&lt;&gt;"a","",Curs!H21)</f>
        <v/>
      </c>
      <c r="G22" s="115" t="str">
        <f>IF(Curs!I21&lt;&gt;"a","",Curs!I21)</f>
        <v/>
      </c>
      <c r="H22" s="115" t="str">
        <f>IF(Curs!J21&lt;&gt;"a","",Curs!J21)</f>
        <v/>
      </c>
      <c r="I22" s="115"/>
      <c r="J22" s="115"/>
      <c r="K22" s="115" t="str">
        <f>IF(Laborator!E22&lt;&gt;"a","",Curs!#REF!)</f>
        <v/>
      </c>
      <c r="L22" s="115" t="str">
        <f>IF(Laborator!F22&lt;&gt;"a","",Curs!#REF!)</f>
        <v/>
      </c>
      <c r="M22" s="115" t="str">
        <f>IF(Laborator!G22&lt;&gt;"a","",Curs!#REF!)</f>
        <v/>
      </c>
      <c r="N22" s="115" t="str">
        <f>IF(Laborator!H22&lt;&gt;"a","",Curs!#REF!)</f>
        <v/>
      </c>
      <c r="O22" s="115" t="str">
        <f>IF(Laborator!I22&lt;&gt;"a","",Curs!#REF!)</f>
        <v/>
      </c>
      <c r="P22" s="115" t="str">
        <f>IF(Laborator!J22&lt;&gt;"a","",Curs!#REF!)</f>
        <v/>
      </c>
      <c r="Q22" s="115"/>
      <c r="R22" s="115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9"/>
      <c r="AF22" s="109"/>
      <c r="AG22" s="106"/>
      <c r="AI22" s="112"/>
      <c r="AJ22" s="130" t="s">
        <v>112</v>
      </c>
      <c r="AK22" s="131">
        <f>12*Laborator!D4</f>
        <v>12</v>
      </c>
      <c r="AL22" s="112"/>
    </row>
    <row r="23" spans="1:38" ht="19.95" customHeight="1" x14ac:dyDescent="0.3">
      <c r="A23" s="106" t="str">
        <f>Curs!B22</f>
        <v/>
      </c>
      <c r="B23" s="107" t="str">
        <f>IF(NOT(ISBLANK(Curs!C22)),Curs!C22,"")</f>
        <v/>
      </c>
      <c r="C23" s="115" t="str">
        <f>IF(Curs!E22&lt;&gt;"a","",Curs!E22)</f>
        <v/>
      </c>
      <c r="D23" s="115" t="str">
        <f>IF(Curs!F22&lt;&gt;"a","",Curs!F22)</f>
        <v/>
      </c>
      <c r="E23" s="115" t="str">
        <f>IF(Curs!G22&lt;&gt;"a","",Curs!G22)</f>
        <v/>
      </c>
      <c r="F23" s="115" t="str">
        <f>IF(Curs!H22&lt;&gt;"a","",Curs!H22)</f>
        <v/>
      </c>
      <c r="G23" s="115" t="str">
        <f>IF(Curs!I22&lt;&gt;"a","",Curs!I22)</f>
        <v/>
      </c>
      <c r="H23" s="115" t="str">
        <f>IF(Curs!J22&lt;&gt;"a","",Curs!J22)</f>
        <v/>
      </c>
      <c r="I23" s="115"/>
      <c r="J23" s="115"/>
      <c r="K23" s="115" t="str">
        <f>IF(Laborator!E23&lt;&gt;"a","",Curs!#REF!)</f>
        <v/>
      </c>
      <c r="L23" s="115" t="str">
        <f>IF(Laborator!F23&lt;&gt;"a","",Curs!#REF!)</f>
        <v/>
      </c>
      <c r="M23" s="115" t="str">
        <f>IF(Laborator!G23&lt;&gt;"a","",Curs!#REF!)</f>
        <v/>
      </c>
      <c r="N23" s="115" t="str">
        <f>IF(Laborator!H23&lt;&gt;"a","",Curs!#REF!)</f>
        <v/>
      </c>
      <c r="O23" s="115" t="str">
        <f>IF(Laborator!I23&lt;&gt;"a","",Curs!#REF!)</f>
        <v/>
      </c>
      <c r="P23" s="115" t="str">
        <f>IF(Laborator!J23&lt;&gt;"a","",Curs!#REF!)</f>
        <v/>
      </c>
      <c r="Q23" s="115"/>
      <c r="R23" s="115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9"/>
      <c r="AF23" s="109"/>
      <c r="AG23" s="106"/>
      <c r="AI23" s="114"/>
      <c r="AJ23" s="130" t="s">
        <v>113</v>
      </c>
      <c r="AK23" s="131">
        <f>SUM(AK16:AK21)</f>
        <v>0</v>
      </c>
      <c r="AL23" s="112"/>
    </row>
    <row r="24" spans="1:38" ht="19.95" customHeight="1" x14ac:dyDescent="0.3">
      <c r="A24" s="106" t="str">
        <f>Curs!B23</f>
        <v/>
      </c>
      <c r="B24" s="107" t="str">
        <f>IF(NOT(ISBLANK(Curs!C23)),Curs!C23,"")</f>
        <v/>
      </c>
      <c r="C24" s="115" t="str">
        <f>IF(Curs!E23&lt;&gt;"a","",Curs!E23)</f>
        <v/>
      </c>
      <c r="D24" s="115" t="str">
        <f>IF(Curs!F23&lt;&gt;"a","",Curs!F23)</f>
        <v/>
      </c>
      <c r="E24" s="115" t="str">
        <f>IF(Curs!G23&lt;&gt;"a","",Curs!G23)</f>
        <v/>
      </c>
      <c r="F24" s="115" t="str">
        <f>IF(Curs!H23&lt;&gt;"a","",Curs!H23)</f>
        <v/>
      </c>
      <c r="G24" s="115" t="str">
        <f>IF(Curs!I23&lt;&gt;"a","",Curs!I23)</f>
        <v/>
      </c>
      <c r="H24" s="115" t="str">
        <f>IF(Curs!J23&lt;&gt;"a","",Curs!J23)</f>
        <v/>
      </c>
      <c r="I24" s="115"/>
      <c r="J24" s="115"/>
      <c r="K24" s="115" t="str">
        <f>IF(Laborator!E24&lt;&gt;"a","",Curs!#REF!)</f>
        <v/>
      </c>
      <c r="L24" s="115" t="str">
        <f>IF(Laborator!F24&lt;&gt;"a","",Curs!#REF!)</f>
        <v/>
      </c>
      <c r="M24" s="115" t="str">
        <f>IF(Laborator!G24&lt;&gt;"a","",Curs!#REF!)</f>
        <v/>
      </c>
      <c r="N24" s="115" t="str">
        <f>IF(Laborator!H24&lt;&gt;"a","",Curs!#REF!)</f>
        <v/>
      </c>
      <c r="O24" s="115" t="str">
        <f>IF(Laborator!I24&lt;&gt;"a","",Curs!#REF!)</f>
        <v/>
      </c>
      <c r="P24" s="115" t="str">
        <f>IF(Laborator!J24&lt;&gt;"a","",Curs!#REF!)</f>
        <v/>
      </c>
      <c r="Q24" s="115"/>
      <c r="R24" s="115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9"/>
      <c r="AF24" s="109"/>
      <c r="AG24" s="106"/>
      <c r="AI24" s="112"/>
      <c r="AJ24" s="114"/>
      <c r="AK24" s="109"/>
      <c r="AL24" s="112"/>
    </row>
    <row r="25" spans="1:38" ht="19.95" customHeight="1" x14ac:dyDescent="0.3">
      <c r="A25" s="106" t="str">
        <f>Curs!B24</f>
        <v/>
      </c>
      <c r="B25" s="107" t="str">
        <f>IF(NOT(ISBLANK(Curs!C24)),Curs!C24,"")</f>
        <v/>
      </c>
      <c r="C25" s="115" t="str">
        <f>IF(Curs!E24&lt;&gt;"a","",Curs!E24)</f>
        <v/>
      </c>
      <c r="D25" s="115" t="str">
        <f>IF(Curs!F24&lt;&gt;"a","",Curs!F24)</f>
        <v/>
      </c>
      <c r="E25" s="115" t="str">
        <f>IF(Curs!G24&lt;&gt;"a","",Curs!G24)</f>
        <v/>
      </c>
      <c r="F25" s="115" t="str">
        <f>IF(Curs!H24&lt;&gt;"a","",Curs!H24)</f>
        <v/>
      </c>
      <c r="G25" s="115" t="str">
        <f>IF(Curs!I24&lt;&gt;"a","",Curs!I24)</f>
        <v/>
      </c>
      <c r="H25" s="115" t="str">
        <f>IF(Curs!J24&lt;&gt;"a","",Curs!J24)</f>
        <v/>
      </c>
      <c r="I25" s="115"/>
      <c r="J25" s="115"/>
      <c r="K25" s="115" t="str">
        <f>IF(Laborator!E25&lt;&gt;"a","",Curs!#REF!)</f>
        <v/>
      </c>
      <c r="L25" s="115" t="str">
        <f>IF(Laborator!F25&lt;&gt;"a","",Curs!#REF!)</f>
        <v/>
      </c>
      <c r="M25" s="115" t="str">
        <f>IF(Laborator!G25&lt;&gt;"a","",Curs!#REF!)</f>
        <v/>
      </c>
      <c r="N25" s="115" t="str">
        <f>IF(Laborator!H25&lt;&gt;"a","",Curs!#REF!)</f>
        <v/>
      </c>
      <c r="O25" s="115" t="str">
        <f>IF(Laborator!I25&lt;&gt;"a","",Curs!#REF!)</f>
        <v/>
      </c>
      <c r="P25" s="115" t="str">
        <f>IF(Laborator!J25&lt;&gt;"a","",Curs!#REF!)</f>
        <v/>
      </c>
      <c r="Q25" s="115"/>
      <c r="R25" s="115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9"/>
      <c r="AF25" s="109"/>
      <c r="AG25" s="106"/>
      <c r="AI25" s="114"/>
      <c r="AJ25" s="114"/>
      <c r="AK25" s="109"/>
      <c r="AL25" s="112"/>
    </row>
    <row r="26" spans="1:38" ht="19.95" customHeight="1" x14ac:dyDescent="0.3">
      <c r="A26" s="106" t="str">
        <f>Curs!B25</f>
        <v/>
      </c>
      <c r="B26" s="107" t="str">
        <f>IF(NOT(ISBLANK(Curs!C25)),Curs!C25,"")</f>
        <v/>
      </c>
      <c r="C26" s="115" t="str">
        <f>IF(Curs!E25&lt;&gt;"a","",Curs!E25)</f>
        <v/>
      </c>
      <c r="D26" s="115" t="str">
        <f>IF(Curs!F25&lt;&gt;"a","",Curs!F25)</f>
        <v/>
      </c>
      <c r="E26" s="115" t="str">
        <f>IF(Curs!G25&lt;&gt;"a","",Curs!G25)</f>
        <v/>
      </c>
      <c r="F26" s="115" t="str">
        <f>IF(Curs!H25&lt;&gt;"a","",Curs!H25)</f>
        <v/>
      </c>
      <c r="G26" s="115" t="str">
        <f>IF(Curs!I25&lt;&gt;"a","",Curs!I25)</f>
        <v/>
      </c>
      <c r="H26" s="115" t="str">
        <f>IF(Curs!J25&lt;&gt;"a","",Curs!J25)</f>
        <v/>
      </c>
      <c r="I26" s="115"/>
      <c r="J26" s="115"/>
      <c r="K26" s="115" t="str">
        <f>IF(Laborator!E26&lt;&gt;"a","",Curs!#REF!)</f>
        <v/>
      </c>
      <c r="L26" s="115" t="str">
        <f>IF(Laborator!F26&lt;&gt;"a","",Curs!#REF!)</f>
        <v/>
      </c>
      <c r="M26" s="115" t="str">
        <f>IF(Laborator!G26&lt;&gt;"a","",Curs!#REF!)</f>
        <v/>
      </c>
      <c r="N26" s="115" t="str">
        <f>IF(Laborator!H26&lt;&gt;"a","",Curs!#REF!)</f>
        <v/>
      </c>
      <c r="O26" s="115" t="str">
        <f>IF(Laborator!I26&lt;&gt;"a","",Curs!#REF!)</f>
        <v/>
      </c>
      <c r="P26" s="115" t="str">
        <f>IF(Laborator!J26&lt;&gt;"a","",Curs!#REF!)</f>
        <v/>
      </c>
      <c r="Q26" s="115"/>
      <c r="R26" s="115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9"/>
      <c r="AF26" s="109"/>
      <c r="AG26" s="106"/>
      <c r="AI26" s="112"/>
      <c r="AJ26" s="111"/>
      <c r="AK26" s="106"/>
      <c r="AL26" s="106"/>
    </row>
    <row r="27" spans="1:38" ht="19.95" customHeight="1" x14ac:dyDescent="0.3">
      <c r="A27" s="106" t="str">
        <f>Curs!B26</f>
        <v/>
      </c>
      <c r="B27" s="107" t="str">
        <f>IF(NOT(ISBLANK(Curs!C26)),Curs!C26,"")</f>
        <v/>
      </c>
      <c r="C27" s="115" t="str">
        <f>IF(Curs!E26&lt;&gt;"a","",Curs!E26)</f>
        <v/>
      </c>
      <c r="D27" s="115" t="str">
        <f>IF(Curs!F26&lt;&gt;"a","",Curs!F26)</f>
        <v/>
      </c>
      <c r="E27" s="115" t="str">
        <f>IF(Curs!G26&lt;&gt;"a","",Curs!G26)</f>
        <v/>
      </c>
      <c r="F27" s="115" t="str">
        <f>IF(Curs!H26&lt;&gt;"a","",Curs!H26)</f>
        <v/>
      </c>
      <c r="G27" s="115" t="str">
        <f>IF(Curs!I26&lt;&gt;"a","",Curs!I26)</f>
        <v/>
      </c>
      <c r="H27" s="115" t="str">
        <f>IF(Curs!J26&lt;&gt;"a","",Curs!J26)</f>
        <v/>
      </c>
      <c r="I27" s="115"/>
      <c r="J27" s="115"/>
      <c r="K27" s="115" t="str">
        <f>IF(Laborator!E27&lt;&gt;"a","",Curs!#REF!)</f>
        <v/>
      </c>
      <c r="L27" s="115" t="str">
        <f>IF(Laborator!F27&lt;&gt;"a","",Curs!#REF!)</f>
        <v/>
      </c>
      <c r="M27" s="115" t="str">
        <f>IF(Laborator!G27&lt;&gt;"a","",Curs!#REF!)</f>
        <v/>
      </c>
      <c r="N27" s="115" t="str">
        <f>IF(Laborator!H27&lt;&gt;"a","",Curs!#REF!)</f>
        <v/>
      </c>
      <c r="O27" s="115" t="str">
        <f>IF(Laborator!I27&lt;&gt;"a","",Curs!#REF!)</f>
        <v/>
      </c>
      <c r="P27" s="115" t="str">
        <f>IF(Laborator!J27&lt;&gt;"a","",Curs!#REF!)</f>
        <v/>
      </c>
      <c r="Q27" s="115"/>
      <c r="R27" s="115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9"/>
      <c r="AF27" s="109"/>
      <c r="AG27" s="106"/>
      <c r="AI27" s="112"/>
      <c r="AJ27" s="111"/>
      <c r="AK27" s="106"/>
      <c r="AL27" s="106"/>
    </row>
    <row r="28" spans="1:38" ht="19.95" customHeight="1" x14ac:dyDescent="0.3">
      <c r="A28" s="106" t="str">
        <f>Curs!B27</f>
        <v/>
      </c>
      <c r="B28" s="107" t="str">
        <f>IF(NOT(ISBLANK(Curs!C27)),Curs!C27,"")</f>
        <v/>
      </c>
      <c r="C28" s="115" t="str">
        <f>IF(Curs!E27&lt;&gt;"a","",Curs!E27)</f>
        <v/>
      </c>
      <c r="D28" s="115" t="str">
        <f>IF(Curs!F27&lt;&gt;"a","",Curs!F27)</f>
        <v/>
      </c>
      <c r="E28" s="115" t="str">
        <f>IF(Curs!G27&lt;&gt;"a","",Curs!G27)</f>
        <v/>
      </c>
      <c r="F28" s="115" t="str">
        <f>IF(Curs!H27&lt;&gt;"a","",Curs!H27)</f>
        <v/>
      </c>
      <c r="G28" s="115" t="str">
        <f>IF(Curs!I27&lt;&gt;"a","",Curs!I27)</f>
        <v/>
      </c>
      <c r="H28" s="115" t="str">
        <f>IF(Curs!J27&lt;&gt;"a","",Curs!J27)</f>
        <v/>
      </c>
      <c r="I28" s="115"/>
      <c r="J28" s="115"/>
      <c r="K28" s="115" t="str">
        <f>IF(Laborator!E28&lt;&gt;"a","",Curs!#REF!)</f>
        <v/>
      </c>
      <c r="L28" s="115" t="str">
        <f>IF(Laborator!F28&lt;&gt;"a","",Curs!#REF!)</f>
        <v/>
      </c>
      <c r="M28" s="115" t="str">
        <f>IF(Laborator!G28&lt;&gt;"a","",Curs!#REF!)</f>
        <v/>
      </c>
      <c r="N28" s="115" t="str">
        <f>IF(Laborator!H28&lt;&gt;"a","",Curs!#REF!)</f>
        <v/>
      </c>
      <c r="O28" s="115" t="str">
        <f>IF(Laborator!I28&lt;&gt;"a","",Curs!#REF!)</f>
        <v/>
      </c>
      <c r="P28" s="115" t="str">
        <f>IF(Laborator!J28&lt;&gt;"a","",Curs!#REF!)</f>
        <v/>
      </c>
      <c r="Q28" s="115"/>
      <c r="R28" s="115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9"/>
      <c r="AF28" s="109"/>
      <c r="AG28" s="106"/>
      <c r="AI28" s="112"/>
      <c r="AJ28" s="111"/>
      <c r="AK28" s="106"/>
      <c r="AL28" s="106"/>
    </row>
    <row r="29" spans="1:38" ht="19.95" customHeight="1" x14ac:dyDescent="0.3">
      <c r="A29" s="106" t="str">
        <f>Curs!B28</f>
        <v/>
      </c>
      <c r="B29" s="107" t="str">
        <f>IF(NOT(ISBLANK(Curs!C28)),Curs!C28,"")</f>
        <v/>
      </c>
      <c r="C29" s="115" t="str">
        <f>IF(Curs!E28&lt;&gt;"a","",Curs!E28)</f>
        <v/>
      </c>
      <c r="D29" s="115" t="str">
        <f>IF(Curs!F28&lt;&gt;"a","",Curs!F28)</f>
        <v/>
      </c>
      <c r="E29" s="115" t="str">
        <f>IF(Curs!G28&lt;&gt;"a","",Curs!G28)</f>
        <v/>
      </c>
      <c r="F29" s="115" t="str">
        <f>IF(Curs!H28&lt;&gt;"a","",Curs!H28)</f>
        <v/>
      </c>
      <c r="G29" s="115" t="str">
        <f>IF(Curs!I28&lt;&gt;"a","",Curs!I28)</f>
        <v/>
      </c>
      <c r="H29" s="115" t="str">
        <f>IF(Curs!J28&lt;&gt;"a","",Curs!J28)</f>
        <v/>
      </c>
      <c r="I29" s="115"/>
      <c r="J29" s="115"/>
      <c r="K29" s="115" t="str">
        <f>IF(Laborator!E29&lt;&gt;"a","",Curs!#REF!)</f>
        <v/>
      </c>
      <c r="L29" s="115" t="str">
        <f>IF(Laborator!F29&lt;&gt;"a","",Curs!#REF!)</f>
        <v/>
      </c>
      <c r="M29" s="115" t="str">
        <f>IF(Laborator!G29&lt;&gt;"a","",Curs!#REF!)</f>
        <v/>
      </c>
      <c r="N29" s="115" t="str">
        <f>IF(Laborator!H29&lt;&gt;"a","",Curs!#REF!)</f>
        <v/>
      </c>
      <c r="O29" s="115" t="str">
        <f>IF(Laborator!I29&lt;&gt;"a","",Curs!#REF!)</f>
        <v/>
      </c>
      <c r="P29" s="115" t="str">
        <f>IF(Laborator!J29&lt;&gt;"a","",Curs!#REF!)</f>
        <v/>
      </c>
      <c r="Q29" s="115"/>
      <c r="R29" s="115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9"/>
      <c r="AF29" s="109"/>
      <c r="AG29" s="106"/>
      <c r="AI29" s="112"/>
      <c r="AJ29" s="111"/>
      <c r="AK29" s="106"/>
      <c r="AL29" s="106"/>
    </row>
    <row r="30" spans="1:38" ht="19.95" customHeight="1" x14ac:dyDescent="0.3">
      <c r="A30" s="106" t="str">
        <f>Curs!B29</f>
        <v/>
      </c>
      <c r="B30" s="107" t="str">
        <f>IF(NOT(ISBLANK(Curs!C29)),Curs!C29,"")</f>
        <v/>
      </c>
      <c r="C30" s="115" t="str">
        <f>IF(Curs!E29&lt;&gt;"a","",Curs!E29)</f>
        <v/>
      </c>
      <c r="D30" s="115" t="str">
        <f>IF(Curs!F29&lt;&gt;"a","",Curs!F29)</f>
        <v/>
      </c>
      <c r="E30" s="115" t="str">
        <f>IF(Curs!G29&lt;&gt;"a","",Curs!G29)</f>
        <v/>
      </c>
      <c r="F30" s="115" t="str">
        <f>IF(Curs!H29&lt;&gt;"a","",Curs!H29)</f>
        <v/>
      </c>
      <c r="G30" s="115" t="str">
        <f>IF(Curs!I29&lt;&gt;"a","",Curs!I29)</f>
        <v/>
      </c>
      <c r="H30" s="115" t="str">
        <f>IF(Curs!J29&lt;&gt;"a","",Curs!J29)</f>
        <v/>
      </c>
      <c r="I30" s="115"/>
      <c r="J30" s="115"/>
      <c r="K30" s="115" t="str">
        <f>IF(Laborator!E30&lt;&gt;"a","",Curs!#REF!)</f>
        <v/>
      </c>
      <c r="L30" s="115" t="str">
        <f>IF(Laborator!F30&lt;&gt;"a","",Curs!#REF!)</f>
        <v/>
      </c>
      <c r="M30" s="115" t="str">
        <f>IF(Laborator!G30&lt;&gt;"a","",Curs!#REF!)</f>
        <v/>
      </c>
      <c r="N30" s="115" t="str">
        <f>IF(Laborator!H30&lt;&gt;"a","",Curs!#REF!)</f>
        <v/>
      </c>
      <c r="O30" s="115" t="str">
        <f>IF(Laborator!I30&lt;&gt;"a","",Curs!#REF!)</f>
        <v/>
      </c>
      <c r="P30" s="115" t="str">
        <f>IF(Laborator!J30&lt;&gt;"a","",Curs!#REF!)</f>
        <v/>
      </c>
      <c r="Q30" s="115"/>
      <c r="R30" s="115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9"/>
      <c r="AF30" s="109"/>
      <c r="AG30" s="106"/>
      <c r="AI30" s="112"/>
      <c r="AJ30" s="111"/>
      <c r="AK30" s="106"/>
      <c r="AL30" s="106"/>
    </row>
    <row r="31" spans="1:38" ht="19.95" customHeight="1" x14ac:dyDescent="0.3">
      <c r="A31" s="106" t="str">
        <f>Curs!B30</f>
        <v/>
      </c>
      <c r="B31" s="107" t="str">
        <f>IF(NOT(ISBLANK(Curs!C30)),Curs!C30,"")</f>
        <v/>
      </c>
      <c r="C31" s="115" t="str">
        <f>IF(Curs!E30&lt;&gt;"a","",Curs!E30)</f>
        <v/>
      </c>
      <c r="D31" s="115" t="str">
        <f>IF(Curs!F30&lt;&gt;"a","",Curs!F30)</f>
        <v/>
      </c>
      <c r="E31" s="115" t="str">
        <f>IF(Curs!G30&lt;&gt;"a","",Curs!G30)</f>
        <v/>
      </c>
      <c r="F31" s="115" t="str">
        <f>IF(Curs!H30&lt;&gt;"a","",Curs!H30)</f>
        <v/>
      </c>
      <c r="G31" s="115" t="str">
        <f>IF(Curs!I30&lt;&gt;"a","",Curs!I30)</f>
        <v/>
      </c>
      <c r="H31" s="115" t="str">
        <f>IF(Curs!J30&lt;&gt;"a","",Curs!J30)</f>
        <v/>
      </c>
      <c r="I31" s="115"/>
      <c r="J31" s="115"/>
      <c r="K31" s="115" t="str">
        <f>IF(Laborator!E31&lt;&gt;"a","",Curs!#REF!)</f>
        <v/>
      </c>
      <c r="L31" s="115" t="str">
        <f>IF(Laborator!F31&lt;&gt;"a","",Curs!#REF!)</f>
        <v/>
      </c>
      <c r="M31" s="115" t="str">
        <f>IF(Laborator!G31&lt;&gt;"a","",Curs!#REF!)</f>
        <v/>
      </c>
      <c r="N31" s="115" t="str">
        <f>IF(Laborator!H31&lt;&gt;"a","",Curs!#REF!)</f>
        <v/>
      </c>
      <c r="O31" s="115" t="str">
        <f>IF(Laborator!I31&lt;&gt;"a","",Curs!#REF!)</f>
        <v/>
      </c>
      <c r="P31" s="115" t="str">
        <f>IF(Laborator!J31&lt;&gt;"a","",Curs!#REF!)</f>
        <v/>
      </c>
      <c r="Q31" s="115"/>
      <c r="R31" s="115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9"/>
      <c r="AF31" s="109"/>
      <c r="AG31" s="106"/>
      <c r="AI31" s="112"/>
      <c r="AJ31" s="111"/>
      <c r="AK31" s="106"/>
      <c r="AL31" s="106"/>
    </row>
    <row r="32" spans="1:38" ht="19.95" customHeight="1" x14ac:dyDescent="0.3">
      <c r="A32" s="106" t="str">
        <f>Curs!B31</f>
        <v/>
      </c>
      <c r="B32" s="107" t="str">
        <f>IF(NOT(ISBLANK(Curs!C31)),Curs!C31,"")</f>
        <v/>
      </c>
      <c r="C32" s="115" t="str">
        <f>IF(Curs!E31&lt;&gt;"a","",Curs!E31)</f>
        <v/>
      </c>
      <c r="D32" s="115" t="str">
        <f>IF(Curs!F31&lt;&gt;"a","",Curs!F31)</f>
        <v/>
      </c>
      <c r="E32" s="115" t="str">
        <f>IF(Curs!G31&lt;&gt;"a","",Curs!G31)</f>
        <v/>
      </c>
      <c r="F32" s="115" t="str">
        <f>IF(Curs!H31&lt;&gt;"a","",Curs!H31)</f>
        <v/>
      </c>
      <c r="G32" s="115" t="str">
        <f>IF(Curs!I31&lt;&gt;"a","",Curs!I31)</f>
        <v/>
      </c>
      <c r="H32" s="115" t="str">
        <f>IF(Curs!J31&lt;&gt;"a","",Curs!J31)</f>
        <v/>
      </c>
      <c r="I32" s="115"/>
      <c r="J32" s="115"/>
      <c r="K32" s="115" t="str">
        <f>IF(Laborator!E32&lt;&gt;"a","",Curs!#REF!)</f>
        <v/>
      </c>
      <c r="L32" s="115" t="str">
        <f>IF(Laborator!F32&lt;&gt;"a","",Curs!#REF!)</f>
        <v/>
      </c>
      <c r="M32" s="115" t="str">
        <f>IF(Laborator!G32&lt;&gt;"a","",Curs!#REF!)</f>
        <v/>
      </c>
      <c r="N32" s="115" t="str">
        <f>IF(Laborator!H32&lt;&gt;"a","",Curs!#REF!)</f>
        <v/>
      </c>
      <c r="O32" s="115" t="str">
        <f>IF(Laborator!I32&lt;&gt;"a","",Curs!#REF!)</f>
        <v/>
      </c>
      <c r="P32" s="115" t="str">
        <f>IF(Laborator!J32&lt;&gt;"a","",Curs!#REF!)</f>
        <v/>
      </c>
      <c r="Q32" s="115"/>
      <c r="R32" s="115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9"/>
      <c r="AF32" s="109"/>
      <c r="AG32" s="106"/>
      <c r="AI32" s="112"/>
      <c r="AJ32" s="111"/>
      <c r="AK32" s="106"/>
      <c r="AL32" s="106"/>
    </row>
    <row r="33" spans="1:38" ht="19.95" customHeight="1" x14ac:dyDescent="0.3">
      <c r="A33" s="106" t="str">
        <f>Curs!B32</f>
        <v/>
      </c>
      <c r="B33" s="107" t="str">
        <f>IF(NOT(ISBLANK(Curs!C32)),Curs!C32,"")</f>
        <v/>
      </c>
      <c r="C33" s="115" t="str">
        <f>IF(Curs!E32&lt;&gt;"a","",Curs!E32)</f>
        <v/>
      </c>
      <c r="D33" s="115" t="str">
        <f>IF(Curs!F32&lt;&gt;"a","",Curs!F32)</f>
        <v/>
      </c>
      <c r="E33" s="115" t="str">
        <f>IF(Curs!G32&lt;&gt;"a","",Curs!G32)</f>
        <v/>
      </c>
      <c r="F33" s="115" t="str">
        <f>IF(Curs!H32&lt;&gt;"a","",Curs!H32)</f>
        <v/>
      </c>
      <c r="G33" s="115" t="str">
        <f>IF(Curs!I32&lt;&gt;"a","",Curs!I32)</f>
        <v/>
      </c>
      <c r="H33" s="115" t="str">
        <f>IF(Curs!J32&lt;&gt;"a","",Curs!J32)</f>
        <v/>
      </c>
      <c r="I33" s="115"/>
      <c r="J33" s="115"/>
      <c r="K33" s="115" t="str">
        <f>IF(Laborator!E33&lt;&gt;"a","",Curs!#REF!)</f>
        <v/>
      </c>
      <c r="L33" s="115" t="str">
        <f>IF(Laborator!F33&lt;&gt;"a","",Curs!#REF!)</f>
        <v/>
      </c>
      <c r="M33" s="115" t="str">
        <f>IF(Laborator!G33&lt;&gt;"a","",Curs!#REF!)</f>
        <v/>
      </c>
      <c r="N33" s="115" t="str">
        <f>IF(Laborator!H33&lt;&gt;"a","",Curs!#REF!)</f>
        <v/>
      </c>
      <c r="O33" s="115" t="str">
        <f>IF(Laborator!I33&lt;&gt;"a","",Curs!#REF!)</f>
        <v/>
      </c>
      <c r="P33" s="115" t="str">
        <f>IF(Laborator!J33&lt;&gt;"a","",Curs!#REF!)</f>
        <v/>
      </c>
      <c r="Q33" s="115"/>
      <c r="R33" s="115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9"/>
      <c r="AF33" s="109"/>
      <c r="AG33" s="106"/>
      <c r="AI33" s="112"/>
      <c r="AJ33" s="111"/>
      <c r="AK33" s="106"/>
      <c r="AL33" s="106"/>
    </row>
    <row r="34" spans="1:38" ht="19.95" customHeight="1" x14ac:dyDescent="0.3">
      <c r="A34" s="106" t="str">
        <f>Curs!B33</f>
        <v/>
      </c>
      <c r="B34" s="107" t="str">
        <f>IF(NOT(ISBLANK(Curs!C33)),Curs!C33,"")</f>
        <v/>
      </c>
      <c r="C34" s="115" t="str">
        <f>IF(Curs!E33&lt;&gt;"a","",Curs!E33)</f>
        <v/>
      </c>
      <c r="D34" s="115" t="str">
        <f>IF(Curs!F33&lt;&gt;"a","",Curs!F33)</f>
        <v/>
      </c>
      <c r="E34" s="115" t="str">
        <f>IF(Curs!G33&lt;&gt;"a","",Curs!G33)</f>
        <v/>
      </c>
      <c r="F34" s="115" t="str">
        <f>IF(Curs!H33&lt;&gt;"a","",Curs!H33)</f>
        <v/>
      </c>
      <c r="G34" s="115" t="str">
        <f>IF(Curs!I33&lt;&gt;"a","",Curs!I33)</f>
        <v/>
      </c>
      <c r="H34" s="115" t="str">
        <f>IF(Curs!J33&lt;&gt;"a","",Curs!J33)</f>
        <v/>
      </c>
      <c r="I34" s="115"/>
      <c r="J34" s="115"/>
      <c r="K34" s="115" t="str">
        <f>IF(Laborator!E34&lt;&gt;"a","",Curs!#REF!)</f>
        <v/>
      </c>
      <c r="L34" s="115" t="str">
        <f>IF(Laborator!F34&lt;&gt;"a","",Curs!#REF!)</f>
        <v/>
      </c>
      <c r="M34" s="115" t="str">
        <f>IF(Laborator!G34&lt;&gt;"a","",Curs!#REF!)</f>
        <v/>
      </c>
      <c r="N34" s="115" t="str">
        <f>IF(Laborator!H34&lt;&gt;"a","",Curs!#REF!)</f>
        <v/>
      </c>
      <c r="O34" s="115" t="str">
        <f>IF(Laborator!I34&lt;&gt;"a","",Curs!#REF!)</f>
        <v/>
      </c>
      <c r="P34" s="115" t="str">
        <f>IF(Laborator!J34&lt;&gt;"a","",Curs!#REF!)</f>
        <v/>
      </c>
      <c r="Q34" s="115"/>
      <c r="R34" s="115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9"/>
      <c r="AF34" s="109"/>
      <c r="AG34" s="106"/>
      <c r="AI34" s="112"/>
      <c r="AJ34" s="111"/>
      <c r="AK34" s="106"/>
      <c r="AL34" s="106"/>
    </row>
    <row r="35" spans="1:38" ht="19.95" customHeight="1" x14ac:dyDescent="0.3">
      <c r="A35" s="106" t="str">
        <f>Curs!B34</f>
        <v/>
      </c>
      <c r="B35" s="107" t="str">
        <f>IF(NOT(ISBLANK(Curs!C34)),Curs!C34,"")</f>
        <v/>
      </c>
      <c r="C35" s="115" t="str">
        <f>IF(Curs!E34&lt;&gt;"a","",Curs!E34)</f>
        <v/>
      </c>
      <c r="D35" s="115" t="str">
        <f>IF(Curs!F34&lt;&gt;"a","",Curs!F34)</f>
        <v/>
      </c>
      <c r="E35" s="115" t="str">
        <f>IF(Curs!G34&lt;&gt;"a","",Curs!G34)</f>
        <v/>
      </c>
      <c r="F35" s="115" t="str">
        <f>IF(Curs!H34&lt;&gt;"a","",Curs!H34)</f>
        <v/>
      </c>
      <c r="G35" s="115" t="str">
        <f>IF(Curs!I34&lt;&gt;"a","",Curs!I34)</f>
        <v/>
      </c>
      <c r="H35" s="115" t="str">
        <f>IF(Curs!J34&lt;&gt;"a","",Curs!J34)</f>
        <v/>
      </c>
      <c r="I35" s="115"/>
      <c r="J35" s="115"/>
      <c r="K35" s="115" t="str">
        <f>IF(Laborator!E35&lt;&gt;"a","",Curs!#REF!)</f>
        <v/>
      </c>
      <c r="L35" s="115" t="str">
        <f>IF(Laborator!F35&lt;&gt;"a","",Curs!#REF!)</f>
        <v/>
      </c>
      <c r="M35" s="115" t="str">
        <f>IF(Laborator!G35&lt;&gt;"a","",Curs!#REF!)</f>
        <v/>
      </c>
      <c r="N35" s="115" t="str">
        <f>IF(Laborator!H35&lt;&gt;"a","",Curs!#REF!)</f>
        <v/>
      </c>
      <c r="O35" s="115" t="str">
        <f>IF(Laborator!I35&lt;&gt;"a","",Curs!#REF!)</f>
        <v/>
      </c>
      <c r="P35" s="115" t="str">
        <f>IF(Laborator!J35&lt;&gt;"a","",Curs!#REF!)</f>
        <v/>
      </c>
      <c r="Q35" s="115"/>
      <c r="R35" s="115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9"/>
      <c r="AF35" s="109"/>
      <c r="AG35" s="106"/>
      <c r="AI35" s="112"/>
      <c r="AJ35" s="111"/>
      <c r="AK35" s="106"/>
      <c r="AL35" s="106"/>
    </row>
    <row r="36" spans="1:38" ht="19.95" customHeight="1" x14ac:dyDescent="0.3">
      <c r="A36" s="106" t="str">
        <f>Curs!B35</f>
        <v/>
      </c>
      <c r="B36" s="107" t="str">
        <f>IF(NOT(ISBLANK(Curs!C35)),Curs!C35,"")</f>
        <v/>
      </c>
      <c r="C36" s="115" t="str">
        <f>IF(Curs!E35&lt;&gt;"a","",Curs!E35)</f>
        <v/>
      </c>
      <c r="D36" s="115" t="str">
        <f>IF(Curs!F35&lt;&gt;"a","",Curs!F35)</f>
        <v/>
      </c>
      <c r="E36" s="115" t="str">
        <f>IF(Curs!G35&lt;&gt;"a","",Curs!G35)</f>
        <v/>
      </c>
      <c r="F36" s="115" t="str">
        <f>IF(Curs!H35&lt;&gt;"a","",Curs!H35)</f>
        <v/>
      </c>
      <c r="G36" s="115" t="str">
        <f>IF(Curs!I35&lt;&gt;"a","",Curs!I35)</f>
        <v/>
      </c>
      <c r="H36" s="115" t="str">
        <f>IF(Curs!J35&lt;&gt;"a","",Curs!J35)</f>
        <v/>
      </c>
      <c r="I36" s="115"/>
      <c r="J36" s="115"/>
      <c r="K36" s="115" t="str">
        <f>IF(Laborator!E36&lt;&gt;"a","",Curs!#REF!)</f>
        <v/>
      </c>
      <c r="L36" s="115" t="str">
        <f>IF(Laborator!F36&lt;&gt;"a","",Curs!#REF!)</f>
        <v/>
      </c>
      <c r="M36" s="115" t="str">
        <f>IF(Laborator!G36&lt;&gt;"a","",Curs!#REF!)</f>
        <v/>
      </c>
      <c r="N36" s="115" t="str">
        <f>IF(Laborator!H36&lt;&gt;"a","",Curs!#REF!)</f>
        <v/>
      </c>
      <c r="O36" s="115" t="str">
        <f>IF(Laborator!I36&lt;&gt;"a","",Curs!#REF!)</f>
        <v/>
      </c>
      <c r="P36" s="115" t="str">
        <f>IF(Laborator!J36&lt;&gt;"a","",Curs!#REF!)</f>
        <v/>
      </c>
      <c r="Q36" s="115"/>
      <c r="R36" s="115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9"/>
      <c r="AF36" s="109"/>
      <c r="AG36" s="106"/>
      <c r="AI36" s="112"/>
      <c r="AJ36" s="111"/>
      <c r="AK36" s="106"/>
      <c r="AL36" s="106"/>
    </row>
    <row r="37" spans="1:38" ht="19.95" customHeight="1" x14ac:dyDescent="0.3">
      <c r="A37" s="106" t="str">
        <f>Curs!B36</f>
        <v/>
      </c>
      <c r="B37" s="107" t="str">
        <f>IF(NOT(ISBLANK(Curs!C36)),Curs!C36,"")</f>
        <v/>
      </c>
      <c r="C37" s="115" t="str">
        <f>IF(Curs!E36&lt;&gt;"a","",Curs!E36)</f>
        <v/>
      </c>
      <c r="D37" s="115" t="str">
        <f>IF(Curs!F36&lt;&gt;"a","",Curs!F36)</f>
        <v/>
      </c>
      <c r="E37" s="115" t="str">
        <f>IF(Curs!G36&lt;&gt;"a","",Curs!G36)</f>
        <v/>
      </c>
      <c r="F37" s="115" t="str">
        <f>IF(Curs!H36&lt;&gt;"a","",Curs!H36)</f>
        <v/>
      </c>
      <c r="G37" s="115" t="str">
        <f>IF(Curs!I36&lt;&gt;"a","",Curs!I36)</f>
        <v/>
      </c>
      <c r="H37" s="115" t="str">
        <f>IF(Curs!J36&lt;&gt;"a","",Curs!J36)</f>
        <v/>
      </c>
      <c r="I37" s="115"/>
      <c r="J37" s="115"/>
      <c r="K37" s="115" t="str">
        <f>IF(Laborator!E37&lt;&gt;"a","",Curs!#REF!)</f>
        <v/>
      </c>
      <c r="L37" s="115" t="str">
        <f>IF(Laborator!F37&lt;&gt;"a","",Curs!#REF!)</f>
        <v/>
      </c>
      <c r="M37" s="115" t="str">
        <f>IF(Laborator!G37&lt;&gt;"a","",Curs!#REF!)</f>
        <v/>
      </c>
      <c r="N37" s="115" t="str">
        <f>IF(Laborator!H37&lt;&gt;"a","",Curs!#REF!)</f>
        <v/>
      </c>
      <c r="O37" s="115" t="str">
        <f>IF(Laborator!I37&lt;&gt;"a","",Curs!#REF!)</f>
        <v/>
      </c>
      <c r="P37" s="115" t="str">
        <f>IF(Laborator!J37&lt;&gt;"a","",Curs!#REF!)</f>
        <v/>
      </c>
      <c r="Q37" s="115"/>
      <c r="R37" s="115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9"/>
      <c r="AF37" s="109"/>
      <c r="AG37" s="106"/>
      <c r="AI37" s="112"/>
      <c r="AJ37" s="111"/>
      <c r="AK37" s="106"/>
      <c r="AL37" s="106"/>
    </row>
    <row r="38" spans="1:38" ht="19.95" customHeight="1" x14ac:dyDescent="0.3">
      <c r="A38" s="106" t="str">
        <f>Curs!B37</f>
        <v/>
      </c>
      <c r="B38" s="107" t="str">
        <f>IF(NOT(ISBLANK(Curs!C37)),Curs!C37,"")</f>
        <v/>
      </c>
      <c r="C38" s="115" t="str">
        <f>IF(Curs!E37&lt;&gt;"a","",Curs!E37)</f>
        <v/>
      </c>
      <c r="D38" s="115" t="str">
        <f>IF(Curs!F37&lt;&gt;"a","",Curs!F37)</f>
        <v/>
      </c>
      <c r="E38" s="115" t="str">
        <f>IF(Curs!G37&lt;&gt;"a","",Curs!G37)</f>
        <v/>
      </c>
      <c r="F38" s="115" t="str">
        <f>IF(Curs!H37&lt;&gt;"a","",Curs!H37)</f>
        <v/>
      </c>
      <c r="G38" s="115" t="str">
        <f>IF(Curs!I37&lt;&gt;"a","",Curs!I37)</f>
        <v/>
      </c>
      <c r="H38" s="115" t="str">
        <f>IF(Curs!J37&lt;&gt;"a","",Curs!J37)</f>
        <v/>
      </c>
      <c r="I38" s="115"/>
      <c r="J38" s="115"/>
      <c r="K38" s="115" t="str">
        <f>IF(Laborator!E38&lt;&gt;"a","",Curs!#REF!)</f>
        <v/>
      </c>
      <c r="L38" s="115" t="str">
        <f>IF(Laborator!F38&lt;&gt;"a","",Curs!#REF!)</f>
        <v/>
      </c>
      <c r="M38" s="115" t="str">
        <f>IF(Laborator!G38&lt;&gt;"a","",Curs!#REF!)</f>
        <v/>
      </c>
      <c r="N38" s="115" t="str">
        <f>IF(Laborator!H38&lt;&gt;"a","",Curs!#REF!)</f>
        <v/>
      </c>
      <c r="O38" s="115" t="str">
        <f>IF(Laborator!I38&lt;&gt;"a","",Curs!#REF!)</f>
        <v/>
      </c>
      <c r="P38" s="115" t="str">
        <f>IF(Laborator!J38&lt;&gt;"a","",Curs!#REF!)</f>
        <v/>
      </c>
      <c r="Q38" s="115"/>
      <c r="R38" s="115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9"/>
      <c r="AF38" s="109"/>
      <c r="AG38" s="106"/>
      <c r="AI38" s="112"/>
      <c r="AJ38" s="111"/>
      <c r="AK38" s="106"/>
      <c r="AL38" s="106"/>
    </row>
    <row r="39" spans="1:38" ht="19.95" customHeight="1" x14ac:dyDescent="0.3">
      <c r="A39" s="106" t="str">
        <f>Curs!B38</f>
        <v/>
      </c>
      <c r="B39" s="107" t="str">
        <f>IF(NOT(ISBLANK(Curs!C38)),Curs!C38,"")</f>
        <v/>
      </c>
      <c r="C39" s="115" t="str">
        <f>IF(Curs!E38&lt;&gt;"a","",Curs!E38)</f>
        <v/>
      </c>
      <c r="D39" s="115" t="str">
        <f>IF(Curs!F38&lt;&gt;"a","",Curs!F38)</f>
        <v/>
      </c>
      <c r="E39" s="115" t="str">
        <f>IF(Curs!G38&lt;&gt;"a","",Curs!G38)</f>
        <v/>
      </c>
      <c r="F39" s="115" t="str">
        <f>IF(Curs!H38&lt;&gt;"a","",Curs!H38)</f>
        <v/>
      </c>
      <c r="G39" s="115" t="str">
        <f>IF(Curs!I38&lt;&gt;"a","",Curs!I38)</f>
        <v/>
      </c>
      <c r="H39" s="115" t="str">
        <f>IF(Curs!J38&lt;&gt;"a","",Curs!J38)</f>
        <v/>
      </c>
      <c r="I39" s="115"/>
      <c r="J39" s="115"/>
      <c r="K39" s="115" t="str">
        <f>IF(Laborator!E39&lt;&gt;"a","",Curs!#REF!)</f>
        <v/>
      </c>
      <c r="L39" s="115" t="str">
        <f>IF(Laborator!F39&lt;&gt;"a","",Curs!#REF!)</f>
        <v/>
      </c>
      <c r="M39" s="115" t="str">
        <f>IF(Laborator!G39&lt;&gt;"a","",Curs!#REF!)</f>
        <v/>
      </c>
      <c r="N39" s="115" t="str">
        <f>IF(Laborator!H39&lt;&gt;"a","",Curs!#REF!)</f>
        <v/>
      </c>
      <c r="O39" s="115" t="str">
        <f>IF(Laborator!I39&lt;&gt;"a","",Curs!#REF!)</f>
        <v/>
      </c>
      <c r="P39" s="115" t="str">
        <f>IF(Laborator!J39&lt;&gt;"a","",Curs!#REF!)</f>
        <v/>
      </c>
      <c r="Q39" s="115"/>
      <c r="R39" s="115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9"/>
      <c r="AF39" s="109"/>
      <c r="AG39" s="106"/>
      <c r="AI39" s="112"/>
      <c r="AJ39" s="111"/>
      <c r="AK39" s="106"/>
      <c r="AL39" s="106"/>
    </row>
    <row r="40" spans="1:38" ht="19.95" customHeight="1" x14ac:dyDescent="0.3">
      <c r="A40" s="106" t="str">
        <f>Curs!B39</f>
        <v/>
      </c>
      <c r="B40" s="107" t="str">
        <f>IF(NOT(ISBLANK(Curs!C39)),Curs!C39,"")</f>
        <v/>
      </c>
      <c r="C40" s="115" t="str">
        <f>IF(Curs!E39&lt;&gt;"a","",Curs!E39)</f>
        <v/>
      </c>
      <c r="D40" s="115" t="str">
        <f>IF(Curs!F39&lt;&gt;"a","",Curs!F39)</f>
        <v/>
      </c>
      <c r="E40" s="115" t="str">
        <f>IF(Curs!G39&lt;&gt;"a","",Curs!G39)</f>
        <v/>
      </c>
      <c r="F40" s="115" t="str">
        <f>IF(Curs!H39&lt;&gt;"a","",Curs!H39)</f>
        <v/>
      </c>
      <c r="G40" s="115" t="str">
        <f>IF(Curs!I39&lt;&gt;"a","",Curs!I39)</f>
        <v/>
      </c>
      <c r="H40" s="115" t="str">
        <f>IF(Curs!J39&lt;&gt;"a","",Curs!J39)</f>
        <v/>
      </c>
      <c r="I40" s="115"/>
      <c r="J40" s="115"/>
      <c r="K40" s="115" t="str">
        <f>IF(Laborator!E40&lt;&gt;"a","",Curs!#REF!)</f>
        <v/>
      </c>
      <c r="L40" s="115" t="str">
        <f>IF(Laborator!F40&lt;&gt;"a","",Curs!#REF!)</f>
        <v/>
      </c>
      <c r="M40" s="115" t="str">
        <f>IF(Laborator!G40&lt;&gt;"a","",Curs!#REF!)</f>
        <v/>
      </c>
      <c r="N40" s="115" t="str">
        <f>IF(Laborator!H40&lt;&gt;"a","",Curs!#REF!)</f>
        <v/>
      </c>
      <c r="O40" s="115" t="str">
        <f>IF(Laborator!I40&lt;&gt;"a","",Curs!#REF!)</f>
        <v/>
      </c>
      <c r="P40" s="115" t="str">
        <f>IF(Laborator!J40&lt;&gt;"a","",Curs!#REF!)</f>
        <v/>
      </c>
      <c r="Q40" s="115"/>
      <c r="R40" s="115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9"/>
      <c r="AF40" s="109"/>
      <c r="AG40" s="106"/>
      <c r="AI40" s="112"/>
      <c r="AJ40" s="111"/>
      <c r="AK40" s="106"/>
      <c r="AL40" s="106"/>
    </row>
    <row r="41" spans="1:38" ht="19.95" customHeight="1" x14ac:dyDescent="0.3">
      <c r="A41" s="106" t="str">
        <f>Curs!B40</f>
        <v/>
      </c>
      <c r="B41" s="107" t="str">
        <f>IF(NOT(ISBLANK(Curs!C40)),Curs!C40,"")</f>
        <v/>
      </c>
      <c r="C41" s="115" t="str">
        <f>IF(Curs!E40&lt;&gt;"a","",Curs!E40)</f>
        <v/>
      </c>
      <c r="D41" s="115" t="str">
        <f>IF(Curs!F40&lt;&gt;"a","",Curs!F40)</f>
        <v/>
      </c>
      <c r="E41" s="115" t="str">
        <f>IF(Curs!G40&lt;&gt;"a","",Curs!G40)</f>
        <v/>
      </c>
      <c r="F41" s="115" t="str">
        <f>IF(Curs!H40&lt;&gt;"a","",Curs!H40)</f>
        <v/>
      </c>
      <c r="G41" s="115" t="str">
        <f>IF(Curs!I40&lt;&gt;"a","",Curs!I40)</f>
        <v/>
      </c>
      <c r="H41" s="115" t="str">
        <f>IF(Curs!J40&lt;&gt;"a","",Curs!J40)</f>
        <v/>
      </c>
      <c r="I41" s="115"/>
      <c r="J41" s="115"/>
      <c r="K41" s="115" t="str">
        <f>IF(Laborator!E41&lt;&gt;"a","",Curs!#REF!)</f>
        <v/>
      </c>
      <c r="L41" s="115" t="str">
        <f>IF(Laborator!F41&lt;&gt;"a","",Curs!#REF!)</f>
        <v/>
      </c>
      <c r="M41" s="115" t="str">
        <f>IF(Laborator!G41&lt;&gt;"a","",Curs!#REF!)</f>
        <v/>
      </c>
      <c r="N41" s="115" t="str">
        <f>IF(Laborator!H41&lt;&gt;"a","",Curs!#REF!)</f>
        <v/>
      </c>
      <c r="O41" s="115" t="str">
        <f>IF(Laborator!I41&lt;&gt;"a","",Curs!#REF!)</f>
        <v/>
      </c>
      <c r="P41" s="115" t="str">
        <f>IF(Laborator!J41&lt;&gt;"a","",Curs!#REF!)</f>
        <v/>
      </c>
      <c r="Q41" s="115"/>
      <c r="R41" s="115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9"/>
      <c r="AF41" s="109"/>
      <c r="AG41" s="106"/>
      <c r="AI41" s="112"/>
      <c r="AJ41" s="111"/>
      <c r="AK41" s="106"/>
      <c r="AL41" s="106"/>
    </row>
    <row r="42" spans="1:38" ht="19.95" customHeight="1" x14ac:dyDescent="0.3">
      <c r="A42" s="106" t="str">
        <f>Curs!B41</f>
        <v/>
      </c>
      <c r="B42" s="107" t="str">
        <f>IF(NOT(ISBLANK(Curs!C41)),Curs!C41,"")</f>
        <v/>
      </c>
      <c r="C42" s="115" t="str">
        <f>IF(Curs!E41&lt;&gt;"a","",Curs!E41)</f>
        <v/>
      </c>
      <c r="D42" s="115" t="str">
        <f>IF(Curs!F41&lt;&gt;"a","",Curs!F41)</f>
        <v/>
      </c>
      <c r="E42" s="115" t="str">
        <f>IF(Curs!G41&lt;&gt;"a","",Curs!G41)</f>
        <v/>
      </c>
      <c r="F42" s="115" t="str">
        <f>IF(Curs!H41&lt;&gt;"a","",Curs!H41)</f>
        <v/>
      </c>
      <c r="G42" s="115" t="str">
        <f>IF(Curs!I41&lt;&gt;"a","",Curs!I41)</f>
        <v/>
      </c>
      <c r="H42" s="115" t="str">
        <f>IF(Curs!J41&lt;&gt;"a","",Curs!J41)</f>
        <v/>
      </c>
      <c r="I42" s="115"/>
      <c r="J42" s="115"/>
      <c r="K42" s="115" t="str">
        <f>IF(Laborator!E42&lt;&gt;"a","",Curs!#REF!)</f>
        <v/>
      </c>
      <c r="L42" s="115" t="str">
        <f>IF(Laborator!F42&lt;&gt;"a","",Curs!#REF!)</f>
        <v/>
      </c>
      <c r="M42" s="115" t="str">
        <f>IF(Laborator!G42&lt;&gt;"a","",Curs!#REF!)</f>
        <v/>
      </c>
      <c r="N42" s="115" t="str">
        <f>IF(Laborator!H42&lt;&gt;"a","",Curs!#REF!)</f>
        <v/>
      </c>
      <c r="O42" s="115" t="str">
        <f>IF(Laborator!I42&lt;&gt;"a","",Curs!#REF!)</f>
        <v/>
      </c>
      <c r="P42" s="115" t="str">
        <f>IF(Laborator!J42&lt;&gt;"a","",Curs!#REF!)</f>
        <v/>
      </c>
      <c r="Q42" s="115"/>
      <c r="R42" s="115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9"/>
      <c r="AF42" s="109"/>
      <c r="AG42" s="106"/>
      <c r="AI42" s="112"/>
      <c r="AJ42" s="111"/>
      <c r="AK42" s="106"/>
      <c r="AL42" s="106"/>
    </row>
    <row r="43" spans="1:38" ht="19.95" customHeight="1" x14ac:dyDescent="0.3">
      <c r="A43" s="106" t="str">
        <f>Curs!B42</f>
        <v/>
      </c>
      <c r="B43" s="107" t="str">
        <f>IF(NOT(ISBLANK(Curs!C42)),Curs!C42,"")</f>
        <v/>
      </c>
      <c r="C43" s="115" t="str">
        <f>IF(Curs!E42&lt;&gt;"a","",Curs!E42)</f>
        <v/>
      </c>
      <c r="D43" s="115" t="str">
        <f>IF(Curs!F42&lt;&gt;"a","",Curs!F42)</f>
        <v/>
      </c>
      <c r="E43" s="115" t="str">
        <f>IF(Curs!G42&lt;&gt;"a","",Curs!G42)</f>
        <v/>
      </c>
      <c r="F43" s="115" t="str">
        <f>IF(Curs!H42&lt;&gt;"a","",Curs!H42)</f>
        <v/>
      </c>
      <c r="G43" s="115" t="str">
        <f>IF(Curs!I42&lt;&gt;"a","",Curs!I42)</f>
        <v/>
      </c>
      <c r="H43" s="115" t="str">
        <f>IF(Curs!J42&lt;&gt;"a","",Curs!J42)</f>
        <v/>
      </c>
      <c r="I43" s="115"/>
      <c r="J43" s="115"/>
      <c r="K43" s="115" t="str">
        <f>IF(Laborator!E43&lt;&gt;"a","",Curs!#REF!)</f>
        <v/>
      </c>
      <c r="L43" s="115" t="str">
        <f>IF(Laborator!F43&lt;&gt;"a","",Curs!#REF!)</f>
        <v/>
      </c>
      <c r="M43" s="115" t="str">
        <f>IF(Laborator!G43&lt;&gt;"a","",Curs!#REF!)</f>
        <v/>
      </c>
      <c r="N43" s="115" t="str">
        <f>IF(Laborator!H43&lt;&gt;"a","",Curs!#REF!)</f>
        <v/>
      </c>
      <c r="O43" s="115" t="str">
        <f>IF(Laborator!I43&lt;&gt;"a","",Curs!#REF!)</f>
        <v/>
      </c>
      <c r="P43" s="115" t="str">
        <f>IF(Laborator!J43&lt;&gt;"a","",Curs!#REF!)</f>
        <v/>
      </c>
      <c r="Q43" s="115"/>
      <c r="R43" s="115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9"/>
      <c r="AF43" s="109"/>
      <c r="AG43" s="106"/>
      <c r="AI43" s="112"/>
      <c r="AJ43" s="111"/>
      <c r="AK43" s="106"/>
      <c r="AL43" s="106"/>
    </row>
    <row r="44" spans="1:38" ht="19.95" customHeight="1" x14ac:dyDescent="0.3">
      <c r="A44" s="106" t="str">
        <f>Curs!B43</f>
        <v/>
      </c>
      <c r="B44" s="107" t="str">
        <f>IF(NOT(ISBLANK(Curs!C43)),Curs!C43,"")</f>
        <v/>
      </c>
      <c r="C44" s="115" t="str">
        <f>IF(Curs!E43&lt;&gt;"a","",Curs!E43)</f>
        <v/>
      </c>
      <c r="D44" s="115" t="str">
        <f>IF(Curs!F43&lt;&gt;"a","",Curs!F43)</f>
        <v/>
      </c>
      <c r="E44" s="115" t="str">
        <f>IF(Curs!G43&lt;&gt;"a","",Curs!G43)</f>
        <v/>
      </c>
      <c r="F44" s="115" t="str">
        <f>IF(Curs!H43&lt;&gt;"a","",Curs!H43)</f>
        <v/>
      </c>
      <c r="G44" s="115" t="str">
        <f>IF(Curs!I43&lt;&gt;"a","",Curs!I43)</f>
        <v/>
      </c>
      <c r="H44" s="115" t="str">
        <f>IF(Curs!J43&lt;&gt;"a","",Curs!J43)</f>
        <v/>
      </c>
      <c r="I44" s="115"/>
      <c r="J44" s="115"/>
      <c r="K44" s="115" t="str">
        <f>IF(Laborator!E44&lt;&gt;"a","",Curs!#REF!)</f>
        <v/>
      </c>
      <c r="L44" s="115" t="str">
        <f>IF(Laborator!F44&lt;&gt;"a","",Curs!#REF!)</f>
        <v/>
      </c>
      <c r="M44" s="115" t="str">
        <f>IF(Laborator!G44&lt;&gt;"a","",Curs!#REF!)</f>
        <v/>
      </c>
      <c r="N44" s="115" t="str">
        <f>IF(Laborator!H44&lt;&gt;"a","",Curs!#REF!)</f>
        <v/>
      </c>
      <c r="O44" s="115" t="str">
        <f>IF(Laborator!I44&lt;&gt;"a","",Curs!#REF!)</f>
        <v/>
      </c>
      <c r="P44" s="115" t="str">
        <f>IF(Laborator!J44&lt;&gt;"a","",Curs!#REF!)</f>
        <v/>
      </c>
      <c r="Q44" s="115"/>
      <c r="R44" s="115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9"/>
      <c r="AF44" s="109"/>
      <c r="AG44" s="106"/>
    </row>
    <row r="45" spans="1:38" ht="19.95" customHeight="1" x14ac:dyDescent="0.3">
      <c r="A45" s="106" t="str">
        <f>Curs!B44</f>
        <v/>
      </c>
      <c r="B45" s="107" t="str">
        <f>IF(NOT(ISBLANK(Curs!C44)),Curs!C44,"")</f>
        <v/>
      </c>
      <c r="C45" s="115" t="str">
        <f>IF(Curs!E44&lt;&gt;"a","",Curs!E44)</f>
        <v/>
      </c>
      <c r="D45" s="115" t="str">
        <f>IF(Curs!F44&lt;&gt;"a","",Curs!F44)</f>
        <v/>
      </c>
      <c r="E45" s="115" t="str">
        <f>IF(Curs!G44&lt;&gt;"a","",Curs!G44)</f>
        <v/>
      </c>
      <c r="F45" s="115" t="str">
        <f>IF(Curs!H44&lt;&gt;"a","",Curs!H44)</f>
        <v/>
      </c>
      <c r="G45" s="115" t="str">
        <f>IF(Curs!I44&lt;&gt;"a","",Curs!I44)</f>
        <v/>
      </c>
      <c r="H45" s="115" t="str">
        <f>IF(Curs!J44&lt;&gt;"a","",Curs!J44)</f>
        <v/>
      </c>
      <c r="I45" s="115"/>
      <c r="J45" s="115"/>
      <c r="K45" s="115" t="str">
        <f>IF(Laborator!E45&lt;&gt;"a","",Curs!#REF!)</f>
        <v/>
      </c>
      <c r="L45" s="115" t="str">
        <f>IF(Laborator!F45&lt;&gt;"a","",Curs!#REF!)</f>
        <v/>
      </c>
      <c r="M45" s="115" t="str">
        <f>IF(Laborator!G45&lt;&gt;"a","",Curs!#REF!)</f>
        <v/>
      </c>
      <c r="N45" s="115" t="str">
        <f>IF(Laborator!H45&lt;&gt;"a","",Curs!#REF!)</f>
        <v/>
      </c>
      <c r="O45" s="115" t="str">
        <f>IF(Laborator!I45&lt;&gt;"a","",Curs!#REF!)</f>
        <v/>
      </c>
      <c r="P45" s="115" t="str">
        <f>IF(Laborator!J45&lt;&gt;"a","",Curs!#REF!)</f>
        <v/>
      </c>
      <c r="Q45" s="115"/>
      <c r="R45" s="115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9"/>
      <c r="AF45" s="109"/>
      <c r="AG45" s="106"/>
    </row>
    <row r="46" spans="1:38" ht="19.95" customHeight="1" x14ac:dyDescent="0.3">
      <c r="A46" s="106" t="str">
        <f>Curs!B45</f>
        <v/>
      </c>
      <c r="B46" s="107" t="str">
        <f>IF(NOT(ISBLANK(Curs!C45)),Curs!C45,"")</f>
        <v/>
      </c>
      <c r="C46" s="115" t="str">
        <f>IF(Curs!E45&lt;&gt;"a","",Curs!E45)</f>
        <v/>
      </c>
      <c r="D46" s="115" t="str">
        <f>IF(Curs!F45&lt;&gt;"a","",Curs!F45)</f>
        <v/>
      </c>
      <c r="E46" s="115" t="str">
        <f>IF(Curs!G45&lt;&gt;"a","",Curs!G45)</f>
        <v/>
      </c>
      <c r="F46" s="115" t="str">
        <f>IF(Curs!H45&lt;&gt;"a","",Curs!H45)</f>
        <v/>
      </c>
      <c r="G46" s="115" t="str">
        <f>IF(Curs!I45&lt;&gt;"a","",Curs!I45)</f>
        <v/>
      </c>
      <c r="H46" s="115" t="str">
        <f>IF(Curs!J45&lt;&gt;"a","",Curs!J45)</f>
        <v/>
      </c>
      <c r="I46" s="115"/>
      <c r="J46" s="115"/>
      <c r="K46" s="115" t="str">
        <f>IF(Laborator!E46&lt;&gt;"a","",Curs!#REF!)</f>
        <v/>
      </c>
      <c r="L46" s="115" t="str">
        <f>IF(Laborator!F46&lt;&gt;"a","",Curs!#REF!)</f>
        <v/>
      </c>
      <c r="M46" s="115" t="str">
        <f>IF(Laborator!G46&lt;&gt;"a","",Curs!#REF!)</f>
        <v/>
      </c>
      <c r="N46" s="115" t="str">
        <f>IF(Laborator!H46&lt;&gt;"a","",Curs!#REF!)</f>
        <v/>
      </c>
      <c r="O46" s="115" t="str">
        <f>IF(Laborator!I46&lt;&gt;"a","",Curs!#REF!)</f>
        <v/>
      </c>
      <c r="P46" s="115" t="str">
        <f>IF(Laborator!J46&lt;&gt;"a","",Curs!#REF!)</f>
        <v/>
      </c>
      <c r="Q46" s="115"/>
      <c r="R46" s="115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9"/>
      <c r="AF46" s="109"/>
      <c r="AG46" s="106"/>
    </row>
    <row r="47" spans="1:38" ht="19.95" customHeight="1" x14ac:dyDescent="0.3">
      <c r="A47" s="106" t="str">
        <f>Curs!B46</f>
        <v/>
      </c>
      <c r="B47" s="107" t="str">
        <f>IF(NOT(ISBLANK(Curs!C46)),Curs!C46,"")</f>
        <v/>
      </c>
      <c r="C47" s="115" t="str">
        <f>IF(Curs!E46&lt;&gt;"a","",Curs!E46)</f>
        <v/>
      </c>
      <c r="D47" s="115" t="str">
        <f>IF(Curs!F46&lt;&gt;"a","",Curs!F46)</f>
        <v/>
      </c>
      <c r="E47" s="115" t="str">
        <f>IF(Curs!G46&lt;&gt;"a","",Curs!G46)</f>
        <v/>
      </c>
      <c r="F47" s="115" t="str">
        <f>IF(Curs!H46&lt;&gt;"a","",Curs!H46)</f>
        <v/>
      </c>
      <c r="G47" s="115" t="str">
        <f>IF(Curs!I46&lt;&gt;"a","",Curs!I46)</f>
        <v/>
      </c>
      <c r="H47" s="115" t="str">
        <f>IF(Curs!J46&lt;&gt;"a","",Curs!J46)</f>
        <v/>
      </c>
      <c r="I47" s="115"/>
      <c r="J47" s="115"/>
      <c r="K47" s="115" t="str">
        <f>IF(Laborator!E47&lt;&gt;"a","",Curs!#REF!)</f>
        <v/>
      </c>
      <c r="L47" s="115" t="str">
        <f>IF(Laborator!F47&lt;&gt;"a","",Curs!#REF!)</f>
        <v/>
      </c>
      <c r="M47" s="115" t="str">
        <f>IF(Laborator!G47&lt;&gt;"a","",Curs!#REF!)</f>
        <v/>
      </c>
      <c r="N47" s="115" t="str">
        <f>IF(Laborator!H47&lt;&gt;"a","",Curs!#REF!)</f>
        <v/>
      </c>
      <c r="O47" s="115" t="str">
        <f>IF(Laborator!I47&lt;&gt;"a","",Curs!#REF!)</f>
        <v/>
      </c>
      <c r="P47" s="115" t="str">
        <f>IF(Laborator!J47&lt;&gt;"a","",Curs!#REF!)</f>
        <v/>
      </c>
      <c r="Q47" s="115"/>
      <c r="R47" s="115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9"/>
      <c r="AF47" s="109"/>
      <c r="AG47" s="106"/>
    </row>
    <row r="48" spans="1:38" ht="19.95" customHeight="1" x14ac:dyDescent="0.3">
      <c r="A48" s="106" t="str">
        <f>Curs!B47</f>
        <v/>
      </c>
      <c r="B48" s="107" t="str">
        <f>IF(NOT(ISBLANK(Curs!C47)),Curs!C47,"")</f>
        <v/>
      </c>
      <c r="C48" s="115" t="str">
        <f>IF(Curs!E47&lt;&gt;"a","",Curs!E47)</f>
        <v/>
      </c>
      <c r="D48" s="115" t="str">
        <f>IF(Curs!F47&lt;&gt;"a","",Curs!F47)</f>
        <v/>
      </c>
      <c r="E48" s="115" t="str">
        <f>IF(Curs!G47&lt;&gt;"a","",Curs!G47)</f>
        <v/>
      </c>
      <c r="F48" s="115" t="str">
        <f>IF(Curs!H47&lt;&gt;"a","",Curs!H47)</f>
        <v/>
      </c>
      <c r="G48" s="115" t="str">
        <f>IF(Curs!I47&lt;&gt;"a","",Curs!I47)</f>
        <v/>
      </c>
      <c r="H48" s="115" t="str">
        <f>IF(Curs!J47&lt;&gt;"a","",Curs!J47)</f>
        <v/>
      </c>
      <c r="I48" s="115"/>
      <c r="J48" s="115"/>
      <c r="K48" s="115" t="str">
        <f>IF(Laborator!E48&lt;&gt;"a","",Curs!#REF!)</f>
        <v/>
      </c>
      <c r="L48" s="115" t="str">
        <f>IF(Laborator!F48&lt;&gt;"a","",Curs!#REF!)</f>
        <v/>
      </c>
      <c r="M48" s="115" t="str">
        <f>IF(Laborator!G48&lt;&gt;"a","",Curs!#REF!)</f>
        <v/>
      </c>
      <c r="N48" s="115" t="str">
        <f>IF(Laborator!H48&lt;&gt;"a","",Curs!#REF!)</f>
        <v/>
      </c>
      <c r="O48" s="115" t="str">
        <f>IF(Laborator!I48&lt;&gt;"a","",Curs!#REF!)</f>
        <v/>
      </c>
      <c r="P48" s="115" t="str">
        <f>IF(Laborator!J48&lt;&gt;"a","",Curs!#REF!)</f>
        <v/>
      </c>
      <c r="Q48" s="115"/>
      <c r="R48" s="115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9"/>
      <c r="AF48" s="109"/>
      <c r="AG48" s="106"/>
    </row>
    <row r="49" spans="1:33" ht="19.95" customHeight="1" x14ac:dyDescent="0.3">
      <c r="A49" s="106" t="str">
        <f>Curs!B48</f>
        <v/>
      </c>
      <c r="B49" s="107" t="str">
        <f>IF(NOT(ISBLANK(Curs!C48)),Curs!C48,"")</f>
        <v/>
      </c>
      <c r="C49" s="115" t="str">
        <f>IF(Curs!E48&lt;&gt;"a","",Curs!E48)</f>
        <v/>
      </c>
      <c r="D49" s="115" t="str">
        <f>IF(Curs!F48&lt;&gt;"a","",Curs!F48)</f>
        <v/>
      </c>
      <c r="E49" s="115" t="str">
        <f>IF(Curs!G48&lt;&gt;"a","",Curs!G48)</f>
        <v/>
      </c>
      <c r="F49" s="115" t="str">
        <f>IF(Curs!H48&lt;&gt;"a","",Curs!H48)</f>
        <v/>
      </c>
      <c r="G49" s="115" t="str">
        <f>IF(Curs!I48&lt;&gt;"a","",Curs!I48)</f>
        <v/>
      </c>
      <c r="H49" s="115" t="str">
        <f>IF(Curs!J48&lt;&gt;"a","",Curs!J48)</f>
        <v/>
      </c>
      <c r="I49" s="115"/>
      <c r="J49" s="115"/>
      <c r="K49" s="115" t="str">
        <f>IF(Laborator!E49&lt;&gt;"a","",Curs!#REF!)</f>
        <v/>
      </c>
      <c r="L49" s="115" t="str">
        <f>IF(Laborator!F49&lt;&gt;"a","",Curs!#REF!)</f>
        <v/>
      </c>
      <c r="M49" s="115" t="str">
        <f>IF(Laborator!G49&lt;&gt;"a","",Curs!#REF!)</f>
        <v/>
      </c>
      <c r="N49" s="115" t="str">
        <f>IF(Laborator!H49&lt;&gt;"a","",Curs!#REF!)</f>
        <v/>
      </c>
      <c r="O49" s="115" t="str">
        <f>IF(Laborator!I49&lt;&gt;"a","",Curs!#REF!)</f>
        <v/>
      </c>
      <c r="P49" s="115" t="str">
        <f>IF(Laborator!J49&lt;&gt;"a","",Curs!#REF!)</f>
        <v/>
      </c>
      <c r="Q49" s="115"/>
      <c r="R49" s="115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9"/>
      <c r="AF49" s="109"/>
      <c r="AG49" s="106"/>
    </row>
    <row r="50" spans="1:33" ht="19.95" customHeight="1" x14ac:dyDescent="0.3">
      <c r="A50" s="106" t="str">
        <f>Curs!B49</f>
        <v/>
      </c>
      <c r="B50" s="107" t="str">
        <f>IF(NOT(ISBLANK(Curs!C49)),Curs!C49,"")</f>
        <v/>
      </c>
      <c r="C50" s="115" t="str">
        <f>IF(Curs!E49&lt;&gt;"a","",Curs!E49)</f>
        <v/>
      </c>
      <c r="D50" s="115" t="str">
        <f>IF(Curs!F49&lt;&gt;"a","",Curs!F49)</f>
        <v/>
      </c>
      <c r="E50" s="115" t="str">
        <f>IF(Curs!G49&lt;&gt;"a","",Curs!G49)</f>
        <v/>
      </c>
      <c r="F50" s="115" t="str">
        <f>IF(Curs!H49&lt;&gt;"a","",Curs!H49)</f>
        <v/>
      </c>
      <c r="G50" s="115" t="str">
        <f>IF(Curs!I49&lt;&gt;"a","",Curs!I49)</f>
        <v/>
      </c>
      <c r="H50" s="115" t="str">
        <f>IF(Curs!J49&lt;&gt;"a","",Curs!J49)</f>
        <v/>
      </c>
      <c r="I50" s="115"/>
      <c r="J50" s="115"/>
      <c r="K50" s="115" t="str">
        <f>IF(Laborator!E50&lt;&gt;"a","",Curs!#REF!)</f>
        <v/>
      </c>
      <c r="L50" s="115" t="str">
        <f>IF(Laborator!F50&lt;&gt;"a","",Curs!#REF!)</f>
        <v/>
      </c>
      <c r="M50" s="115" t="str">
        <f>IF(Laborator!G50&lt;&gt;"a","",Curs!#REF!)</f>
        <v/>
      </c>
      <c r="N50" s="115" t="str">
        <f>IF(Laborator!H50&lt;&gt;"a","",Curs!#REF!)</f>
        <v/>
      </c>
      <c r="O50" s="115" t="str">
        <f>IF(Laborator!I50&lt;&gt;"a","",Curs!#REF!)</f>
        <v/>
      </c>
      <c r="P50" s="115" t="str">
        <f>IF(Laborator!J50&lt;&gt;"a","",Curs!#REF!)</f>
        <v/>
      </c>
      <c r="Q50" s="115"/>
      <c r="R50" s="115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9"/>
      <c r="AF50" s="109"/>
      <c r="AG50" s="106"/>
    </row>
    <row r="51" spans="1:33" ht="19.95" customHeight="1" x14ac:dyDescent="0.3">
      <c r="A51" s="106" t="str">
        <f>Curs!B50</f>
        <v/>
      </c>
      <c r="B51" s="107" t="str">
        <f>IF(NOT(ISBLANK(Curs!C50)),Curs!C50,"")</f>
        <v/>
      </c>
      <c r="C51" s="115" t="str">
        <f>IF(Curs!E50&lt;&gt;"a","",Curs!E50)</f>
        <v/>
      </c>
      <c r="D51" s="115" t="str">
        <f>IF(Curs!F50&lt;&gt;"a","",Curs!F50)</f>
        <v/>
      </c>
      <c r="E51" s="115" t="str">
        <f>IF(Curs!G50&lt;&gt;"a","",Curs!G50)</f>
        <v/>
      </c>
      <c r="F51" s="115" t="str">
        <f>IF(Curs!H50&lt;&gt;"a","",Curs!H50)</f>
        <v/>
      </c>
      <c r="G51" s="115" t="str">
        <f>IF(Curs!I50&lt;&gt;"a","",Curs!I50)</f>
        <v/>
      </c>
      <c r="H51" s="115" t="str">
        <f>IF(Curs!J50&lt;&gt;"a","",Curs!J50)</f>
        <v/>
      </c>
      <c r="I51" s="115"/>
      <c r="J51" s="115"/>
      <c r="K51" s="115" t="str">
        <f>IF(Laborator!E51&lt;&gt;"a","",Curs!#REF!)</f>
        <v/>
      </c>
      <c r="L51" s="115" t="str">
        <f>IF(Laborator!F51&lt;&gt;"a","",Curs!#REF!)</f>
        <v/>
      </c>
      <c r="M51" s="115" t="str">
        <f>IF(Laborator!G51&lt;&gt;"a","",Curs!#REF!)</f>
        <v/>
      </c>
      <c r="N51" s="115" t="str">
        <f>IF(Laborator!H51&lt;&gt;"a","",Curs!#REF!)</f>
        <v/>
      </c>
      <c r="O51" s="115" t="str">
        <f>IF(Laborator!I51&lt;&gt;"a","",Curs!#REF!)</f>
        <v/>
      </c>
      <c r="P51" s="115" t="str">
        <f>IF(Laborator!J51&lt;&gt;"a","",Curs!#REF!)</f>
        <v/>
      </c>
      <c r="Q51" s="115"/>
      <c r="R51" s="115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9"/>
      <c r="AF51" s="109"/>
      <c r="AG51" s="106"/>
    </row>
    <row r="52" spans="1:33" ht="19.95" customHeight="1" x14ac:dyDescent="0.3">
      <c r="A52" s="106" t="str">
        <f>Curs!B51</f>
        <v/>
      </c>
      <c r="B52" s="107" t="str">
        <f>IF(NOT(ISBLANK(Curs!C51)),Curs!C51,"")</f>
        <v/>
      </c>
      <c r="C52" s="115" t="str">
        <f>IF(Curs!E51&lt;&gt;"a","",Curs!E51)</f>
        <v/>
      </c>
      <c r="D52" s="115" t="str">
        <f>IF(Curs!F51&lt;&gt;"a","",Curs!F51)</f>
        <v/>
      </c>
      <c r="E52" s="115" t="str">
        <f>IF(Curs!G51&lt;&gt;"a","",Curs!G51)</f>
        <v/>
      </c>
      <c r="F52" s="115" t="str">
        <f>IF(Curs!H51&lt;&gt;"a","",Curs!H51)</f>
        <v/>
      </c>
      <c r="G52" s="115" t="str">
        <f>IF(Curs!I51&lt;&gt;"a","",Curs!I51)</f>
        <v/>
      </c>
      <c r="H52" s="115" t="str">
        <f>IF(Curs!J51&lt;&gt;"a","",Curs!J51)</f>
        <v/>
      </c>
      <c r="I52" s="115"/>
      <c r="J52" s="115"/>
      <c r="K52" s="115" t="str">
        <f>IF(Laborator!E52&lt;&gt;"a","",Curs!#REF!)</f>
        <v/>
      </c>
      <c r="L52" s="115" t="str">
        <f>IF(Laborator!F52&lt;&gt;"a","",Curs!#REF!)</f>
        <v/>
      </c>
      <c r="M52" s="115" t="str">
        <f>IF(Laborator!G52&lt;&gt;"a","",Curs!#REF!)</f>
        <v/>
      </c>
      <c r="N52" s="115" t="str">
        <f>IF(Laborator!H52&lt;&gt;"a","",Curs!#REF!)</f>
        <v/>
      </c>
      <c r="O52" s="115" t="str">
        <f>IF(Laborator!I52&lt;&gt;"a","",Curs!#REF!)</f>
        <v/>
      </c>
      <c r="P52" s="115" t="str">
        <f>IF(Laborator!J52&lt;&gt;"a","",Curs!#REF!)</f>
        <v/>
      </c>
      <c r="Q52" s="115"/>
      <c r="R52" s="115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9"/>
      <c r="AF52" s="109"/>
      <c r="AG52" s="106"/>
    </row>
    <row r="53" spans="1:33" ht="19.95" customHeight="1" x14ac:dyDescent="0.3">
      <c r="A53" s="106" t="str">
        <f>Curs!B52</f>
        <v/>
      </c>
      <c r="B53" s="107" t="str">
        <f>IF(NOT(ISBLANK(Curs!C52)),Curs!C52,"")</f>
        <v/>
      </c>
      <c r="C53" s="115" t="str">
        <f>IF(Curs!E52&lt;&gt;"a","",Curs!E52)</f>
        <v/>
      </c>
      <c r="D53" s="115" t="str">
        <f>IF(Curs!F52&lt;&gt;"a","",Curs!F52)</f>
        <v/>
      </c>
      <c r="E53" s="115" t="str">
        <f>IF(Curs!G52&lt;&gt;"a","",Curs!G52)</f>
        <v/>
      </c>
      <c r="F53" s="115" t="str">
        <f>IF(Curs!H52&lt;&gt;"a","",Curs!H52)</f>
        <v/>
      </c>
      <c r="G53" s="115" t="str">
        <f>IF(Curs!I52&lt;&gt;"a","",Curs!I52)</f>
        <v/>
      </c>
      <c r="H53" s="115" t="str">
        <f>IF(Curs!J52&lt;&gt;"a","",Curs!J52)</f>
        <v/>
      </c>
      <c r="I53" s="115"/>
      <c r="J53" s="115"/>
      <c r="K53" s="115" t="str">
        <f>IF(Laborator!E53&lt;&gt;"a","",Curs!#REF!)</f>
        <v/>
      </c>
      <c r="L53" s="115" t="str">
        <f>IF(Laborator!F53&lt;&gt;"a","",Curs!#REF!)</f>
        <v/>
      </c>
      <c r="M53" s="115" t="str">
        <f>IF(Laborator!G53&lt;&gt;"a","",Curs!#REF!)</f>
        <v/>
      </c>
      <c r="N53" s="115" t="str">
        <f>IF(Laborator!H53&lt;&gt;"a","",Curs!#REF!)</f>
        <v/>
      </c>
      <c r="O53" s="115" t="str">
        <f>IF(Laborator!I53&lt;&gt;"a","",Curs!#REF!)</f>
        <v/>
      </c>
      <c r="P53" s="115" t="str">
        <f>IF(Laborator!J53&lt;&gt;"a","",Curs!#REF!)</f>
        <v/>
      </c>
      <c r="Q53" s="115"/>
      <c r="R53" s="115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9"/>
      <c r="AF53" s="109"/>
      <c r="AG53" s="106"/>
    </row>
    <row r="54" spans="1:33" ht="19.95" customHeight="1" x14ac:dyDescent="0.3">
      <c r="A54" s="106" t="str">
        <f>Curs!B53</f>
        <v/>
      </c>
      <c r="B54" s="107" t="str">
        <f>IF(NOT(ISBLANK(Curs!C53)),Curs!C53,"")</f>
        <v/>
      </c>
      <c r="C54" s="115" t="str">
        <f>IF(Curs!E53&lt;&gt;"a","",Curs!E53)</f>
        <v/>
      </c>
      <c r="D54" s="115" t="str">
        <f>IF(Curs!F53&lt;&gt;"a","",Curs!F53)</f>
        <v/>
      </c>
      <c r="E54" s="115" t="str">
        <f>IF(Curs!G53&lt;&gt;"a","",Curs!G53)</f>
        <v/>
      </c>
      <c r="F54" s="115" t="str">
        <f>IF(Curs!H53&lt;&gt;"a","",Curs!H53)</f>
        <v/>
      </c>
      <c r="G54" s="115" t="str">
        <f>IF(Curs!I53&lt;&gt;"a","",Curs!I53)</f>
        <v/>
      </c>
      <c r="H54" s="115" t="str">
        <f>IF(Curs!J53&lt;&gt;"a","",Curs!J53)</f>
        <v/>
      </c>
      <c r="I54" s="115"/>
      <c r="J54" s="115"/>
      <c r="K54" s="115" t="str">
        <f>IF(Laborator!E54&lt;&gt;"a","",Curs!#REF!)</f>
        <v/>
      </c>
      <c r="L54" s="115" t="str">
        <f>IF(Laborator!F54&lt;&gt;"a","",Curs!#REF!)</f>
        <v/>
      </c>
      <c r="M54" s="115" t="str">
        <f>IF(Laborator!G54&lt;&gt;"a","",Curs!#REF!)</f>
        <v/>
      </c>
      <c r="N54" s="115" t="str">
        <f>IF(Laborator!H54&lt;&gt;"a","",Curs!#REF!)</f>
        <v/>
      </c>
      <c r="O54" s="115" t="str">
        <f>IF(Laborator!I54&lt;&gt;"a","",Curs!#REF!)</f>
        <v/>
      </c>
      <c r="P54" s="115" t="str">
        <f>IF(Laborator!J54&lt;&gt;"a","",Curs!#REF!)</f>
        <v/>
      </c>
      <c r="Q54" s="115"/>
      <c r="R54" s="115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9"/>
      <c r="AF54" s="109"/>
      <c r="AG54" s="106"/>
    </row>
    <row r="55" spans="1:33" ht="19.95" customHeight="1" x14ac:dyDescent="0.3">
      <c r="A55" s="106" t="str">
        <f>Curs!B54</f>
        <v/>
      </c>
      <c r="B55" s="107" t="str">
        <f>IF(NOT(ISBLANK(Curs!C54)),Curs!C54,"")</f>
        <v/>
      </c>
      <c r="C55" s="115" t="str">
        <f>IF(Curs!E54&lt;&gt;"a","",Curs!E54)</f>
        <v/>
      </c>
      <c r="D55" s="115" t="str">
        <f>IF(Curs!F54&lt;&gt;"a","",Curs!F54)</f>
        <v/>
      </c>
      <c r="E55" s="115" t="str">
        <f>IF(Curs!G54&lt;&gt;"a","",Curs!G54)</f>
        <v/>
      </c>
      <c r="F55" s="115" t="str">
        <f>IF(Curs!H54&lt;&gt;"a","",Curs!H54)</f>
        <v/>
      </c>
      <c r="G55" s="115" t="str">
        <f>IF(Curs!I54&lt;&gt;"a","",Curs!I54)</f>
        <v/>
      </c>
      <c r="H55" s="115" t="str">
        <f>IF(Curs!J54&lt;&gt;"a","",Curs!J54)</f>
        <v/>
      </c>
      <c r="I55" s="115"/>
      <c r="J55" s="115"/>
      <c r="K55" s="115" t="str">
        <f>IF(Laborator!E55&lt;&gt;"a","",Curs!#REF!)</f>
        <v/>
      </c>
      <c r="L55" s="115" t="str">
        <f>IF(Laborator!F55&lt;&gt;"a","",Curs!#REF!)</f>
        <v/>
      </c>
      <c r="M55" s="115" t="str">
        <f>IF(Laborator!G55&lt;&gt;"a","",Curs!#REF!)</f>
        <v/>
      </c>
      <c r="N55" s="115" t="str">
        <f>IF(Laborator!H55&lt;&gt;"a","",Curs!#REF!)</f>
        <v/>
      </c>
      <c r="O55" s="115" t="str">
        <f>IF(Laborator!I55&lt;&gt;"a","",Curs!#REF!)</f>
        <v/>
      </c>
      <c r="P55" s="115" t="str">
        <f>IF(Laborator!J55&lt;&gt;"a","",Curs!#REF!)</f>
        <v/>
      </c>
      <c r="Q55" s="115"/>
      <c r="R55" s="115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9"/>
      <c r="AF55" s="109"/>
      <c r="AG55" s="106"/>
    </row>
    <row r="56" spans="1:33" ht="19.95" customHeight="1" x14ac:dyDescent="0.3">
      <c r="A56" s="106" t="str">
        <f>Curs!B55</f>
        <v/>
      </c>
      <c r="B56" s="107" t="str">
        <f>IF(NOT(ISBLANK(Curs!C55)),Curs!C55,"")</f>
        <v/>
      </c>
      <c r="C56" s="115" t="str">
        <f>IF(Curs!E55&lt;&gt;"a","",Curs!E55)</f>
        <v/>
      </c>
      <c r="D56" s="115" t="str">
        <f>IF(Curs!F55&lt;&gt;"a","",Curs!F55)</f>
        <v/>
      </c>
      <c r="E56" s="115" t="str">
        <f>IF(Curs!G55&lt;&gt;"a","",Curs!G55)</f>
        <v/>
      </c>
      <c r="F56" s="115" t="str">
        <f>IF(Curs!H55&lt;&gt;"a","",Curs!H55)</f>
        <v/>
      </c>
      <c r="G56" s="115" t="str">
        <f>IF(Curs!I55&lt;&gt;"a","",Curs!I55)</f>
        <v/>
      </c>
      <c r="H56" s="115" t="str">
        <f>IF(Curs!J55&lt;&gt;"a","",Curs!J55)</f>
        <v/>
      </c>
      <c r="I56" s="115"/>
      <c r="J56" s="115"/>
      <c r="K56" s="115" t="str">
        <f>IF(Laborator!E56&lt;&gt;"a","",Curs!#REF!)</f>
        <v/>
      </c>
      <c r="L56" s="115" t="str">
        <f>IF(Laborator!F56&lt;&gt;"a","",Curs!#REF!)</f>
        <v/>
      </c>
      <c r="M56" s="115" t="str">
        <f>IF(Laborator!G56&lt;&gt;"a","",Curs!#REF!)</f>
        <v/>
      </c>
      <c r="N56" s="115" t="str">
        <f>IF(Laborator!H56&lt;&gt;"a","",Curs!#REF!)</f>
        <v/>
      </c>
      <c r="O56" s="115" t="str">
        <f>IF(Laborator!I56&lt;&gt;"a","",Curs!#REF!)</f>
        <v/>
      </c>
      <c r="P56" s="115" t="str">
        <f>IF(Laborator!J56&lt;&gt;"a","",Curs!#REF!)</f>
        <v/>
      </c>
      <c r="Q56" s="115"/>
      <c r="R56" s="115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9"/>
      <c r="AF56" s="109"/>
      <c r="AG56" s="106"/>
    </row>
    <row r="57" spans="1:33" ht="19.95" customHeight="1" x14ac:dyDescent="0.3">
      <c r="A57" s="106" t="str">
        <f>Curs!B56</f>
        <v/>
      </c>
      <c r="B57" s="107" t="str">
        <f>IF(NOT(ISBLANK(Curs!C56)),Curs!C56,"")</f>
        <v/>
      </c>
      <c r="C57" s="115" t="str">
        <f>IF(Curs!E56&lt;&gt;"a","",Curs!E56)</f>
        <v/>
      </c>
      <c r="D57" s="115" t="str">
        <f>IF(Curs!F56&lt;&gt;"a","",Curs!F56)</f>
        <v/>
      </c>
      <c r="E57" s="115" t="str">
        <f>IF(Curs!G56&lt;&gt;"a","",Curs!G56)</f>
        <v/>
      </c>
      <c r="F57" s="115" t="str">
        <f>IF(Curs!H56&lt;&gt;"a","",Curs!H56)</f>
        <v/>
      </c>
      <c r="G57" s="115" t="str">
        <f>IF(Curs!I56&lt;&gt;"a","",Curs!I56)</f>
        <v/>
      </c>
      <c r="H57" s="115" t="str">
        <f>IF(Curs!J56&lt;&gt;"a","",Curs!J56)</f>
        <v/>
      </c>
      <c r="I57" s="115"/>
      <c r="J57" s="115"/>
      <c r="K57" s="115" t="str">
        <f>IF(Laborator!E57&lt;&gt;"a","",Curs!#REF!)</f>
        <v/>
      </c>
      <c r="L57" s="115" t="str">
        <f>IF(Laborator!F57&lt;&gt;"a","",Curs!#REF!)</f>
        <v/>
      </c>
      <c r="M57" s="115" t="str">
        <f>IF(Laborator!G57&lt;&gt;"a","",Curs!#REF!)</f>
        <v/>
      </c>
      <c r="N57" s="115" t="str">
        <f>IF(Laborator!H57&lt;&gt;"a","",Curs!#REF!)</f>
        <v/>
      </c>
      <c r="O57" s="115" t="str">
        <f>IF(Laborator!I57&lt;&gt;"a","",Curs!#REF!)</f>
        <v/>
      </c>
      <c r="P57" s="115" t="str">
        <f>IF(Laborator!J57&lt;&gt;"a","",Curs!#REF!)</f>
        <v/>
      </c>
      <c r="Q57" s="115"/>
      <c r="R57" s="115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9"/>
      <c r="AF57" s="109"/>
      <c r="AG57" s="106"/>
    </row>
    <row r="58" spans="1:33" ht="19.95" customHeight="1" x14ac:dyDescent="0.3">
      <c r="A58" s="106" t="str">
        <f>Curs!B57</f>
        <v/>
      </c>
      <c r="B58" s="107" t="str">
        <f>IF(NOT(ISBLANK(Curs!C57)),Curs!C57,"")</f>
        <v/>
      </c>
      <c r="C58" s="115" t="str">
        <f>IF(Curs!E57&lt;&gt;"a","",Curs!E57)</f>
        <v/>
      </c>
      <c r="D58" s="115" t="str">
        <f>IF(Curs!F57&lt;&gt;"a","",Curs!F57)</f>
        <v/>
      </c>
      <c r="E58" s="115" t="str">
        <f>IF(Curs!G57&lt;&gt;"a","",Curs!G57)</f>
        <v/>
      </c>
      <c r="F58" s="115" t="str">
        <f>IF(Curs!H57&lt;&gt;"a","",Curs!H57)</f>
        <v/>
      </c>
      <c r="G58" s="115" t="str">
        <f>IF(Curs!I57&lt;&gt;"a","",Curs!I57)</f>
        <v/>
      </c>
      <c r="H58" s="115" t="str">
        <f>IF(Curs!J57&lt;&gt;"a","",Curs!J57)</f>
        <v/>
      </c>
      <c r="I58" s="115"/>
      <c r="J58" s="115"/>
      <c r="K58" s="115" t="str">
        <f>IF(Laborator!E58&lt;&gt;"a","",Curs!#REF!)</f>
        <v/>
      </c>
      <c r="L58" s="115" t="str">
        <f>IF(Laborator!F58&lt;&gt;"a","",Curs!#REF!)</f>
        <v/>
      </c>
      <c r="M58" s="115" t="str">
        <f>IF(Laborator!G58&lt;&gt;"a","",Curs!#REF!)</f>
        <v/>
      </c>
      <c r="N58" s="115" t="str">
        <f>IF(Laborator!H58&lt;&gt;"a","",Curs!#REF!)</f>
        <v/>
      </c>
      <c r="O58" s="115" t="str">
        <f>IF(Laborator!I58&lt;&gt;"a","",Curs!#REF!)</f>
        <v/>
      </c>
      <c r="P58" s="115" t="str">
        <f>IF(Laborator!J58&lt;&gt;"a","",Curs!#REF!)</f>
        <v/>
      </c>
      <c r="Q58" s="115"/>
      <c r="R58" s="115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9"/>
      <c r="AF58" s="109"/>
      <c r="AG58" s="106"/>
    </row>
    <row r="59" spans="1:33" ht="19.95" customHeight="1" x14ac:dyDescent="0.3">
      <c r="A59" s="106" t="str">
        <f>Curs!B58</f>
        <v/>
      </c>
      <c r="B59" s="107" t="str">
        <f>IF(NOT(ISBLANK(Curs!C58)),Curs!C58,"")</f>
        <v/>
      </c>
      <c r="C59" s="115" t="str">
        <f>IF(Curs!E58&lt;&gt;"a","",Curs!E58)</f>
        <v/>
      </c>
      <c r="D59" s="115" t="str">
        <f>IF(Curs!F58&lt;&gt;"a","",Curs!F58)</f>
        <v/>
      </c>
      <c r="E59" s="115" t="str">
        <f>IF(Curs!G58&lt;&gt;"a","",Curs!G58)</f>
        <v/>
      </c>
      <c r="F59" s="115" t="str">
        <f>IF(Curs!H58&lt;&gt;"a","",Curs!H58)</f>
        <v/>
      </c>
      <c r="G59" s="115" t="str">
        <f>IF(Curs!I58&lt;&gt;"a","",Curs!I58)</f>
        <v/>
      </c>
      <c r="H59" s="115" t="str">
        <f>IF(Curs!J58&lt;&gt;"a","",Curs!J58)</f>
        <v/>
      </c>
      <c r="I59" s="115"/>
      <c r="J59" s="115"/>
      <c r="K59" s="115" t="str">
        <f>IF(Laborator!E59&lt;&gt;"a","",Curs!#REF!)</f>
        <v/>
      </c>
      <c r="L59" s="115" t="str">
        <f>IF(Laborator!F59&lt;&gt;"a","",Curs!#REF!)</f>
        <v/>
      </c>
      <c r="M59" s="115" t="str">
        <f>IF(Laborator!G59&lt;&gt;"a","",Curs!#REF!)</f>
        <v/>
      </c>
      <c r="N59" s="115" t="str">
        <f>IF(Laborator!H59&lt;&gt;"a","",Curs!#REF!)</f>
        <v/>
      </c>
      <c r="O59" s="115" t="str">
        <f>IF(Laborator!I59&lt;&gt;"a","",Curs!#REF!)</f>
        <v/>
      </c>
      <c r="P59" s="115" t="str">
        <f>IF(Laborator!J59&lt;&gt;"a","",Curs!#REF!)</f>
        <v/>
      </c>
      <c r="Q59" s="115"/>
      <c r="R59" s="115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9"/>
      <c r="AF59" s="109"/>
      <c r="AG59" s="106"/>
    </row>
    <row r="60" spans="1:33" ht="19.95" customHeight="1" x14ac:dyDescent="0.3">
      <c r="A60" s="106" t="str">
        <f>Curs!B59</f>
        <v/>
      </c>
      <c r="B60" s="107" t="str">
        <f>IF(NOT(ISBLANK(Curs!C59)),Curs!C59,"")</f>
        <v/>
      </c>
      <c r="C60" s="115" t="str">
        <f>IF(Curs!E59&lt;&gt;"a","",Curs!E59)</f>
        <v/>
      </c>
      <c r="D60" s="115" t="str">
        <f>IF(Curs!F59&lt;&gt;"a","",Curs!F59)</f>
        <v/>
      </c>
      <c r="E60" s="115" t="str">
        <f>IF(Curs!G59&lt;&gt;"a","",Curs!G59)</f>
        <v/>
      </c>
      <c r="F60" s="115" t="str">
        <f>IF(Curs!H59&lt;&gt;"a","",Curs!H59)</f>
        <v/>
      </c>
      <c r="G60" s="115" t="str">
        <f>IF(Curs!I59&lt;&gt;"a","",Curs!I59)</f>
        <v/>
      </c>
      <c r="H60" s="115" t="str">
        <f>IF(Curs!J59&lt;&gt;"a","",Curs!J59)</f>
        <v/>
      </c>
      <c r="I60" s="115"/>
      <c r="J60" s="115"/>
      <c r="K60" s="115" t="str">
        <f>IF(Laborator!E60&lt;&gt;"a","",Curs!#REF!)</f>
        <v/>
      </c>
      <c r="L60" s="115" t="str">
        <f>IF(Laborator!F60&lt;&gt;"a","",Curs!#REF!)</f>
        <v/>
      </c>
      <c r="M60" s="115" t="str">
        <f>IF(Laborator!G60&lt;&gt;"a","",Curs!#REF!)</f>
        <v/>
      </c>
      <c r="N60" s="115" t="str">
        <f>IF(Laborator!H60&lt;&gt;"a","",Curs!#REF!)</f>
        <v/>
      </c>
      <c r="O60" s="115" t="str">
        <f>IF(Laborator!I60&lt;&gt;"a","",Curs!#REF!)</f>
        <v/>
      </c>
      <c r="P60" s="115" t="str">
        <f>IF(Laborator!J60&lt;&gt;"a","",Curs!#REF!)</f>
        <v/>
      </c>
      <c r="Q60" s="115"/>
      <c r="R60" s="115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9"/>
      <c r="AF60" s="109"/>
      <c r="AG60" s="106"/>
    </row>
    <row r="61" spans="1:33" ht="19.95" customHeight="1" x14ac:dyDescent="0.3">
      <c r="A61" s="106" t="str">
        <f>Curs!B60</f>
        <v/>
      </c>
      <c r="B61" s="107" t="str">
        <f>IF(NOT(ISBLANK(Curs!C60)),Curs!C60,"")</f>
        <v/>
      </c>
      <c r="C61" s="115" t="str">
        <f>IF(Curs!E60&lt;&gt;"a","",Curs!E60)</f>
        <v/>
      </c>
      <c r="D61" s="115" t="str">
        <f>IF(Curs!F60&lt;&gt;"a","",Curs!F60)</f>
        <v/>
      </c>
      <c r="E61" s="115" t="str">
        <f>IF(Curs!G60&lt;&gt;"a","",Curs!G60)</f>
        <v/>
      </c>
      <c r="F61" s="115" t="str">
        <f>IF(Curs!H60&lt;&gt;"a","",Curs!H60)</f>
        <v/>
      </c>
      <c r="G61" s="115" t="str">
        <f>IF(Curs!I60&lt;&gt;"a","",Curs!I60)</f>
        <v/>
      </c>
      <c r="H61" s="115" t="str">
        <f>IF(Curs!J60&lt;&gt;"a","",Curs!J60)</f>
        <v/>
      </c>
      <c r="I61" s="115"/>
      <c r="J61" s="115"/>
      <c r="K61" s="115" t="str">
        <f>IF(Laborator!E61&lt;&gt;"a","",Curs!#REF!)</f>
        <v/>
      </c>
      <c r="L61" s="115" t="str">
        <f>IF(Laborator!F61&lt;&gt;"a","",Curs!#REF!)</f>
        <v/>
      </c>
      <c r="M61" s="115" t="str">
        <f>IF(Laborator!G61&lt;&gt;"a","",Curs!#REF!)</f>
        <v/>
      </c>
      <c r="N61" s="115" t="str">
        <f>IF(Laborator!H61&lt;&gt;"a","",Curs!#REF!)</f>
        <v/>
      </c>
      <c r="O61" s="115" t="str">
        <f>IF(Laborator!I61&lt;&gt;"a","",Curs!#REF!)</f>
        <v/>
      </c>
      <c r="P61" s="115" t="str">
        <f>IF(Laborator!J61&lt;&gt;"a","",Curs!#REF!)</f>
        <v/>
      </c>
      <c r="Q61" s="115"/>
      <c r="R61" s="115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9"/>
      <c r="AF61" s="109"/>
      <c r="AG61" s="106"/>
    </row>
    <row r="62" spans="1:33" ht="19.95" customHeight="1" x14ac:dyDescent="0.3">
      <c r="A62" s="106" t="str">
        <f>Curs!B61</f>
        <v/>
      </c>
      <c r="B62" s="107" t="str">
        <f>IF(NOT(ISBLANK(Curs!C61)),Curs!C61,"")</f>
        <v/>
      </c>
      <c r="C62" s="115" t="str">
        <f>IF(Curs!E61&lt;&gt;"a","",Curs!E61)</f>
        <v/>
      </c>
      <c r="D62" s="115" t="str">
        <f>IF(Curs!F61&lt;&gt;"a","",Curs!F61)</f>
        <v/>
      </c>
      <c r="E62" s="115" t="str">
        <f>IF(Curs!G61&lt;&gt;"a","",Curs!G61)</f>
        <v/>
      </c>
      <c r="F62" s="115" t="str">
        <f>IF(Curs!H61&lt;&gt;"a","",Curs!H61)</f>
        <v/>
      </c>
      <c r="G62" s="115" t="str">
        <f>IF(Curs!I61&lt;&gt;"a","",Curs!I61)</f>
        <v/>
      </c>
      <c r="H62" s="115" t="str">
        <f>IF(Curs!J61&lt;&gt;"a","",Curs!J61)</f>
        <v/>
      </c>
      <c r="I62" s="115"/>
      <c r="J62" s="115"/>
      <c r="K62" s="115" t="str">
        <f>IF(Laborator!E62&lt;&gt;"a","",Curs!#REF!)</f>
        <v/>
      </c>
      <c r="L62" s="115" t="str">
        <f>IF(Laborator!F62&lt;&gt;"a","",Curs!#REF!)</f>
        <v/>
      </c>
      <c r="M62" s="115" t="str">
        <f>IF(Laborator!G62&lt;&gt;"a","",Curs!#REF!)</f>
        <v/>
      </c>
      <c r="N62" s="115" t="str">
        <f>IF(Laborator!H62&lt;&gt;"a","",Curs!#REF!)</f>
        <v/>
      </c>
      <c r="O62" s="115" t="str">
        <f>IF(Laborator!I62&lt;&gt;"a","",Curs!#REF!)</f>
        <v/>
      </c>
      <c r="P62" s="115" t="str">
        <f>IF(Laborator!J62&lt;&gt;"a","",Curs!#REF!)</f>
        <v/>
      </c>
      <c r="Q62" s="115"/>
      <c r="R62" s="115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9"/>
      <c r="AF62" s="109"/>
      <c r="AG62" s="106"/>
    </row>
    <row r="63" spans="1:33" ht="19.95" customHeight="1" x14ac:dyDescent="0.3">
      <c r="A63" s="106" t="str">
        <f>Curs!B62</f>
        <v/>
      </c>
      <c r="B63" s="107" t="str">
        <f>IF(NOT(ISBLANK(Curs!C62)),Curs!C62,"")</f>
        <v/>
      </c>
      <c r="C63" s="115" t="str">
        <f>IF(Curs!E62&lt;&gt;"a","",Curs!E62)</f>
        <v/>
      </c>
      <c r="D63" s="115" t="str">
        <f>IF(Curs!F62&lt;&gt;"a","",Curs!F62)</f>
        <v/>
      </c>
      <c r="E63" s="115" t="str">
        <f>IF(Curs!G62&lt;&gt;"a","",Curs!G62)</f>
        <v/>
      </c>
      <c r="F63" s="115" t="str">
        <f>IF(Curs!H62&lt;&gt;"a","",Curs!H62)</f>
        <v/>
      </c>
      <c r="G63" s="115" t="str">
        <f>IF(Curs!I62&lt;&gt;"a","",Curs!I62)</f>
        <v/>
      </c>
      <c r="H63" s="115" t="str">
        <f>IF(Curs!J62&lt;&gt;"a","",Curs!J62)</f>
        <v/>
      </c>
      <c r="I63" s="115"/>
      <c r="J63" s="115"/>
      <c r="K63" s="115" t="str">
        <f>IF(Laborator!E63&lt;&gt;"a","",Curs!#REF!)</f>
        <v/>
      </c>
      <c r="L63" s="115" t="str">
        <f>IF(Laborator!F63&lt;&gt;"a","",Curs!#REF!)</f>
        <v/>
      </c>
      <c r="M63" s="115" t="str">
        <f>IF(Laborator!G63&lt;&gt;"a","",Curs!#REF!)</f>
        <v/>
      </c>
      <c r="N63" s="115" t="str">
        <f>IF(Laborator!H63&lt;&gt;"a","",Curs!#REF!)</f>
        <v/>
      </c>
      <c r="O63" s="115" t="str">
        <f>IF(Laborator!I63&lt;&gt;"a","",Curs!#REF!)</f>
        <v/>
      </c>
      <c r="P63" s="115" t="str">
        <f>IF(Laborator!J63&lt;&gt;"a","",Curs!#REF!)</f>
        <v/>
      </c>
      <c r="Q63" s="115"/>
      <c r="R63" s="115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9"/>
      <c r="AF63" s="109"/>
      <c r="AG63" s="106"/>
    </row>
    <row r="64" spans="1:33" ht="19.95" customHeight="1" x14ac:dyDescent="0.3">
      <c r="A64" s="106" t="str">
        <f>Curs!B63</f>
        <v/>
      </c>
      <c r="B64" s="107" t="str">
        <f>IF(NOT(ISBLANK(Curs!C63)),Curs!C63,"")</f>
        <v/>
      </c>
      <c r="C64" s="115" t="str">
        <f>IF(Curs!E63&lt;&gt;"a","",Curs!E63)</f>
        <v/>
      </c>
      <c r="D64" s="115" t="str">
        <f>IF(Curs!F63&lt;&gt;"a","",Curs!F63)</f>
        <v/>
      </c>
      <c r="E64" s="115" t="str">
        <f>IF(Curs!G63&lt;&gt;"a","",Curs!G63)</f>
        <v/>
      </c>
      <c r="F64" s="115" t="str">
        <f>IF(Curs!H63&lt;&gt;"a","",Curs!H63)</f>
        <v/>
      </c>
      <c r="G64" s="115" t="str">
        <f>IF(Curs!I63&lt;&gt;"a","",Curs!I63)</f>
        <v/>
      </c>
      <c r="H64" s="115" t="str">
        <f>IF(Curs!J63&lt;&gt;"a","",Curs!J63)</f>
        <v/>
      </c>
      <c r="I64" s="115"/>
      <c r="J64" s="115"/>
      <c r="K64" s="115" t="str">
        <f>IF(Laborator!E64&lt;&gt;"a","",Curs!#REF!)</f>
        <v/>
      </c>
      <c r="L64" s="115" t="str">
        <f>IF(Laborator!F64&lt;&gt;"a","",Curs!#REF!)</f>
        <v/>
      </c>
      <c r="M64" s="115" t="str">
        <f>IF(Laborator!G64&lt;&gt;"a","",Curs!#REF!)</f>
        <v/>
      </c>
      <c r="N64" s="115" t="str">
        <f>IF(Laborator!H64&lt;&gt;"a","",Curs!#REF!)</f>
        <v/>
      </c>
      <c r="O64" s="115" t="str">
        <f>IF(Laborator!I64&lt;&gt;"a","",Curs!#REF!)</f>
        <v/>
      </c>
      <c r="P64" s="115" t="str">
        <f>IF(Laborator!J64&lt;&gt;"a","",Curs!#REF!)</f>
        <v/>
      </c>
      <c r="Q64" s="115"/>
      <c r="R64" s="115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9"/>
      <c r="AF64" s="109"/>
      <c r="AG64" s="106"/>
    </row>
    <row r="65" spans="1:33" ht="19.95" customHeight="1" x14ac:dyDescent="0.3">
      <c r="A65" s="106" t="str">
        <f>Curs!B64</f>
        <v/>
      </c>
      <c r="B65" s="107" t="str">
        <f>IF(NOT(ISBLANK(Curs!C64)),Curs!C64,"")</f>
        <v/>
      </c>
      <c r="C65" s="115" t="str">
        <f>IF(Curs!E64&lt;&gt;"a","",Curs!E64)</f>
        <v/>
      </c>
      <c r="D65" s="115" t="str">
        <f>IF(Curs!F64&lt;&gt;"a","",Curs!F64)</f>
        <v/>
      </c>
      <c r="E65" s="115" t="str">
        <f>IF(Curs!G64&lt;&gt;"a","",Curs!G64)</f>
        <v/>
      </c>
      <c r="F65" s="115" t="str">
        <f>IF(Curs!H64&lt;&gt;"a","",Curs!H64)</f>
        <v/>
      </c>
      <c r="G65" s="115" t="str">
        <f>IF(Curs!I64&lt;&gt;"a","",Curs!I64)</f>
        <v/>
      </c>
      <c r="H65" s="115" t="str">
        <f>IF(Curs!J64&lt;&gt;"a","",Curs!J64)</f>
        <v/>
      </c>
      <c r="I65" s="115"/>
      <c r="J65" s="115"/>
      <c r="K65" s="115" t="str">
        <f>IF(Laborator!E65&lt;&gt;"a","",Curs!#REF!)</f>
        <v/>
      </c>
      <c r="L65" s="115" t="str">
        <f>IF(Laborator!F65&lt;&gt;"a","",Curs!#REF!)</f>
        <v/>
      </c>
      <c r="M65" s="115" t="str">
        <f>IF(Laborator!G65&lt;&gt;"a","",Curs!#REF!)</f>
        <v/>
      </c>
      <c r="N65" s="115" t="str">
        <f>IF(Laborator!H65&lt;&gt;"a","",Curs!#REF!)</f>
        <v/>
      </c>
      <c r="O65" s="115" t="str">
        <f>IF(Laborator!I65&lt;&gt;"a","",Curs!#REF!)</f>
        <v/>
      </c>
      <c r="P65" s="115" t="str">
        <f>IF(Laborator!J65&lt;&gt;"a","",Curs!#REF!)</f>
        <v/>
      </c>
      <c r="Q65" s="115"/>
      <c r="R65" s="115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9"/>
      <c r="AF65" s="109"/>
      <c r="AG65" s="106"/>
    </row>
    <row r="66" spans="1:33" ht="19.95" customHeight="1" x14ac:dyDescent="0.3">
      <c r="A66" s="106" t="str">
        <f>Curs!B65</f>
        <v/>
      </c>
      <c r="B66" s="107" t="str">
        <f>IF(NOT(ISBLANK(Curs!C65)),Curs!C65,"")</f>
        <v/>
      </c>
      <c r="C66" s="115" t="str">
        <f>IF(Curs!E65&lt;&gt;"a","",Curs!E65)</f>
        <v/>
      </c>
      <c r="D66" s="115" t="str">
        <f>IF(Curs!F65&lt;&gt;"a","",Curs!F65)</f>
        <v/>
      </c>
      <c r="E66" s="115" t="str">
        <f>IF(Curs!G65&lt;&gt;"a","",Curs!G65)</f>
        <v/>
      </c>
      <c r="F66" s="115" t="str">
        <f>IF(Curs!H65&lt;&gt;"a","",Curs!H65)</f>
        <v/>
      </c>
      <c r="G66" s="115" t="str">
        <f>IF(Curs!I65&lt;&gt;"a","",Curs!I65)</f>
        <v/>
      </c>
      <c r="H66" s="115" t="str">
        <f>IF(Curs!J65&lt;&gt;"a","",Curs!J65)</f>
        <v/>
      </c>
      <c r="I66" s="115"/>
      <c r="J66" s="115"/>
      <c r="K66" s="115" t="str">
        <f>IF(Laborator!E66&lt;&gt;"a","",Curs!#REF!)</f>
        <v/>
      </c>
      <c r="L66" s="115" t="str">
        <f>IF(Laborator!F66&lt;&gt;"a","",Curs!#REF!)</f>
        <v/>
      </c>
      <c r="M66" s="115" t="str">
        <f>IF(Laborator!G66&lt;&gt;"a","",Curs!#REF!)</f>
        <v/>
      </c>
      <c r="N66" s="115" t="str">
        <f>IF(Laborator!H66&lt;&gt;"a","",Curs!#REF!)</f>
        <v/>
      </c>
      <c r="O66" s="115" t="str">
        <f>IF(Laborator!I66&lt;&gt;"a","",Curs!#REF!)</f>
        <v/>
      </c>
      <c r="P66" s="115" t="str">
        <f>IF(Laborator!J66&lt;&gt;"a","",Curs!#REF!)</f>
        <v/>
      </c>
      <c r="Q66" s="115"/>
      <c r="R66" s="115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9"/>
      <c r="AF66" s="109"/>
      <c r="AG66" s="106"/>
    </row>
    <row r="67" spans="1:33" ht="19.95" customHeight="1" x14ac:dyDescent="0.3">
      <c r="A67" s="106" t="str">
        <f>Curs!B66</f>
        <v/>
      </c>
      <c r="B67" s="107" t="str">
        <f>IF(NOT(ISBLANK(Curs!C66)),Curs!C66,"")</f>
        <v/>
      </c>
      <c r="C67" s="115" t="str">
        <f>IF(Curs!E66&lt;&gt;"a","",Curs!E66)</f>
        <v/>
      </c>
      <c r="D67" s="115" t="str">
        <f>IF(Curs!F66&lt;&gt;"a","",Curs!F66)</f>
        <v/>
      </c>
      <c r="E67" s="115" t="str">
        <f>IF(Curs!G66&lt;&gt;"a","",Curs!G66)</f>
        <v/>
      </c>
      <c r="F67" s="115" t="str">
        <f>IF(Curs!H66&lt;&gt;"a","",Curs!H66)</f>
        <v/>
      </c>
      <c r="G67" s="115" t="str">
        <f>IF(Curs!I66&lt;&gt;"a","",Curs!I66)</f>
        <v/>
      </c>
      <c r="H67" s="115" t="str">
        <f>IF(Curs!J66&lt;&gt;"a","",Curs!J66)</f>
        <v/>
      </c>
      <c r="I67" s="115"/>
      <c r="J67" s="115"/>
      <c r="K67" s="115" t="str">
        <f>IF(Laborator!E67&lt;&gt;"a","",Curs!#REF!)</f>
        <v/>
      </c>
      <c r="L67" s="115" t="str">
        <f>IF(Laborator!F67&lt;&gt;"a","",Curs!#REF!)</f>
        <v/>
      </c>
      <c r="M67" s="115" t="str">
        <f>IF(Laborator!G67&lt;&gt;"a","",Curs!#REF!)</f>
        <v/>
      </c>
      <c r="N67" s="115" t="str">
        <f>IF(Laborator!H67&lt;&gt;"a","",Curs!#REF!)</f>
        <v/>
      </c>
      <c r="O67" s="115" t="str">
        <f>IF(Laborator!I67&lt;&gt;"a","",Curs!#REF!)</f>
        <v/>
      </c>
      <c r="P67" s="115" t="str">
        <f>IF(Laborator!J67&lt;&gt;"a","",Curs!#REF!)</f>
        <v/>
      </c>
      <c r="Q67" s="115"/>
      <c r="R67" s="115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9"/>
      <c r="AF67" s="109"/>
      <c r="AG67" s="106"/>
    </row>
    <row r="68" spans="1:33" ht="19.95" customHeight="1" x14ac:dyDescent="0.3">
      <c r="A68" s="106" t="str">
        <f>Curs!B67</f>
        <v/>
      </c>
      <c r="B68" s="107" t="str">
        <f>IF(NOT(ISBLANK(Curs!C67)),Curs!C67,"")</f>
        <v/>
      </c>
      <c r="C68" s="115" t="str">
        <f>IF(Curs!E67&lt;&gt;"a","",Curs!E67)</f>
        <v/>
      </c>
      <c r="D68" s="115" t="str">
        <f>IF(Curs!F67&lt;&gt;"a","",Curs!F67)</f>
        <v/>
      </c>
      <c r="E68" s="115" t="str">
        <f>IF(Curs!G67&lt;&gt;"a","",Curs!G67)</f>
        <v/>
      </c>
      <c r="F68" s="115" t="str">
        <f>IF(Curs!H67&lt;&gt;"a","",Curs!H67)</f>
        <v/>
      </c>
      <c r="G68" s="115" t="str">
        <f>IF(Curs!I67&lt;&gt;"a","",Curs!I67)</f>
        <v/>
      </c>
      <c r="H68" s="115" t="str">
        <f>IF(Curs!J67&lt;&gt;"a","",Curs!J67)</f>
        <v/>
      </c>
      <c r="I68" s="115"/>
      <c r="J68" s="115"/>
      <c r="K68" s="115" t="str">
        <f>IF(Laborator!E68&lt;&gt;"a","",Curs!#REF!)</f>
        <v/>
      </c>
      <c r="L68" s="115" t="str">
        <f>IF(Laborator!F68&lt;&gt;"a","",Curs!#REF!)</f>
        <v/>
      </c>
      <c r="M68" s="115" t="str">
        <f>IF(Laborator!G68&lt;&gt;"a","",Curs!#REF!)</f>
        <v/>
      </c>
      <c r="N68" s="115" t="str">
        <f>IF(Laborator!H68&lt;&gt;"a","",Curs!#REF!)</f>
        <v/>
      </c>
      <c r="O68" s="115" t="str">
        <f>IF(Laborator!I68&lt;&gt;"a","",Curs!#REF!)</f>
        <v/>
      </c>
      <c r="P68" s="115" t="str">
        <f>IF(Laborator!J68&lt;&gt;"a","",Curs!#REF!)</f>
        <v/>
      </c>
      <c r="Q68" s="115"/>
      <c r="R68" s="115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9"/>
      <c r="AF68" s="109"/>
      <c r="AG68" s="106"/>
    </row>
    <row r="69" spans="1:33" ht="19.95" customHeight="1" x14ac:dyDescent="0.3">
      <c r="A69" s="106" t="str">
        <f>Curs!B68</f>
        <v/>
      </c>
      <c r="B69" s="107" t="str">
        <f>IF(NOT(ISBLANK(Curs!C68)),Curs!C68,"")</f>
        <v/>
      </c>
      <c r="C69" s="115" t="str">
        <f>IF(Curs!E68&lt;&gt;"a","",Curs!E68)</f>
        <v/>
      </c>
      <c r="D69" s="115" t="str">
        <f>IF(Curs!F68&lt;&gt;"a","",Curs!F68)</f>
        <v/>
      </c>
      <c r="E69" s="115" t="str">
        <f>IF(Curs!G68&lt;&gt;"a","",Curs!G68)</f>
        <v/>
      </c>
      <c r="F69" s="115" t="str">
        <f>IF(Curs!H68&lt;&gt;"a","",Curs!H68)</f>
        <v/>
      </c>
      <c r="G69" s="115" t="str">
        <f>IF(Curs!I68&lt;&gt;"a","",Curs!I68)</f>
        <v/>
      </c>
      <c r="H69" s="115" t="str">
        <f>IF(Curs!J68&lt;&gt;"a","",Curs!J68)</f>
        <v/>
      </c>
      <c r="I69" s="115"/>
      <c r="J69" s="115"/>
      <c r="K69" s="115" t="str">
        <f>IF(Laborator!E69&lt;&gt;"a","",Curs!#REF!)</f>
        <v/>
      </c>
      <c r="L69" s="115" t="str">
        <f>IF(Laborator!F69&lt;&gt;"a","",Curs!#REF!)</f>
        <v/>
      </c>
      <c r="M69" s="115" t="str">
        <f>IF(Laborator!G69&lt;&gt;"a","",Curs!#REF!)</f>
        <v/>
      </c>
      <c r="N69" s="115" t="str">
        <f>IF(Laborator!H69&lt;&gt;"a","",Curs!#REF!)</f>
        <v/>
      </c>
      <c r="O69" s="115" t="str">
        <f>IF(Laborator!I69&lt;&gt;"a","",Curs!#REF!)</f>
        <v/>
      </c>
      <c r="P69" s="115" t="str">
        <f>IF(Laborator!J69&lt;&gt;"a","",Curs!#REF!)</f>
        <v/>
      </c>
      <c r="Q69" s="115"/>
      <c r="R69" s="115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9"/>
      <c r="AF69" s="109"/>
      <c r="AG69" s="106"/>
    </row>
    <row r="70" spans="1:33" ht="19.95" customHeight="1" x14ac:dyDescent="0.3">
      <c r="A70" s="106" t="str">
        <f>Curs!B69</f>
        <v/>
      </c>
      <c r="B70" s="107" t="str">
        <f>IF(NOT(ISBLANK(Curs!C69)),Curs!C69,"")</f>
        <v/>
      </c>
      <c r="C70" s="115" t="str">
        <f>IF(Curs!E69&lt;&gt;"a","",Curs!E69)</f>
        <v/>
      </c>
      <c r="D70" s="115" t="str">
        <f>IF(Curs!F69&lt;&gt;"a","",Curs!F69)</f>
        <v/>
      </c>
      <c r="E70" s="115" t="str">
        <f>IF(Curs!G69&lt;&gt;"a","",Curs!G69)</f>
        <v/>
      </c>
      <c r="F70" s="115" t="str">
        <f>IF(Curs!H69&lt;&gt;"a","",Curs!H69)</f>
        <v/>
      </c>
      <c r="G70" s="115" t="str">
        <f>IF(Curs!I69&lt;&gt;"a","",Curs!I69)</f>
        <v/>
      </c>
      <c r="H70" s="115" t="str">
        <f>IF(Curs!J69&lt;&gt;"a","",Curs!J69)</f>
        <v/>
      </c>
      <c r="I70" s="115"/>
      <c r="J70" s="115"/>
      <c r="K70" s="115" t="str">
        <f>IF(Laborator!E70&lt;&gt;"a","",Curs!#REF!)</f>
        <v/>
      </c>
      <c r="L70" s="115" t="str">
        <f>IF(Laborator!F70&lt;&gt;"a","",Curs!#REF!)</f>
        <v/>
      </c>
      <c r="M70" s="115" t="str">
        <f>IF(Laborator!G70&lt;&gt;"a","",Curs!#REF!)</f>
        <v/>
      </c>
      <c r="N70" s="115" t="str">
        <f>IF(Laborator!H70&lt;&gt;"a","",Curs!#REF!)</f>
        <v/>
      </c>
      <c r="O70" s="115" t="str">
        <f>IF(Laborator!I70&lt;&gt;"a","",Curs!#REF!)</f>
        <v/>
      </c>
      <c r="P70" s="115" t="str">
        <f>IF(Laborator!J70&lt;&gt;"a","",Curs!#REF!)</f>
        <v/>
      </c>
      <c r="Q70" s="115"/>
      <c r="R70" s="115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9"/>
      <c r="AF70" s="109"/>
      <c r="AG70" s="106"/>
    </row>
    <row r="71" spans="1:33" ht="19.95" customHeight="1" x14ac:dyDescent="0.3">
      <c r="A71" s="106" t="str">
        <f>Curs!B70</f>
        <v/>
      </c>
      <c r="B71" s="107" t="str">
        <f>IF(NOT(ISBLANK(Curs!C70)),Curs!C70,"")</f>
        <v/>
      </c>
      <c r="C71" s="115" t="str">
        <f>IF(Curs!E70&lt;&gt;"a","",Curs!E70)</f>
        <v/>
      </c>
      <c r="D71" s="115" t="str">
        <f>IF(Curs!F70&lt;&gt;"a","",Curs!F70)</f>
        <v/>
      </c>
      <c r="E71" s="115" t="str">
        <f>IF(Curs!G70&lt;&gt;"a","",Curs!G70)</f>
        <v/>
      </c>
      <c r="F71" s="115" t="str">
        <f>IF(Curs!H70&lt;&gt;"a","",Curs!H70)</f>
        <v/>
      </c>
      <c r="G71" s="115" t="str">
        <f>IF(Curs!I70&lt;&gt;"a","",Curs!I70)</f>
        <v/>
      </c>
      <c r="H71" s="115" t="str">
        <f>IF(Curs!J70&lt;&gt;"a","",Curs!J70)</f>
        <v/>
      </c>
      <c r="I71" s="115"/>
      <c r="J71" s="115"/>
      <c r="K71" s="115" t="str">
        <f>IF(Laborator!E71&lt;&gt;"a","",Curs!#REF!)</f>
        <v/>
      </c>
      <c r="L71" s="115" t="str">
        <f>IF(Laborator!F71&lt;&gt;"a","",Curs!#REF!)</f>
        <v/>
      </c>
      <c r="M71" s="115" t="str">
        <f>IF(Laborator!G71&lt;&gt;"a","",Curs!#REF!)</f>
        <v/>
      </c>
      <c r="N71" s="115" t="str">
        <f>IF(Laborator!H71&lt;&gt;"a","",Curs!#REF!)</f>
        <v/>
      </c>
      <c r="O71" s="115" t="str">
        <f>IF(Laborator!I71&lt;&gt;"a","",Curs!#REF!)</f>
        <v/>
      </c>
      <c r="P71" s="115" t="str">
        <f>IF(Laborator!J71&lt;&gt;"a","",Curs!#REF!)</f>
        <v/>
      </c>
      <c r="Q71" s="115"/>
      <c r="R71" s="115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9"/>
      <c r="AF71" s="109"/>
      <c r="AG71" s="106"/>
    </row>
    <row r="72" spans="1:33" ht="19.95" customHeight="1" x14ac:dyDescent="0.3">
      <c r="A72" s="106" t="str">
        <f>Curs!B71</f>
        <v/>
      </c>
      <c r="B72" s="107" t="str">
        <f>IF(NOT(ISBLANK(Curs!C71)),Curs!C71,"")</f>
        <v/>
      </c>
      <c r="C72" s="115" t="str">
        <f>IF(Curs!E71&lt;&gt;"a","",Curs!E71)</f>
        <v/>
      </c>
      <c r="D72" s="115" t="str">
        <f>IF(Curs!F71&lt;&gt;"a","",Curs!F71)</f>
        <v/>
      </c>
      <c r="E72" s="115" t="str">
        <f>IF(Curs!G71&lt;&gt;"a","",Curs!G71)</f>
        <v/>
      </c>
      <c r="F72" s="115" t="str">
        <f>IF(Curs!H71&lt;&gt;"a","",Curs!H71)</f>
        <v/>
      </c>
      <c r="G72" s="115" t="str">
        <f>IF(Curs!I71&lt;&gt;"a","",Curs!I71)</f>
        <v/>
      </c>
      <c r="H72" s="115" t="str">
        <f>IF(Curs!J71&lt;&gt;"a","",Curs!J71)</f>
        <v/>
      </c>
      <c r="I72" s="115"/>
      <c r="J72" s="115"/>
      <c r="K72" s="115" t="str">
        <f>IF(Laborator!E72&lt;&gt;"a","",Curs!#REF!)</f>
        <v/>
      </c>
      <c r="L72" s="115" t="str">
        <f>IF(Laborator!F72&lt;&gt;"a","",Curs!#REF!)</f>
        <v/>
      </c>
      <c r="M72" s="115" t="str">
        <f>IF(Laborator!G72&lt;&gt;"a","",Curs!#REF!)</f>
        <v/>
      </c>
      <c r="N72" s="115" t="str">
        <f>IF(Laborator!H72&lt;&gt;"a","",Curs!#REF!)</f>
        <v/>
      </c>
      <c r="O72" s="115" t="str">
        <f>IF(Laborator!I72&lt;&gt;"a","",Curs!#REF!)</f>
        <v/>
      </c>
      <c r="P72" s="115" t="str">
        <f>IF(Laborator!J72&lt;&gt;"a","",Curs!#REF!)</f>
        <v/>
      </c>
      <c r="Q72" s="115"/>
      <c r="R72" s="115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9"/>
      <c r="AF72" s="109"/>
      <c r="AG72" s="106"/>
    </row>
    <row r="73" spans="1:33" ht="19.95" customHeight="1" x14ac:dyDescent="0.3">
      <c r="A73" s="106" t="str">
        <f>Curs!B72</f>
        <v/>
      </c>
      <c r="B73" s="107" t="str">
        <f>IF(NOT(ISBLANK(Curs!C72)),Curs!C72,"")</f>
        <v/>
      </c>
      <c r="C73" s="115" t="str">
        <f>IF(Curs!E72&lt;&gt;"a","",Curs!E72)</f>
        <v/>
      </c>
      <c r="D73" s="115" t="str">
        <f>IF(Curs!F72&lt;&gt;"a","",Curs!F72)</f>
        <v/>
      </c>
      <c r="E73" s="115" t="str">
        <f>IF(Curs!G72&lt;&gt;"a","",Curs!G72)</f>
        <v/>
      </c>
      <c r="F73" s="115" t="str">
        <f>IF(Curs!H72&lt;&gt;"a","",Curs!H72)</f>
        <v/>
      </c>
      <c r="G73" s="115" t="str">
        <f>IF(Curs!I72&lt;&gt;"a","",Curs!I72)</f>
        <v/>
      </c>
      <c r="H73" s="115" t="str">
        <f>IF(Curs!J72&lt;&gt;"a","",Curs!J72)</f>
        <v/>
      </c>
      <c r="I73" s="115"/>
      <c r="J73" s="115"/>
      <c r="K73" s="115" t="str">
        <f>IF(Laborator!E73&lt;&gt;"a","",Curs!#REF!)</f>
        <v/>
      </c>
      <c r="L73" s="115" t="str">
        <f>IF(Laborator!F73&lt;&gt;"a","",Curs!#REF!)</f>
        <v/>
      </c>
      <c r="M73" s="115" t="str">
        <f>IF(Laborator!G73&lt;&gt;"a","",Curs!#REF!)</f>
        <v/>
      </c>
      <c r="N73" s="115" t="str">
        <f>IF(Laborator!H73&lt;&gt;"a","",Curs!#REF!)</f>
        <v/>
      </c>
      <c r="O73" s="115" t="str">
        <f>IF(Laborator!I73&lt;&gt;"a","",Curs!#REF!)</f>
        <v/>
      </c>
      <c r="P73" s="115" t="str">
        <f>IF(Laborator!J73&lt;&gt;"a","",Curs!#REF!)</f>
        <v/>
      </c>
      <c r="Q73" s="115"/>
      <c r="R73" s="115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9"/>
      <c r="AF73" s="109"/>
      <c r="AG73" s="106"/>
    </row>
    <row r="74" spans="1:33" ht="19.95" customHeight="1" x14ac:dyDescent="0.3">
      <c r="A74" s="106" t="str">
        <f>Curs!B73</f>
        <v/>
      </c>
      <c r="B74" s="107" t="str">
        <f>IF(NOT(ISBLANK(Curs!C73)),Curs!C73,"")</f>
        <v/>
      </c>
      <c r="C74" s="115" t="str">
        <f>IF(Curs!E73&lt;&gt;"a","",Curs!E73)</f>
        <v/>
      </c>
      <c r="D74" s="115" t="str">
        <f>IF(Curs!F73&lt;&gt;"a","",Curs!F73)</f>
        <v/>
      </c>
      <c r="E74" s="115" t="str">
        <f>IF(Curs!G73&lt;&gt;"a","",Curs!G73)</f>
        <v/>
      </c>
      <c r="F74" s="115" t="str">
        <f>IF(Curs!H73&lt;&gt;"a","",Curs!H73)</f>
        <v/>
      </c>
      <c r="G74" s="115" t="str">
        <f>IF(Curs!I73&lt;&gt;"a","",Curs!I73)</f>
        <v/>
      </c>
      <c r="H74" s="115" t="str">
        <f>IF(Curs!J73&lt;&gt;"a","",Curs!J73)</f>
        <v/>
      </c>
      <c r="I74" s="115"/>
      <c r="J74" s="115"/>
      <c r="K74" s="115" t="str">
        <f>IF(Laborator!E74&lt;&gt;"a","",Curs!#REF!)</f>
        <v/>
      </c>
      <c r="L74" s="115" t="str">
        <f>IF(Laborator!F74&lt;&gt;"a","",Curs!#REF!)</f>
        <v/>
      </c>
      <c r="M74" s="115" t="str">
        <f>IF(Laborator!G74&lt;&gt;"a","",Curs!#REF!)</f>
        <v/>
      </c>
      <c r="N74" s="115" t="str">
        <f>IF(Laborator!H74&lt;&gt;"a","",Curs!#REF!)</f>
        <v/>
      </c>
      <c r="O74" s="115" t="str">
        <f>IF(Laborator!I74&lt;&gt;"a","",Curs!#REF!)</f>
        <v/>
      </c>
      <c r="P74" s="115" t="str">
        <f>IF(Laborator!J74&lt;&gt;"a","",Curs!#REF!)</f>
        <v/>
      </c>
      <c r="Q74" s="115"/>
      <c r="R74" s="115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9"/>
      <c r="AF74" s="109"/>
      <c r="AG74" s="106"/>
    </row>
    <row r="75" spans="1:33" ht="19.95" customHeight="1" x14ac:dyDescent="0.3">
      <c r="A75" s="106" t="str">
        <f>Curs!B74</f>
        <v/>
      </c>
      <c r="B75" s="107" t="str">
        <f>IF(NOT(ISBLANK(Curs!C74)),Curs!C74,"")</f>
        <v/>
      </c>
      <c r="C75" s="115" t="str">
        <f>IF(Curs!E74&lt;&gt;"a","",Curs!E74)</f>
        <v/>
      </c>
      <c r="D75" s="115" t="str">
        <f>IF(Curs!F74&lt;&gt;"a","",Curs!F74)</f>
        <v/>
      </c>
      <c r="E75" s="115" t="str">
        <f>IF(Curs!G74&lt;&gt;"a","",Curs!G74)</f>
        <v/>
      </c>
      <c r="F75" s="115" t="str">
        <f>IF(Curs!H74&lt;&gt;"a","",Curs!H74)</f>
        <v/>
      </c>
      <c r="G75" s="115" t="str">
        <f>IF(Curs!I74&lt;&gt;"a","",Curs!I74)</f>
        <v/>
      </c>
      <c r="H75" s="115" t="str">
        <f>IF(Curs!J74&lt;&gt;"a","",Curs!J74)</f>
        <v/>
      </c>
      <c r="I75" s="115"/>
      <c r="J75" s="115"/>
      <c r="K75" s="115" t="str">
        <f>IF(Laborator!E75&lt;&gt;"a","",Curs!#REF!)</f>
        <v/>
      </c>
      <c r="L75" s="115" t="str">
        <f>IF(Laborator!F75&lt;&gt;"a","",Curs!#REF!)</f>
        <v/>
      </c>
      <c r="M75" s="115" t="str">
        <f>IF(Laborator!G75&lt;&gt;"a","",Curs!#REF!)</f>
        <v/>
      </c>
      <c r="N75" s="115" t="str">
        <f>IF(Laborator!H75&lt;&gt;"a","",Curs!#REF!)</f>
        <v/>
      </c>
      <c r="O75" s="115" t="str">
        <f>IF(Laborator!I75&lt;&gt;"a","",Curs!#REF!)</f>
        <v/>
      </c>
      <c r="P75" s="115" t="str">
        <f>IF(Laborator!J75&lt;&gt;"a","",Curs!#REF!)</f>
        <v/>
      </c>
      <c r="Q75" s="115"/>
      <c r="R75" s="115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9"/>
      <c r="AF75" s="109"/>
      <c r="AG75" s="106"/>
    </row>
    <row r="76" spans="1:33" ht="19.95" customHeight="1" x14ac:dyDescent="0.3">
      <c r="A76" s="106" t="str">
        <f>Curs!B75</f>
        <v/>
      </c>
      <c r="B76" s="107" t="str">
        <f>IF(NOT(ISBLANK(Curs!C75)),Curs!C75,"")</f>
        <v/>
      </c>
      <c r="C76" s="115" t="str">
        <f>IF(Curs!E75&lt;&gt;"a","",Curs!E75)</f>
        <v/>
      </c>
      <c r="D76" s="115" t="str">
        <f>IF(Curs!F75&lt;&gt;"a","",Curs!F75)</f>
        <v/>
      </c>
      <c r="E76" s="115" t="str">
        <f>IF(Curs!G75&lt;&gt;"a","",Curs!G75)</f>
        <v/>
      </c>
      <c r="F76" s="115" t="str">
        <f>IF(Curs!H75&lt;&gt;"a","",Curs!H75)</f>
        <v/>
      </c>
      <c r="G76" s="115" t="str">
        <f>IF(Curs!I75&lt;&gt;"a","",Curs!I75)</f>
        <v/>
      </c>
      <c r="H76" s="115" t="str">
        <f>IF(Curs!J75&lt;&gt;"a","",Curs!J75)</f>
        <v/>
      </c>
      <c r="I76" s="115"/>
      <c r="J76" s="115"/>
      <c r="K76" s="115" t="str">
        <f>IF(Laborator!E76&lt;&gt;"a","",Curs!#REF!)</f>
        <v/>
      </c>
      <c r="L76" s="115" t="str">
        <f>IF(Laborator!F76&lt;&gt;"a","",Curs!#REF!)</f>
        <v/>
      </c>
      <c r="M76" s="115" t="str">
        <f>IF(Laborator!G76&lt;&gt;"a","",Curs!#REF!)</f>
        <v/>
      </c>
      <c r="N76" s="115" t="str">
        <f>IF(Laborator!H76&lt;&gt;"a","",Curs!#REF!)</f>
        <v/>
      </c>
      <c r="O76" s="115" t="str">
        <f>IF(Laborator!I76&lt;&gt;"a","",Curs!#REF!)</f>
        <v/>
      </c>
      <c r="P76" s="115" t="str">
        <f>IF(Laborator!J76&lt;&gt;"a","",Curs!#REF!)</f>
        <v/>
      </c>
      <c r="Q76" s="115"/>
      <c r="R76" s="115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9"/>
      <c r="AF76" s="109"/>
      <c r="AG76" s="106"/>
    </row>
    <row r="77" spans="1:33" ht="19.95" customHeight="1" x14ac:dyDescent="0.3">
      <c r="A77" s="106" t="str">
        <f>Curs!B76</f>
        <v/>
      </c>
      <c r="B77" s="107" t="str">
        <f>IF(NOT(ISBLANK(Curs!C76)),Curs!C76,"")</f>
        <v/>
      </c>
      <c r="C77" s="115" t="str">
        <f>IF(Curs!E76&lt;&gt;"a","",Curs!E76)</f>
        <v/>
      </c>
      <c r="D77" s="115" t="str">
        <f>IF(Curs!F76&lt;&gt;"a","",Curs!F76)</f>
        <v/>
      </c>
      <c r="E77" s="115" t="str">
        <f>IF(Curs!G76&lt;&gt;"a","",Curs!G76)</f>
        <v/>
      </c>
      <c r="F77" s="115" t="str">
        <f>IF(Curs!H76&lt;&gt;"a","",Curs!H76)</f>
        <v/>
      </c>
      <c r="G77" s="115" t="str">
        <f>IF(Curs!I76&lt;&gt;"a","",Curs!I76)</f>
        <v/>
      </c>
      <c r="H77" s="115" t="str">
        <f>IF(Curs!J76&lt;&gt;"a","",Curs!J76)</f>
        <v/>
      </c>
      <c r="I77" s="115"/>
      <c r="J77" s="115"/>
      <c r="K77" s="115" t="str">
        <f>IF(Laborator!E77&lt;&gt;"a","",Curs!#REF!)</f>
        <v/>
      </c>
      <c r="L77" s="115" t="str">
        <f>IF(Laborator!F77&lt;&gt;"a","",Curs!#REF!)</f>
        <v/>
      </c>
      <c r="M77" s="115" t="str">
        <f>IF(Laborator!G77&lt;&gt;"a","",Curs!#REF!)</f>
        <v/>
      </c>
      <c r="N77" s="115" t="str">
        <f>IF(Laborator!H77&lt;&gt;"a","",Curs!#REF!)</f>
        <v/>
      </c>
      <c r="O77" s="115" t="str">
        <f>IF(Laborator!I77&lt;&gt;"a","",Curs!#REF!)</f>
        <v/>
      </c>
      <c r="P77" s="115" t="str">
        <f>IF(Laborator!J77&lt;&gt;"a","",Curs!#REF!)</f>
        <v/>
      </c>
      <c r="Q77" s="115"/>
      <c r="R77" s="115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9"/>
      <c r="AF77" s="109"/>
      <c r="AG77" s="106"/>
    </row>
    <row r="78" spans="1:33" ht="19.95" customHeight="1" x14ac:dyDescent="0.3">
      <c r="A78" s="106" t="str">
        <f>Curs!B77</f>
        <v/>
      </c>
      <c r="B78" s="107" t="str">
        <f>IF(NOT(ISBLANK(Curs!C77)),Curs!C77,"")</f>
        <v/>
      </c>
      <c r="C78" s="115" t="str">
        <f>IF(Curs!E77&lt;&gt;"a","",Curs!E77)</f>
        <v/>
      </c>
      <c r="D78" s="115" t="str">
        <f>IF(Curs!F77&lt;&gt;"a","",Curs!F77)</f>
        <v/>
      </c>
      <c r="E78" s="115" t="str">
        <f>IF(Curs!G77&lt;&gt;"a","",Curs!G77)</f>
        <v/>
      </c>
      <c r="F78" s="115" t="str">
        <f>IF(Curs!H77&lt;&gt;"a","",Curs!H77)</f>
        <v/>
      </c>
      <c r="G78" s="115" t="str">
        <f>IF(Curs!I77&lt;&gt;"a","",Curs!I77)</f>
        <v/>
      </c>
      <c r="H78" s="115" t="str">
        <f>IF(Curs!J77&lt;&gt;"a","",Curs!J77)</f>
        <v/>
      </c>
      <c r="I78" s="115"/>
      <c r="J78" s="115"/>
      <c r="K78" s="115" t="str">
        <f>IF(Laborator!E78&lt;&gt;"a","",Curs!#REF!)</f>
        <v/>
      </c>
      <c r="L78" s="115" t="str">
        <f>IF(Laborator!F78&lt;&gt;"a","",Curs!#REF!)</f>
        <v/>
      </c>
      <c r="M78" s="115" t="str">
        <f>IF(Laborator!G78&lt;&gt;"a","",Curs!#REF!)</f>
        <v/>
      </c>
      <c r="N78" s="115" t="str">
        <f>IF(Laborator!H78&lt;&gt;"a","",Curs!#REF!)</f>
        <v/>
      </c>
      <c r="O78" s="115" t="str">
        <f>IF(Laborator!I78&lt;&gt;"a","",Curs!#REF!)</f>
        <v/>
      </c>
      <c r="P78" s="115" t="str">
        <f>IF(Laborator!J78&lt;&gt;"a","",Curs!#REF!)</f>
        <v/>
      </c>
      <c r="Q78" s="115"/>
      <c r="R78" s="115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9"/>
      <c r="AF78" s="109"/>
      <c r="AG78" s="106"/>
    </row>
    <row r="79" spans="1:33" ht="19.95" customHeight="1" x14ac:dyDescent="0.3">
      <c r="A79" s="106" t="str">
        <f>Curs!B78</f>
        <v/>
      </c>
      <c r="B79" s="107" t="str">
        <f>IF(NOT(ISBLANK(Curs!C78)),Curs!C78,"")</f>
        <v/>
      </c>
      <c r="C79" s="115" t="str">
        <f>IF(Curs!E78&lt;&gt;"a","",Curs!E78)</f>
        <v/>
      </c>
      <c r="D79" s="115" t="str">
        <f>IF(Curs!F78&lt;&gt;"a","",Curs!F78)</f>
        <v/>
      </c>
      <c r="E79" s="115" t="str">
        <f>IF(Curs!G78&lt;&gt;"a","",Curs!G78)</f>
        <v/>
      </c>
      <c r="F79" s="115" t="str">
        <f>IF(Curs!H78&lt;&gt;"a","",Curs!H78)</f>
        <v/>
      </c>
      <c r="G79" s="115" t="str">
        <f>IF(Curs!I78&lt;&gt;"a","",Curs!I78)</f>
        <v/>
      </c>
      <c r="H79" s="115" t="str">
        <f>IF(Curs!J78&lt;&gt;"a","",Curs!J78)</f>
        <v/>
      </c>
      <c r="I79" s="115"/>
      <c r="J79" s="115"/>
      <c r="K79" s="115" t="str">
        <f>IF(Laborator!E79&lt;&gt;"a","",Curs!#REF!)</f>
        <v/>
      </c>
      <c r="L79" s="115" t="str">
        <f>IF(Laborator!F79&lt;&gt;"a","",Curs!#REF!)</f>
        <v/>
      </c>
      <c r="M79" s="115" t="str">
        <f>IF(Laborator!G79&lt;&gt;"a","",Curs!#REF!)</f>
        <v/>
      </c>
      <c r="N79" s="115" t="str">
        <f>IF(Laborator!H79&lt;&gt;"a","",Curs!#REF!)</f>
        <v/>
      </c>
      <c r="O79" s="115" t="str">
        <f>IF(Laborator!I79&lt;&gt;"a","",Curs!#REF!)</f>
        <v/>
      </c>
      <c r="P79" s="115" t="str">
        <f>IF(Laborator!J79&lt;&gt;"a","",Curs!#REF!)</f>
        <v/>
      </c>
      <c r="Q79" s="115"/>
      <c r="R79" s="115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9"/>
      <c r="AF79" s="109"/>
      <c r="AG79" s="106"/>
    </row>
    <row r="80" spans="1:33" ht="19.95" customHeight="1" x14ac:dyDescent="0.3">
      <c r="A80" s="106" t="str">
        <f>Curs!B79</f>
        <v/>
      </c>
      <c r="B80" s="107" t="str">
        <f>IF(NOT(ISBLANK(Curs!C79)),Curs!C79,"")</f>
        <v/>
      </c>
      <c r="C80" s="115" t="str">
        <f>IF(Curs!E79&lt;&gt;"a","",Curs!E79)</f>
        <v/>
      </c>
      <c r="D80" s="115" t="str">
        <f>IF(Curs!F79&lt;&gt;"a","",Curs!F79)</f>
        <v/>
      </c>
      <c r="E80" s="115" t="str">
        <f>IF(Curs!G79&lt;&gt;"a","",Curs!G79)</f>
        <v/>
      </c>
      <c r="F80" s="115" t="str">
        <f>IF(Curs!H79&lt;&gt;"a","",Curs!H79)</f>
        <v/>
      </c>
      <c r="G80" s="115" t="str">
        <f>IF(Curs!I79&lt;&gt;"a","",Curs!I79)</f>
        <v/>
      </c>
      <c r="H80" s="115" t="str">
        <f>IF(Curs!J79&lt;&gt;"a","",Curs!J79)</f>
        <v/>
      </c>
      <c r="I80" s="115"/>
      <c r="J80" s="115"/>
      <c r="K80" s="115" t="str">
        <f>IF(Laborator!E80&lt;&gt;"a","",Curs!#REF!)</f>
        <v/>
      </c>
      <c r="L80" s="115" t="str">
        <f>IF(Laborator!F80&lt;&gt;"a","",Curs!#REF!)</f>
        <v/>
      </c>
      <c r="M80" s="115" t="str">
        <f>IF(Laborator!G80&lt;&gt;"a","",Curs!#REF!)</f>
        <v/>
      </c>
      <c r="N80" s="115" t="str">
        <f>IF(Laborator!H80&lt;&gt;"a","",Curs!#REF!)</f>
        <v/>
      </c>
      <c r="O80" s="115" t="str">
        <f>IF(Laborator!I80&lt;&gt;"a","",Curs!#REF!)</f>
        <v/>
      </c>
      <c r="P80" s="115" t="str">
        <f>IF(Laborator!J80&lt;&gt;"a","",Curs!#REF!)</f>
        <v/>
      </c>
      <c r="Q80" s="115"/>
      <c r="R80" s="115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9"/>
      <c r="AF80" s="109"/>
      <c r="AG80" s="106"/>
    </row>
    <row r="81" spans="1:33" ht="19.95" customHeight="1" x14ac:dyDescent="0.3">
      <c r="A81" s="106" t="str">
        <f>Curs!B80</f>
        <v/>
      </c>
      <c r="B81" s="107" t="str">
        <f>IF(NOT(ISBLANK(Curs!C80)),Curs!C80,"")</f>
        <v/>
      </c>
      <c r="C81" s="115" t="str">
        <f>IF(Curs!E80&lt;&gt;"a","",Curs!E80)</f>
        <v/>
      </c>
      <c r="D81" s="115" t="str">
        <f>IF(Curs!F80&lt;&gt;"a","",Curs!F80)</f>
        <v/>
      </c>
      <c r="E81" s="115" t="str">
        <f>IF(Curs!G80&lt;&gt;"a","",Curs!G80)</f>
        <v/>
      </c>
      <c r="F81" s="115" t="str">
        <f>IF(Curs!H80&lt;&gt;"a","",Curs!H80)</f>
        <v/>
      </c>
      <c r="G81" s="115" t="str">
        <f>IF(Curs!I80&lt;&gt;"a","",Curs!I80)</f>
        <v/>
      </c>
      <c r="H81" s="115" t="str">
        <f>IF(Curs!J80&lt;&gt;"a","",Curs!J80)</f>
        <v/>
      </c>
      <c r="I81" s="115"/>
      <c r="J81" s="115"/>
      <c r="K81" s="115" t="str">
        <f>IF(Laborator!E81&lt;&gt;"a","",Curs!#REF!)</f>
        <v/>
      </c>
      <c r="L81" s="115" t="str">
        <f>IF(Laborator!F81&lt;&gt;"a","",Curs!#REF!)</f>
        <v/>
      </c>
      <c r="M81" s="115" t="str">
        <f>IF(Laborator!G81&lt;&gt;"a","",Curs!#REF!)</f>
        <v/>
      </c>
      <c r="N81" s="115" t="str">
        <f>IF(Laborator!H81&lt;&gt;"a","",Curs!#REF!)</f>
        <v/>
      </c>
      <c r="O81" s="115" t="str">
        <f>IF(Laborator!I81&lt;&gt;"a","",Curs!#REF!)</f>
        <v/>
      </c>
      <c r="P81" s="115" t="str">
        <f>IF(Laborator!J81&lt;&gt;"a","",Curs!#REF!)</f>
        <v/>
      </c>
      <c r="Q81" s="115"/>
      <c r="R81" s="115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9"/>
      <c r="AF81" s="109"/>
      <c r="AG81" s="106"/>
    </row>
    <row r="82" spans="1:33" ht="19.95" customHeight="1" x14ac:dyDescent="0.3">
      <c r="A82" s="106" t="str">
        <f>Curs!B81</f>
        <v/>
      </c>
      <c r="B82" s="107" t="str">
        <f>IF(NOT(ISBLANK(Curs!C81)),Curs!C81,"")</f>
        <v/>
      </c>
      <c r="C82" s="115" t="str">
        <f>IF(Curs!E81&lt;&gt;"a","",Curs!E81)</f>
        <v/>
      </c>
      <c r="D82" s="115" t="str">
        <f>IF(Curs!F81&lt;&gt;"a","",Curs!F81)</f>
        <v/>
      </c>
      <c r="E82" s="115" t="str">
        <f>IF(Curs!G81&lt;&gt;"a","",Curs!G81)</f>
        <v/>
      </c>
      <c r="F82" s="115" t="str">
        <f>IF(Curs!H81&lt;&gt;"a","",Curs!H81)</f>
        <v/>
      </c>
      <c r="G82" s="115" t="str">
        <f>IF(Curs!I81&lt;&gt;"a","",Curs!I81)</f>
        <v/>
      </c>
      <c r="H82" s="115" t="str">
        <f>IF(Curs!J81&lt;&gt;"a","",Curs!J81)</f>
        <v/>
      </c>
      <c r="I82" s="115"/>
      <c r="J82" s="115"/>
      <c r="K82" s="115" t="str">
        <f>IF(Laborator!E82&lt;&gt;"a","",Curs!#REF!)</f>
        <v/>
      </c>
      <c r="L82" s="115" t="str">
        <f>IF(Laborator!F82&lt;&gt;"a","",Curs!#REF!)</f>
        <v/>
      </c>
      <c r="M82" s="115" t="str">
        <f>IF(Laborator!G82&lt;&gt;"a","",Curs!#REF!)</f>
        <v/>
      </c>
      <c r="N82" s="115" t="str">
        <f>IF(Laborator!H82&lt;&gt;"a","",Curs!#REF!)</f>
        <v/>
      </c>
      <c r="O82" s="115" t="str">
        <f>IF(Laborator!I82&lt;&gt;"a","",Curs!#REF!)</f>
        <v/>
      </c>
      <c r="P82" s="115" t="str">
        <f>IF(Laborator!J82&lt;&gt;"a","",Curs!#REF!)</f>
        <v/>
      </c>
      <c r="Q82" s="115"/>
      <c r="R82" s="115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9"/>
      <c r="AF82" s="109"/>
      <c r="AG82" s="106"/>
    </row>
    <row r="83" spans="1:33" ht="19.95" customHeight="1" x14ac:dyDescent="0.3">
      <c r="A83" s="106" t="str">
        <f>Curs!B82</f>
        <v/>
      </c>
      <c r="B83" s="107" t="str">
        <f>IF(NOT(ISBLANK(Curs!C82)),Curs!C82,"")</f>
        <v/>
      </c>
      <c r="C83" s="115" t="str">
        <f>IF(Curs!E82&lt;&gt;"a","",Curs!E82)</f>
        <v/>
      </c>
      <c r="D83" s="115" t="str">
        <f>IF(Curs!F82&lt;&gt;"a","",Curs!F82)</f>
        <v/>
      </c>
      <c r="E83" s="115" t="str">
        <f>IF(Curs!G82&lt;&gt;"a","",Curs!G82)</f>
        <v/>
      </c>
      <c r="F83" s="115" t="str">
        <f>IF(Curs!H82&lt;&gt;"a","",Curs!H82)</f>
        <v/>
      </c>
      <c r="G83" s="115" t="str">
        <f>IF(Curs!I82&lt;&gt;"a","",Curs!I82)</f>
        <v/>
      </c>
      <c r="H83" s="115" t="str">
        <f>IF(Curs!J82&lt;&gt;"a","",Curs!J82)</f>
        <v/>
      </c>
      <c r="I83" s="115"/>
      <c r="J83" s="115"/>
      <c r="K83" s="115" t="str">
        <f>IF(Laborator!E83&lt;&gt;"a","",Curs!#REF!)</f>
        <v/>
      </c>
      <c r="L83" s="115" t="str">
        <f>IF(Laborator!F83&lt;&gt;"a","",Curs!#REF!)</f>
        <v/>
      </c>
      <c r="M83" s="115" t="str">
        <f>IF(Laborator!G83&lt;&gt;"a","",Curs!#REF!)</f>
        <v/>
      </c>
      <c r="N83" s="115" t="str">
        <f>IF(Laborator!H83&lt;&gt;"a","",Curs!#REF!)</f>
        <v/>
      </c>
      <c r="O83" s="115" t="str">
        <f>IF(Laborator!I83&lt;&gt;"a","",Curs!#REF!)</f>
        <v/>
      </c>
      <c r="P83" s="115" t="str">
        <f>IF(Laborator!J83&lt;&gt;"a","",Curs!#REF!)</f>
        <v/>
      </c>
      <c r="Q83" s="115"/>
      <c r="R83" s="115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9"/>
      <c r="AF83" s="109"/>
      <c r="AG83" s="106"/>
    </row>
    <row r="84" spans="1:33" ht="19.95" customHeight="1" x14ac:dyDescent="0.3">
      <c r="A84" s="106" t="str">
        <f>Curs!B83</f>
        <v/>
      </c>
      <c r="B84" s="107" t="str">
        <f>IF(NOT(ISBLANK(Curs!C83)),Curs!C83,"")</f>
        <v/>
      </c>
      <c r="C84" s="115" t="str">
        <f>IF(Curs!E83&lt;&gt;"a","",Curs!E83)</f>
        <v/>
      </c>
      <c r="D84" s="115" t="str">
        <f>IF(Curs!F83&lt;&gt;"a","",Curs!F83)</f>
        <v/>
      </c>
      <c r="E84" s="115" t="str">
        <f>IF(Curs!G83&lt;&gt;"a","",Curs!G83)</f>
        <v/>
      </c>
      <c r="F84" s="115" t="str">
        <f>IF(Curs!H83&lt;&gt;"a","",Curs!H83)</f>
        <v/>
      </c>
      <c r="G84" s="115" t="str">
        <f>IF(Curs!I83&lt;&gt;"a","",Curs!I83)</f>
        <v/>
      </c>
      <c r="H84" s="115" t="str">
        <f>IF(Curs!J83&lt;&gt;"a","",Curs!J83)</f>
        <v/>
      </c>
      <c r="I84" s="115"/>
      <c r="J84" s="115"/>
      <c r="K84" s="115" t="str">
        <f>IF(Laborator!E84&lt;&gt;"a","",Curs!#REF!)</f>
        <v/>
      </c>
      <c r="L84" s="115" t="str">
        <f>IF(Laborator!F84&lt;&gt;"a","",Curs!#REF!)</f>
        <v/>
      </c>
      <c r="M84" s="115" t="str">
        <f>IF(Laborator!G84&lt;&gt;"a","",Curs!#REF!)</f>
        <v/>
      </c>
      <c r="N84" s="115" t="str">
        <f>IF(Laborator!H84&lt;&gt;"a","",Curs!#REF!)</f>
        <v/>
      </c>
      <c r="O84" s="115" t="str">
        <f>IF(Laborator!I84&lt;&gt;"a","",Curs!#REF!)</f>
        <v/>
      </c>
      <c r="P84" s="115" t="str">
        <f>IF(Laborator!J84&lt;&gt;"a","",Curs!#REF!)</f>
        <v/>
      </c>
      <c r="Q84" s="115"/>
      <c r="R84" s="115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9"/>
      <c r="AF84" s="109"/>
      <c r="AG84" s="106"/>
    </row>
    <row r="85" spans="1:33" ht="19.95" customHeight="1" x14ac:dyDescent="0.3">
      <c r="A85" s="106" t="str">
        <f>Curs!B84</f>
        <v/>
      </c>
      <c r="B85" s="107" t="str">
        <f>IF(NOT(ISBLANK(Curs!C84)),Curs!C84,"")</f>
        <v/>
      </c>
      <c r="C85" s="115" t="str">
        <f>IF(Curs!E84&lt;&gt;"a","",Curs!E84)</f>
        <v/>
      </c>
      <c r="D85" s="115" t="str">
        <f>IF(Curs!F84&lt;&gt;"a","",Curs!F84)</f>
        <v/>
      </c>
      <c r="E85" s="115" t="str">
        <f>IF(Curs!G84&lt;&gt;"a","",Curs!G84)</f>
        <v/>
      </c>
      <c r="F85" s="115" t="str">
        <f>IF(Curs!H84&lt;&gt;"a","",Curs!H84)</f>
        <v/>
      </c>
      <c r="G85" s="115" t="str">
        <f>IF(Curs!I84&lt;&gt;"a","",Curs!I84)</f>
        <v/>
      </c>
      <c r="H85" s="115" t="str">
        <f>IF(Curs!J84&lt;&gt;"a","",Curs!J84)</f>
        <v/>
      </c>
      <c r="I85" s="115"/>
      <c r="J85" s="115"/>
      <c r="K85" s="115" t="str">
        <f>IF(Laborator!E85&lt;&gt;"a","",Curs!#REF!)</f>
        <v/>
      </c>
      <c r="L85" s="115" t="str">
        <f>IF(Laborator!F85&lt;&gt;"a","",Curs!#REF!)</f>
        <v/>
      </c>
      <c r="M85" s="115" t="str">
        <f>IF(Laborator!G85&lt;&gt;"a","",Curs!#REF!)</f>
        <v/>
      </c>
      <c r="N85" s="115" t="str">
        <f>IF(Laborator!H85&lt;&gt;"a","",Curs!#REF!)</f>
        <v/>
      </c>
      <c r="O85" s="115" t="str">
        <f>IF(Laborator!I85&lt;&gt;"a","",Curs!#REF!)</f>
        <v/>
      </c>
      <c r="P85" s="115" t="str">
        <f>IF(Laborator!J85&lt;&gt;"a","",Curs!#REF!)</f>
        <v/>
      </c>
      <c r="Q85" s="115"/>
      <c r="R85" s="115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9"/>
      <c r="AF85" s="109"/>
      <c r="AG85" s="106"/>
    </row>
    <row r="86" spans="1:33" ht="19.95" customHeight="1" x14ac:dyDescent="0.3">
      <c r="A86" s="106" t="str">
        <f>Curs!B85</f>
        <v/>
      </c>
      <c r="B86" s="107" t="str">
        <f>IF(NOT(ISBLANK(Curs!C85)),Curs!C85,"")</f>
        <v/>
      </c>
      <c r="C86" s="115" t="str">
        <f>IF(Curs!E85&lt;&gt;"a","",Curs!E85)</f>
        <v/>
      </c>
      <c r="D86" s="115" t="str">
        <f>IF(Curs!F85&lt;&gt;"a","",Curs!F85)</f>
        <v/>
      </c>
      <c r="E86" s="115" t="str">
        <f>IF(Curs!G85&lt;&gt;"a","",Curs!G85)</f>
        <v/>
      </c>
      <c r="F86" s="115" t="str">
        <f>IF(Curs!H85&lt;&gt;"a","",Curs!H85)</f>
        <v/>
      </c>
      <c r="G86" s="115" t="str">
        <f>IF(Curs!I85&lt;&gt;"a","",Curs!I85)</f>
        <v/>
      </c>
      <c r="H86" s="115" t="str">
        <f>IF(Curs!J85&lt;&gt;"a","",Curs!J85)</f>
        <v/>
      </c>
      <c r="I86" s="115"/>
      <c r="J86" s="115"/>
      <c r="K86" s="115" t="str">
        <f>IF(Laborator!E86&lt;&gt;"a","",Curs!#REF!)</f>
        <v/>
      </c>
      <c r="L86" s="115" t="str">
        <f>IF(Laborator!F86&lt;&gt;"a","",Curs!#REF!)</f>
        <v/>
      </c>
      <c r="M86" s="115" t="str">
        <f>IF(Laborator!G86&lt;&gt;"a","",Curs!#REF!)</f>
        <v/>
      </c>
      <c r="N86" s="115" t="str">
        <f>IF(Laborator!H86&lt;&gt;"a","",Curs!#REF!)</f>
        <v/>
      </c>
      <c r="O86" s="115" t="str">
        <f>IF(Laborator!I86&lt;&gt;"a","",Curs!#REF!)</f>
        <v/>
      </c>
      <c r="P86" s="115" t="str">
        <f>IF(Laborator!J86&lt;&gt;"a","",Curs!#REF!)</f>
        <v/>
      </c>
      <c r="Q86" s="115"/>
      <c r="R86" s="115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9"/>
      <c r="AF86" s="109"/>
      <c r="AG86" s="106"/>
    </row>
    <row r="87" spans="1:33" ht="19.95" customHeight="1" x14ac:dyDescent="0.3">
      <c r="A87" s="106" t="str">
        <f>Curs!B86</f>
        <v/>
      </c>
      <c r="B87" s="107" t="str">
        <f>IF(NOT(ISBLANK(Curs!C86)),Curs!C86,"")</f>
        <v/>
      </c>
      <c r="C87" s="115" t="str">
        <f>IF(Curs!E86&lt;&gt;"a","",Curs!E86)</f>
        <v/>
      </c>
      <c r="D87" s="115" t="str">
        <f>IF(Curs!F86&lt;&gt;"a","",Curs!F86)</f>
        <v/>
      </c>
      <c r="E87" s="115" t="str">
        <f>IF(Curs!G86&lt;&gt;"a","",Curs!G86)</f>
        <v/>
      </c>
      <c r="F87" s="115" t="str">
        <f>IF(Curs!H86&lt;&gt;"a","",Curs!H86)</f>
        <v/>
      </c>
      <c r="G87" s="115" t="str">
        <f>IF(Curs!I86&lt;&gt;"a","",Curs!I86)</f>
        <v/>
      </c>
      <c r="H87" s="115" t="str">
        <f>IF(Curs!J86&lt;&gt;"a","",Curs!J86)</f>
        <v/>
      </c>
      <c r="I87" s="115"/>
      <c r="J87" s="115"/>
      <c r="K87" s="115" t="str">
        <f>IF(Laborator!E87&lt;&gt;"a","",Curs!#REF!)</f>
        <v/>
      </c>
      <c r="L87" s="115" t="str">
        <f>IF(Laborator!F87&lt;&gt;"a","",Curs!#REF!)</f>
        <v/>
      </c>
      <c r="M87" s="115" t="str">
        <f>IF(Laborator!G87&lt;&gt;"a","",Curs!#REF!)</f>
        <v/>
      </c>
      <c r="N87" s="115" t="str">
        <f>IF(Laborator!H87&lt;&gt;"a","",Curs!#REF!)</f>
        <v/>
      </c>
      <c r="O87" s="115" t="str">
        <f>IF(Laborator!I87&lt;&gt;"a","",Curs!#REF!)</f>
        <v/>
      </c>
      <c r="P87" s="115" t="str">
        <f>IF(Laborator!J87&lt;&gt;"a","",Curs!#REF!)</f>
        <v/>
      </c>
      <c r="Q87" s="115"/>
      <c r="R87" s="115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9"/>
      <c r="AF87" s="109"/>
      <c r="AG87" s="106"/>
    </row>
    <row r="88" spans="1:33" ht="19.95" customHeight="1" x14ac:dyDescent="0.3">
      <c r="A88" s="106" t="str">
        <f>Curs!B87</f>
        <v/>
      </c>
      <c r="B88" s="107" t="str">
        <f>IF(NOT(ISBLANK(Curs!C87)),Curs!C87,"")</f>
        <v/>
      </c>
      <c r="C88" s="115" t="str">
        <f>IF(Curs!E87&lt;&gt;"a","",Curs!E87)</f>
        <v/>
      </c>
      <c r="D88" s="115" t="str">
        <f>IF(Curs!F87&lt;&gt;"a","",Curs!F87)</f>
        <v/>
      </c>
      <c r="E88" s="115" t="str">
        <f>IF(Curs!G87&lt;&gt;"a","",Curs!G87)</f>
        <v/>
      </c>
      <c r="F88" s="115" t="str">
        <f>IF(Curs!H87&lt;&gt;"a","",Curs!H87)</f>
        <v/>
      </c>
      <c r="G88" s="115" t="str">
        <f>IF(Curs!I87&lt;&gt;"a","",Curs!I87)</f>
        <v/>
      </c>
      <c r="H88" s="115" t="str">
        <f>IF(Curs!J87&lt;&gt;"a","",Curs!J87)</f>
        <v/>
      </c>
      <c r="I88" s="115"/>
      <c r="J88" s="115"/>
      <c r="K88" s="115" t="str">
        <f>IF(Laborator!E88&lt;&gt;"a","",Curs!#REF!)</f>
        <v/>
      </c>
      <c r="L88" s="115" t="str">
        <f>IF(Laborator!F88&lt;&gt;"a","",Curs!#REF!)</f>
        <v/>
      </c>
      <c r="M88" s="115" t="str">
        <f>IF(Laborator!G88&lt;&gt;"a","",Curs!#REF!)</f>
        <v/>
      </c>
      <c r="N88" s="115" t="str">
        <f>IF(Laborator!H88&lt;&gt;"a","",Curs!#REF!)</f>
        <v/>
      </c>
      <c r="O88" s="115" t="str">
        <f>IF(Laborator!I88&lt;&gt;"a","",Curs!#REF!)</f>
        <v/>
      </c>
      <c r="P88" s="115" t="str">
        <f>IF(Laborator!J88&lt;&gt;"a","",Curs!#REF!)</f>
        <v/>
      </c>
      <c r="Q88" s="115"/>
      <c r="R88" s="115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9"/>
      <c r="AF88" s="109"/>
      <c r="AG88" s="106"/>
    </row>
    <row r="89" spans="1:33" ht="19.95" customHeight="1" x14ac:dyDescent="0.3">
      <c r="A89" s="106" t="str">
        <f>Curs!B88</f>
        <v/>
      </c>
      <c r="B89" s="107" t="str">
        <f>IF(NOT(ISBLANK(Curs!C88)),Curs!C88,"")</f>
        <v/>
      </c>
      <c r="C89" s="115" t="str">
        <f>IF(Curs!E88&lt;&gt;"a","",Curs!E88)</f>
        <v/>
      </c>
      <c r="D89" s="115" t="str">
        <f>IF(Curs!F88&lt;&gt;"a","",Curs!F88)</f>
        <v/>
      </c>
      <c r="E89" s="115" t="str">
        <f>IF(Curs!G88&lt;&gt;"a","",Curs!G88)</f>
        <v/>
      </c>
      <c r="F89" s="115" t="str">
        <f>IF(Curs!H88&lt;&gt;"a","",Curs!H88)</f>
        <v/>
      </c>
      <c r="G89" s="115" t="str">
        <f>IF(Curs!I88&lt;&gt;"a","",Curs!I88)</f>
        <v/>
      </c>
      <c r="H89" s="115" t="str">
        <f>IF(Curs!J88&lt;&gt;"a","",Curs!J88)</f>
        <v/>
      </c>
      <c r="I89" s="115"/>
      <c r="J89" s="115"/>
      <c r="K89" s="115" t="str">
        <f>IF(Laborator!E89&lt;&gt;"a","",Curs!#REF!)</f>
        <v/>
      </c>
      <c r="L89" s="115" t="str">
        <f>IF(Laborator!F89&lt;&gt;"a","",Curs!#REF!)</f>
        <v/>
      </c>
      <c r="M89" s="115" t="str">
        <f>IF(Laborator!G89&lt;&gt;"a","",Curs!#REF!)</f>
        <v/>
      </c>
      <c r="N89" s="115" t="str">
        <f>IF(Laborator!H89&lt;&gt;"a","",Curs!#REF!)</f>
        <v/>
      </c>
      <c r="O89" s="115" t="str">
        <f>IF(Laborator!I89&lt;&gt;"a","",Curs!#REF!)</f>
        <v/>
      </c>
      <c r="P89" s="115" t="str">
        <f>IF(Laborator!J89&lt;&gt;"a","",Curs!#REF!)</f>
        <v/>
      </c>
      <c r="Q89" s="115"/>
      <c r="R89" s="115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9"/>
      <c r="AF89" s="109"/>
      <c r="AG89" s="106"/>
    </row>
    <row r="90" spans="1:33" ht="19.95" customHeight="1" x14ac:dyDescent="0.3">
      <c r="A90" s="106" t="str">
        <f>Curs!B89</f>
        <v/>
      </c>
      <c r="B90" s="107" t="str">
        <f>IF(NOT(ISBLANK(Curs!C89)),Curs!C89,"")</f>
        <v/>
      </c>
      <c r="C90" s="115" t="str">
        <f>IF(Curs!E89&lt;&gt;"a","",Curs!E89)</f>
        <v/>
      </c>
      <c r="D90" s="115" t="str">
        <f>IF(Curs!F89&lt;&gt;"a","",Curs!F89)</f>
        <v/>
      </c>
      <c r="E90" s="115" t="str">
        <f>IF(Curs!G89&lt;&gt;"a","",Curs!G89)</f>
        <v/>
      </c>
      <c r="F90" s="115" t="str">
        <f>IF(Curs!H89&lt;&gt;"a","",Curs!H89)</f>
        <v/>
      </c>
      <c r="G90" s="115" t="str">
        <f>IF(Curs!I89&lt;&gt;"a","",Curs!I89)</f>
        <v/>
      </c>
      <c r="H90" s="115" t="str">
        <f>IF(Curs!J89&lt;&gt;"a","",Curs!J89)</f>
        <v/>
      </c>
      <c r="I90" s="115"/>
      <c r="J90" s="115"/>
      <c r="K90" s="115" t="str">
        <f>IF(Laborator!E90&lt;&gt;"a","",Curs!#REF!)</f>
        <v/>
      </c>
      <c r="L90" s="115" t="str">
        <f>IF(Laborator!F90&lt;&gt;"a","",Curs!#REF!)</f>
        <v/>
      </c>
      <c r="M90" s="115" t="str">
        <f>IF(Laborator!G90&lt;&gt;"a","",Curs!#REF!)</f>
        <v/>
      </c>
      <c r="N90" s="115" t="str">
        <f>IF(Laborator!H90&lt;&gt;"a","",Curs!#REF!)</f>
        <v/>
      </c>
      <c r="O90" s="115" t="str">
        <f>IF(Laborator!I90&lt;&gt;"a","",Curs!#REF!)</f>
        <v/>
      </c>
      <c r="P90" s="115" t="str">
        <f>IF(Laborator!J90&lt;&gt;"a","",Curs!#REF!)</f>
        <v/>
      </c>
      <c r="Q90" s="115"/>
      <c r="R90" s="115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9"/>
      <c r="AF90" s="109"/>
      <c r="AG90" s="106"/>
    </row>
    <row r="91" spans="1:33" ht="19.95" customHeight="1" x14ac:dyDescent="0.3">
      <c r="A91" s="106" t="str">
        <f>Curs!B90</f>
        <v/>
      </c>
      <c r="B91" s="107" t="str">
        <f>IF(NOT(ISBLANK(Curs!C90)),Curs!C90,"")</f>
        <v/>
      </c>
      <c r="C91" s="115" t="str">
        <f>IF(Curs!E90&lt;&gt;"a","",Curs!E90)</f>
        <v/>
      </c>
      <c r="D91" s="115" t="str">
        <f>IF(Curs!F90&lt;&gt;"a","",Curs!F90)</f>
        <v/>
      </c>
      <c r="E91" s="115" t="str">
        <f>IF(Curs!G90&lt;&gt;"a","",Curs!G90)</f>
        <v/>
      </c>
      <c r="F91" s="115" t="str">
        <f>IF(Curs!H90&lt;&gt;"a","",Curs!H90)</f>
        <v/>
      </c>
      <c r="G91" s="115" t="str">
        <f>IF(Curs!I90&lt;&gt;"a","",Curs!I90)</f>
        <v/>
      </c>
      <c r="H91" s="115" t="str">
        <f>IF(Curs!J90&lt;&gt;"a","",Curs!J90)</f>
        <v/>
      </c>
      <c r="I91" s="115"/>
      <c r="J91" s="115"/>
      <c r="K91" s="115" t="str">
        <f>IF(Laborator!E91&lt;&gt;"a","",Curs!#REF!)</f>
        <v/>
      </c>
      <c r="L91" s="115" t="str">
        <f>IF(Laborator!F91&lt;&gt;"a","",Curs!#REF!)</f>
        <v/>
      </c>
      <c r="M91" s="115" t="str">
        <f>IF(Laborator!G91&lt;&gt;"a","",Curs!#REF!)</f>
        <v/>
      </c>
      <c r="N91" s="115" t="str">
        <f>IF(Laborator!H91&lt;&gt;"a","",Curs!#REF!)</f>
        <v/>
      </c>
      <c r="O91" s="115" t="str">
        <f>IF(Laborator!I91&lt;&gt;"a","",Curs!#REF!)</f>
        <v/>
      </c>
      <c r="P91" s="115" t="str">
        <f>IF(Laborator!J91&lt;&gt;"a","",Curs!#REF!)</f>
        <v/>
      </c>
      <c r="Q91" s="115"/>
      <c r="R91" s="115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9"/>
      <c r="AF91" s="109"/>
      <c r="AG91" s="106"/>
    </row>
    <row r="92" spans="1:33" ht="19.95" customHeight="1" x14ac:dyDescent="0.3">
      <c r="A92" s="106" t="str">
        <f>Curs!B91</f>
        <v/>
      </c>
      <c r="B92" s="107" t="str">
        <f>IF(NOT(ISBLANK(Curs!C91)),Curs!C91,"")</f>
        <v/>
      </c>
      <c r="C92" s="115" t="str">
        <f>IF(Curs!E91&lt;&gt;"a","",Curs!E91)</f>
        <v/>
      </c>
      <c r="D92" s="115" t="str">
        <f>IF(Curs!F91&lt;&gt;"a","",Curs!F91)</f>
        <v/>
      </c>
      <c r="E92" s="115" t="str">
        <f>IF(Curs!G91&lt;&gt;"a","",Curs!G91)</f>
        <v/>
      </c>
      <c r="F92" s="115" t="str">
        <f>IF(Curs!H91&lt;&gt;"a","",Curs!H91)</f>
        <v/>
      </c>
      <c r="G92" s="115" t="str">
        <f>IF(Curs!I91&lt;&gt;"a","",Curs!I91)</f>
        <v/>
      </c>
      <c r="H92" s="115" t="str">
        <f>IF(Curs!J91&lt;&gt;"a","",Curs!J91)</f>
        <v/>
      </c>
      <c r="I92" s="115"/>
      <c r="J92" s="115"/>
      <c r="K92" s="115" t="str">
        <f>IF(Laborator!E92&lt;&gt;"a","",Curs!#REF!)</f>
        <v/>
      </c>
      <c r="L92" s="115" t="str">
        <f>IF(Laborator!F92&lt;&gt;"a","",Curs!#REF!)</f>
        <v/>
      </c>
      <c r="M92" s="115" t="str">
        <f>IF(Laborator!G92&lt;&gt;"a","",Curs!#REF!)</f>
        <v/>
      </c>
      <c r="N92" s="115" t="str">
        <f>IF(Laborator!H92&lt;&gt;"a","",Curs!#REF!)</f>
        <v/>
      </c>
      <c r="O92" s="115" t="str">
        <f>IF(Laborator!I92&lt;&gt;"a","",Curs!#REF!)</f>
        <v/>
      </c>
      <c r="P92" s="115" t="str">
        <f>IF(Laborator!J92&lt;&gt;"a","",Curs!#REF!)</f>
        <v/>
      </c>
      <c r="Q92" s="115"/>
      <c r="R92" s="115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9"/>
      <c r="AF92" s="109"/>
      <c r="AG92" s="106"/>
    </row>
    <row r="93" spans="1:33" ht="19.95" customHeight="1" x14ac:dyDescent="0.3">
      <c r="A93" s="106" t="str">
        <f>Curs!B92</f>
        <v/>
      </c>
      <c r="B93" s="107" t="str">
        <f>IF(NOT(ISBLANK(Curs!C92)),Curs!C92,"")</f>
        <v/>
      </c>
      <c r="C93" s="115" t="str">
        <f>IF(Curs!E92&lt;&gt;"a","",Curs!E92)</f>
        <v/>
      </c>
      <c r="D93" s="115" t="str">
        <f>IF(Curs!F92&lt;&gt;"a","",Curs!F92)</f>
        <v/>
      </c>
      <c r="E93" s="115" t="str">
        <f>IF(Curs!G92&lt;&gt;"a","",Curs!G92)</f>
        <v/>
      </c>
      <c r="F93" s="115" t="str">
        <f>IF(Curs!H92&lt;&gt;"a","",Curs!H92)</f>
        <v/>
      </c>
      <c r="G93" s="115" t="str">
        <f>IF(Curs!I92&lt;&gt;"a","",Curs!I92)</f>
        <v/>
      </c>
      <c r="H93" s="115" t="str">
        <f>IF(Curs!J92&lt;&gt;"a","",Curs!J92)</f>
        <v/>
      </c>
      <c r="I93" s="115"/>
      <c r="J93" s="115"/>
      <c r="K93" s="115" t="str">
        <f>IF(Laborator!E93&lt;&gt;"a","",Curs!#REF!)</f>
        <v/>
      </c>
      <c r="L93" s="115" t="str">
        <f>IF(Laborator!F93&lt;&gt;"a","",Curs!#REF!)</f>
        <v/>
      </c>
      <c r="M93" s="115" t="str">
        <f>IF(Laborator!G93&lt;&gt;"a","",Curs!#REF!)</f>
        <v/>
      </c>
      <c r="N93" s="115" t="str">
        <f>IF(Laborator!H93&lt;&gt;"a","",Curs!#REF!)</f>
        <v/>
      </c>
      <c r="O93" s="115" t="str">
        <f>IF(Laborator!I93&lt;&gt;"a","",Curs!#REF!)</f>
        <v/>
      </c>
      <c r="P93" s="115" t="str">
        <f>IF(Laborator!J93&lt;&gt;"a","",Curs!#REF!)</f>
        <v/>
      </c>
      <c r="Q93" s="115"/>
      <c r="R93" s="115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9"/>
      <c r="AF93" s="109"/>
      <c r="AG93" s="106"/>
    </row>
    <row r="94" spans="1:33" ht="19.95" customHeight="1" x14ac:dyDescent="0.3">
      <c r="A94" s="106" t="str">
        <f>Curs!B93</f>
        <v/>
      </c>
      <c r="B94" s="107" t="str">
        <f>IF(NOT(ISBLANK(Curs!C93)),Curs!C93,"")</f>
        <v/>
      </c>
      <c r="C94" s="115" t="str">
        <f>IF(Curs!E93&lt;&gt;"a","",Curs!E93)</f>
        <v/>
      </c>
      <c r="D94" s="115" t="str">
        <f>IF(Curs!F93&lt;&gt;"a","",Curs!F93)</f>
        <v/>
      </c>
      <c r="E94" s="115" t="str">
        <f>IF(Curs!G93&lt;&gt;"a","",Curs!G93)</f>
        <v/>
      </c>
      <c r="F94" s="115" t="str">
        <f>IF(Curs!H93&lt;&gt;"a","",Curs!H93)</f>
        <v/>
      </c>
      <c r="G94" s="115" t="str">
        <f>IF(Curs!I93&lt;&gt;"a","",Curs!I93)</f>
        <v/>
      </c>
      <c r="H94" s="115" t="str">
        <f>IF(Curs!J93&lt;&gt;"a","",Curs!J93)</f>
        <v/>
      </c>
      <c r="I94" s="115"/>
      <c r="J94" s="115"/>
      <c r="K94" s="115" t="str">
        <f>IF(Laborator!E94&lt;&gt;"a","",Curs!#REF!)</f>
        <v/>
      </c>
      <c r="L94" s="115" t="str">
        <f>IF(Laborator!F94&lt;&gt;"a","",Curs!#REF!)</f>
        <v/>
      </c>
      <c r="M94" s="115" t="str">
        <f>IF(Laborator!G94&lt;&gt;"a","",Curs!#REF!)</f>
        <v/>
      </c>
      <c r="N94" s="115" t="str">
        <f>IF(Laborator!H94&lt;&gt;"a","",Curs!#REF!)</f>
        <v/>
      </c>
      <c r="O94" s="115" t="str">
        <f>IF(Laborator!I94&lt;&gt;"a","",Curs!#REF!)</f>
        <v/>
      </c>
      <c r="P94" s="115" t="str">
        <f>IF(Laborator!J94&lt;&gt;"a","",Curs!#REF!)</f>
        <v/>
      </c>
      <c r="Q94" s="115"/>
      <c r="R94" s="115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9"/>
      <c r="AF94" s="109"/>
      <c r="AG94" s="106"/>
    </row>
    <row r="95" spans="1:33" ht="19.95" customHeight="1" x14ac:dyDescent="0.3">
      <c r="A95" s="106" t="str">
        <f>Curs!B94</f>
        <v/>
      </c>
      <c r="B95" s="107" t="str">
        <f>IF(NOT(ISBLANK(Curs!C94)),Curs!C94,"")</f>
        <v/>
      </c>
      <c r="C95" s="115" t="str">
        <f>IF(Curs!E94&lt;&gt;"a","",Curs!E94)</f>
        <v/>
      </c>
      <c r="D95" s="115" t="str">
        <f>IF(Curs!F94&lt;&gt;"a","",Curs!F94)</f>
        <v/>
      </c>
      <c r="E95" s="115" t="str">
        <f>IF(Curs!G94&lt;&gt;"a","",Curs!G94)</f>
        <v/>
      </c>
      <c r="F95" s="115" t="str">
        <f>IF(Curs!H94&lt;&gt;"a","",Curs!H94)</f>
        <v/>
      </c>
      <c r="G95" s="115" t="str">
        <f>IF(Curs!I94&lt;&gt;"a","",Curs!I94)</f>
        <v/>
      </c>
      <c r="H95" s="115" t="str">
        <f>IF(Curs!J94&lt;&gt;"a","",Curs!J94)</f>
        <v/>
      </c>
      <c r="I95" s="115"/>
      <c r="J95" s="115"/>
      <c r="K95" s="115" t="str">
        <f>IF(Laborator!E95&lt;&gt;"a","",Curs!#REF!)</f>
        <v/>
      </c>
      <c r="L95" s="115" t="str">
        <f>IF(Laborator!F95&lt;&gt;"a","",Curs!#REF!)</f>
        <v/>
      </c>
      <c r="M95" s="115" t="str">
        <f>IF(Laborator!G95&lt;&gt;"a","",Curs!#REF!)</f>
        <v/>
      </c>
      <c r="N95" s="115" t="str">
        <f>IF(Laborator!H95&lt;&gt;"a","",Curs!#REF!)</f>
        <v/>
      </c>
      <c r="O95" s="115" t="str">
        <f>IF(Laborator!I95&lt;&gt;"a","",Curs!#REF!)</f>
        <v/>
      </c>
      <c r="P95" s="115" t="str">
        <f>IF(Laborator!J95&lt;&gt;"a","",Curs!#REF!)</f>
        <v/>
      </c>
      <c r="Q95" s="115"/>
      <c r="R95" s="115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9"/>
      <c r="AF95" s="109"/>
      <c r="AG95" s="106"/>
    </row>
    <row r="96" spans="1:33" ht="19.95" customHeight="1" x14ac:dyDescent="0.3">
      <c r="A96" s="106" t="str">
        <f>Curs!B95</f>
        <v/>
      </c>
      <c r="B96" s="107" t="str">
        <f>IF(NOT(ISBLANK(Curs!C95)),Curs!C95,"")</f>
        <v/>
      </c>
      <c r="C96" s="115" t="str">
        <f>IF(Curs!E95&lt;&gt;"a","",Curs!E95)</f>
        <v/>
      </c>
      <c r="D96" s="115" t="str">
        <f>IF(Curs!F95&lt;&gt;"a","",Curs!F95)</f>
        <v/>
      </c>
      <c r="E96" s="115" t="str">
        <f>IF(Curs!G95&lt;&gt;"a","",Curs!G95)</f>
        <v/>
      </c>
      <c r="F96" s="115" t="str">
        <f>IF(Curs!H95&lt;&gt;"a","",Curs!H95)</f>
        <v/>
      </c>
      <c r="G96" s="115" t="str">
        <f>IF(Curs!I95&lt;&gt;"a","",Curs!I95)</f>
        <v/>
      </c>
      <c r="H96" s="115" t="str">
        <f>IF(Curs!J95&lt;&gt;"a","",Curs!J95)</f>
        <v/>
      </c>
      <c r="I96" s="115"/>
      <c r="J96" s="115"/>
      <c r="K96" s="115" t="str">
        <f>IF(Laborator!E96&lt;&gt;"a","",Curs!#REF!)</f>
        <v/>
      </c>
      <c r="L96" s="115" t="str">
        <f>IF(Laborator!F96&lt;&gt;"a","",Curs!#REF!)</f>
        <v/>
      </c>
      <c r="M96" s="115" t="str">
        <f>IF(Laborator!G96&lt;&gt;"a","",Curs!#REF!)</f>
        <v/>
      </c>
      <c r="N96" s="115" t="str">
        <f>IF(Laborator!H96&lt;&gt;"a","",Curs!#REF!)</f>
        <v/>
      </c>
      <c r="O96" s="115" t="str">
        <f>IF(Laborator!I96&lt;&gt;"a","",Curs!#REF!)</f>
        <v/>
      </c>
      <c r="P96" s="115" t="str">
        <f>IF(Laborator!J96&lt;&gt;"a","",Curs!#REF!)</f>
        <v/>
      </c>
      <c r="Q96" s="115"/>
      <c r="R96" s="115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9"/>
      <c r="AF96" s="109"/>
      <c r="AG96" s="106"/>
    </row>
    <row r="97" spans="1:33" ht="19.95" customHeight="1" x14ac:dyDescent="0.3">
      <c r="A97" s="106" t="str">
        <f>Curs!B96</f>
        <v/>
      </c>
      <c r="B97" s="107" t="str">
        <f>IF(NOT(ISBLANK(Curs!C96)),Curs!C96,"")</f>
        <v/>
      </c>
      <c r="C97" s="115" t="str">
        <f>IF(Curs!E96&lt;&gt;"a","",Curs!E96)</f>
        <v/>
      </c>
      <c r="D97" s="115" t="str">
        <f>IF(Curs!F96&lt;&gt;"a","",Curs!F96)</f>
        <v/>
      </c>
      <c r="E97" s="115" t="str">
        <f>IF(Curs!G96&lt;&gt;"a","",Curs!G96)</f>
        <v/>
      </c>
      <c r="F97" s="115" t="str">
        <f>IF(Curs!H96&lt;&gt;"a","",Curs!H96)</f>
        <v/>
      </c>
      <c r="G97" s="115" t="str">
        <f>IF(Curs!I96&lt;&gt;"a","",Curs!I96)</f>
        <v/>
      </c>
      <c r="H97" s="115" t="str">
        <f>IF(Curs!J96&lt;&gt;"a","",Curs!J96)</f>
        <v/>
      </c>
      <c r="I97" s="115"/>
      <c r="J97" s="115"/>
      <c r="K97" s="115" t="str">
        <f>IF(Laborator!E97&lt;&gt;"a","",Curs!#REF!)</f>
        <v/>
      </c>
      <c r="L97" s="115" t="str">
        <f>IF(Laborator!F97&lt;&gt;"a","",Curs!#REF!)</f>
        <v/>
      </c>
      <c r="M97" s="115" t="str">
        <f>IF(Laborator!G97&lt;&gt;"a","",Curs!#REF!)</f>
        <v/>
      </c>
      <c r="N97" s="115" t="str">
        <f>IF(Laborator!H97&lt;&gt;"a","",Curs!#REF!)</f>
        <v/>
      </c>
      <c r="O97" s="115" t="str">
        <f>IF(Laborator!I97&lt;&gt;"a","",Curs!#REF!)</f>
        <v/>
      </c>
      <c r="P97" s="115" t="str">
        <f>IF(Laborator!J97&lt;&gt;"a","",Curs!#REF!)</f>
        <v/>
      </c>
      <c r="Q97" s="115"/>
      <c r="R97" s="115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9"/>
      <c r="AF97" s="109"/>
      <c r="AG97" s="106"/>
    </row>
    <row r="98" spans="1:33" ht="19.95" customHeight="1" x14ac:dyDescent="0.3">
      <c r="A98" s="106" t="str">
        <f>Curs!B97</f>
        <v/>
      </c>
      <c r="B98" s="107" t="str">
        <f>IF(NOT(ISBLANK(Curs!C97)),Curs!C97,"")</f>
        <v/>
      </c>
      <c r="C98" s="115" t="str">
        <f>IF(Curs!E97&lt;&gt;"a","",Curs!E97)</f>
        <v/>
      </c>
      <c r="D98" s="115" t="str">
        <f>IF(Curs!F97&lt;&gt;"a","",Curs!F97)</f>
        <v/>
      </c>
      <c r="E98" s="115" t="str">
        <f>IF(Curs!G97&lt;&gt;"a","",Curs!G97)</f>
        <v/>
      </c>
      <c r="F98" s="115" t="str">
        <f>IF(Curs!H97&lt;&gt;"a","",Curs!H97)</f>
        <v/>
      </c>
      <c r="G98" s="115" t="str">
        <f>IF(Curs!I97&lt;&gt;"a","",Curs!I97)</f>
        <v/>
      </c>
      <c r="H98" s="115" t="str">
        <f>IF(Curs!J97&lt;&gt;"a","",Curs!J97)</f>
        <v/>
      </c>
      <c r="I98" s="115"/>
      <c r="J98" s="115"/>
      <c r="K98" s="115" t="str">
        <f>IF(Laborator!E98&lt;&gt;"a","",Curs!#REF!)</f>
        <v/>
      </c>
      <c r="L98" s="115" t="str">
        <f>IF(Laborator!F98&lt;&gt;"a","",Curs!#REF!)</f>
        <v/>
      </c>
      <c r="M98" s="115" t="str">
        <f>IF(Laborator!G98&lt;&gt;"a","",Curs!#REF!)</f>
        <v/>
      </c>
      <c r="N98" s="115" t="str">
        <f>IF(Laborator!H98&lt;&gt;"a","",Curs!#REF!)</f>
        <v/>
      </c>
      <c r="O98" s="115" t="str">
        <f>IF(Laborator!I98&lt;&gt;"a","",Curs!#REF!)</f>
        <v/>
      </c>
      <c r="P98" s="115" t="str">
        <f>IF(Laborator!J98&lt;&gt;"a","",Curs!#REF!)</f>
        <v/>
      </c>
      <c r="Q98" s="115"/>
      <c r="R98" s="115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9"/>
      <c r="AF98" s="109"/>
      <c r="AG98" s="106"/>
    </row>
    <row r="99" spans="1:33" ht="19.95" customHeight="1" x14ac:dyDescent="0.3">
      <c r="A99" s="106" t="str">
        <f>Curs!B98</f>
        <v/>
      </c>
      <c r="B99" s="107" t="str">
        <f>IF(NOT(ISBLANK(Curs!C98)),Curs!C98,"")</f>
        <v/>
      </c>
      <c r="C99" s="115" t="str">
        <f>IF(Curs!E98&lt;&gt;"a","",Curs!E98)</f>
        <v/>
      </c>
      <c r="D99" s="115" t="str">
        <f>IF(Curs!F98&lt;&gt;"a","",Curs!F98)</f>
        <v/>
      </c>
      <c r="E99" s="115" t="str">
        <f>IF(Curs!G98&lt;&gt;"a","",Curs!G98)</f>
        <v/>
      </c>
      <c r="F99" s="115" t="str">
        <f>IF(Curs!H98&lt;&gt;"a","",Curs!H98)</f>
        <v/>
      </c>
      <c r="G99" s="115" t="str">
        <f>IF(Curs!I98&lt;&gt;"a","",Curs!I98)</f>
        <v/>
      </c>
      <c r="H99" s="115" t="str">
        <f>IF(Curs!J98&lt;&gt;"a","",Curs!J98)</f>
        <v/>
      </c>
      <c r="I99" s="115"/>
      <c r="J99" s="115"/>
      <c r="K99" s="115" t="str">
        <f>IF(Laborator!E99&lt;&gt;"a","",Curs!#REF!)</f>
        <v/>
      </c>
      <c r="L99" s="115" t="str">
        <f>IF(Laborator!F99&lt;&gt;"a","",Curs!#REF!)</f>
        <v/>
      </c>
      <c r="M99" s="115" t="str">
        <f>IF(Laborator!G99&lt;&gt;"a","",Curs!#REF!)</f>
        <v/>
      </c>
      <c r="N99" s="115" t="str">
        <f>IF(Laborator!H99&lt;&gt;"a","",Curs!#REF!)</f>
        <v/>
      </c>
      <c r="O99" s="115" t="str">
        <f>IF(Laborator!I99&lt;&gt;"a","",Curs!#REF!)</f>
        <v/>
      </c>
      <c r="P99" s="115" t="str">
        <f>IF(Laborator!J99&lt;&gt;"a","",Curs!#REF!)</f>
        <v/>
      </c>
      <c r="Q99" s="115"/>
      <c r="R99" s="115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9"/>
      <c r="AF99" s="109"/>
      <c r="AG99" s="106"/>
    </row>
    <row r="100" spans="1:33" ht="19.95" customHeight="1" x14ac:dyDescent="0.3">
      <c r="A100" s="106" t="str">
        <f>Curs!B99</f>
        <v/>
      </c>
      <c r="B100" s="107" t="str">
        <f>IF(NOT(ISBLANK(Curs!C99)),Curs!C99,"")</f>
        <v/>
      </c>
      <c r="C100" s="115" t="str">
        <f>IF(Curs!E99&lt;&gt;"a","",Curs!E99)</f>
        <v/>
      </c>
      <c r="D100" s="115" t="str">
        <f>IF(Curs!F99&lt;&gt;"a","",Curs!F99)</f>
        <v/>
      </c>
      <c r="E100" s="115" t="str">
        <f>IF(Curs!G99&lt;&gt;"a","",Curs!G99)</f>
        <v/>
      </c>
      <c r="F100" s="115" t="str">
        <f>IF(Curs!H99&lt;&gt;"a","",Curs!H99)</f>
        <v/>
      </c>
      <c r="G100" s="115" t="str">
        <f>IF(Curs!I99&lt;&gt;"a","",Curs!I99)</f>
        <v/>
      </c>
      <c r="H100" s="115" t="str">
        <f>IF(Curs!J99&lt;&gt;"a","",Curs!J99)</f>
        <v/>
      </c>
      <c r="I100" s="115"/>
      <c r="J100" s="115"/>
      <c r="K100" s="115" t="str">
        <f>IF(Laborator!E100&lt;&gt;"a","",Curs!#REF!)</f>
        <v/>
      </c>
      <c r="L100" s="115" t="str">
        <f>IF(Laborator!F100&lt;&gt;"a","",Curs!#REF!)</f>
        <v/>
      </c>
      <c r="M100" s="115" t="str">
        <f>IF(Laborator!G100&lt;&gt;"a","",Curs!#REF!)</f>
        <v/>
      </c>
      <c r="N100" s="115" t="str">
        <f>IF(Laborator!H100&lt;&gt;"a","",Curs!#REF!)</f>
        <v/>
      </c>
      <c r="O100" s="115" t="str">
        <f>IF(Laborator!I100&lt;&gt;"a","",Curs!#REF!)</f>
        <v/>
      </c>
      <c r="P100" s="115" t="str">
        <f>IF(Laborator!J100&lt;&gt;"a","",Curs!#REF!)</f>
        <v/>
      </c>
      <c r="Q100" s="115"/>
      <c r="R100" s="115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9"/>
      <c r="AF100" s="109"/>
      <c r="AG100" s="106"/>
    </row>
    <row r="101" spans="1:33" ht="19.95" customHeight="1" x14ac:dyDescent="0.3">
      <c r="A101" s="106" t="str">
        <f>Curs!B100</f>
        <v/>
      </c>
      <c r="B101" s="107" t="str">
        <f>IF(NOT(ISBLANK(Curs!C100)),Curs!C100,"")</f>
        <v/>
      </c>
      <c r="C101" s="115" t="str">
        <f>IF(Curs!E100&lt;&gt;"a","",Curs!E100)</f>
        <v/>
      </c>
      <c r="D101" s="115" t="str">
        <f>IF(Curs!F100&lt;&gt;"a","",Curs!F100)</f>
        <v/>
      </c>
      <c r="E101" s="115" t="str">
        <f>IF(Curs!G100&lt;&gt;"a","",Curs!G100)</f>
        <v/>
      </c>
      <c r="F101" s="115" t="str">
        <f>IF(Curs!H100&lt;&gt;"a","",Curs!H100)</f>
        <v/>
      </c>
      <c r="G101" s="115" t="str">
        <f>IF(Curs!I100&lt;&gt;"a","",Curs!I100)</f>
        <v/>
      </c>
      <c r="H101" s="115" t="str">
        <f>IF(Curs!J100&lt;&gt;"a","",Curs!J100)</f>
        <v/>
      </c>
      <c r="I101" s="115"/>
      <c r="J101" s="115"/>
      <c r="K101" s="115" t="str">
        <f>IF(Laborator!E101&lt;&gt;"a","",Curs!#REF!)</f>
        <v/>
      </c>
      <c r="L101" s="115" t="str">
        <f>IF(Laborator!F101&lt;&gt;"a","",Curs!#REF!)</f>
        <v/>
      </c>
      <c r="M101" s="115" t="str">
        <f>IF(Laborator!G101&lt;&gt;"a","",Curs!#REF!)</f>
        <v/>
      </c>
      <c r="N101" s="115" t="str">
        <f>IF(Laborator!H101&lt;&gt;"a","",Curs!#REF!)</f>
        <v/>
      </c>
      <c r="O101" s="115" t="str">
        <f>IF(Laborator!I101&lt;&gt;"a","",Curs!#REF!)</f>
        <v/>
      </c>
      <c r="P101" s="115" t="str">
        <f>IF(Laborator!J101&lt;&gt;"a","",Curs!#REF!)</f>
        <v/>
      </c>
      <c r="Q101" s="115"/>
      <c r="R101" s="115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9"/>
      <c r="AF101" s="109"/>
      <c r="AG101" s="106"/>
    </row>
    <row r="102" spans="1:33" ht="19.95" customHeight="1" x14ac:dyDescent="0.3">
      <c r="A102" s="106" t="str">
        <f>Curs!B101</f>
        <v/>
      </c>
      <c r="B102" s="107" t="str">
        <f>IF(NOT(ISBLANK(Curs!C101)),Curs!C101,"")</f>
        <v/>
      </c>
      <c r="C102" s="115" t="str">
        <f>IF(Curs!E101&lt;&gt;"a","",Curs!E101)</f>
        <v/>
      </c>
      <c r="D102" s="115" t="str">
        <f>IF(Curs!F101&lt;&gt;"a","",Curs!F101)</f>
        <v/>
      </c>
      <c r="E102" s="115" t="str">
        <f>IF(Curs!G101&lt;&gt;"a","",Curs!G101)</f>
        <v/>
      </c>
      <c r="F102" s="115" t="str">
        <f>IF(Curs!H101&lt;&gt;"a","",Curs!H101)</f>
        <v/>
      </c>
      <c r="G102" s="115" t="str">
        <f>IF(Curs!I101&lt;&gt;"a","",Curs!I101)</f>
        <v/>
      </c>
      <c r="H102" s="115" t="str">
        <f>IF(Curs!J101&lt;&gt;"a","",Curs!J101)</f>
        <v/>
      </c>
      <c r="I102" s="115"/>
      <c r="J102" s="115"/>
      <c r="K102" s="115" t="str">
        <f>IF(Laborator!E102&lt;&gt;"a","",Curs!#REF!)</f>
        <v/>
      </c>
      <c r="L102" s="115" t="str">
        <f>IF(Laborator!F102&lt;&gt;"a","",Curs!#REF!)</f>
        <v/>
      </c>
      <c r="M102" s="115" t="str">
        <f>IF(Laborator!G102&lt;&gt;"a","",Curs!#REF!)</f>
        <v/>
      </c>
      <c r="N102" s="115" t="str">
        <f>IF(Laborator!H102&lt;&gt;"a","",Curs!#REF!)</f>
        <v/>
      </c>
      <c r="O102" s="115" t="str">
        <f>IF(Laborator!I102&lt;&gt;"a","",Curs!#REF!)</f>
        <v/>
      </c>
      <c r="P102" s="115" t="str">
        <f>IF(Laborator!J102&lt;&gt;"a","",Curs!#REF!)</f>
        <v/>
      </c>
      <c r="Q102" s="115"/>
      <c r="R102" s="115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9"/>
      <c r="AF102" s="109"/>
      <c r="AG102" s="106"/>
    </row>
    <row r="103" spans="1:33" ht="19.95" customHeight="1" x14ac:dyDescent="0.3">
      <c r="A103" s="106" t="str">
        <f>Curs!B102</f>
        <v/>
      </c>
      <c r="B103" s="107" t="str">
        <f>IF(NOT(ISBLANK(Curs!C102)),Curs!C102,"")</f>
        <v/>
      </c>
      <c r="C103" s="115" t="str">
        <f>IF(Curs!E102&lt;&gt;"a","",Curs!E102)</f>
        <v/>
      </c>
      <c r="D103" s="115" t="str">
        <f>IF(Curs!F102&lt;&gt;"a","",Curs!F102)</f>
        <v/>
      </c>
      <c r="E103" s="115" t="str">
        <f>IF(Curs!G102&lt;&gt;"a","",Curs!G102)</f>
        <v/>
      </c>
      <c r="F103" s="115" t="str">
        <f>IF(Curs!H102&lt;&gt;"a","",Curs!H102)</f>
        <v/>
      </c>
      <c r="G103" s="115" t="str">
        <f>IF(Curs!I102&lt;&gt;"a","",Curs!I102)</f>
        <v/>
      </c>
      <c r="H103" s="115" t="str">
        <f>IF(Curs!J102&lt;&gt;"a","",Curs!J102)</f>
        <v/>
      </c>
      <c r="I103" s="115"/>
      <c r="J103" s="115"/>
      <c r="K103" s="115" t="str">
        <f>IF(Laborator!E103&lt;&gt;"a","",Curs!#REF!)</f>
        <v/>
      </c>
      <c r="L103" s="115" t="str">
        <f>IF(Laborator!F103&lt;&gt;"a","",Curs!#REF!)</f>
        <v/>
      </c>
      <c r="M103" s="115" t="str">
        <f>IF(Laborator!G103&lt;&gt;"a","",Curs!#REF!)</f>
        <v/>
      </c>
      <c r="N103" s="115" t="str">
        <f>IF(Laborator!H103&lt;&gt;"a","",Curs!#REF!)</f>
        <v/>
      </c>
      <c r="O103" s="115" t="str">
        <f>IF(Laborator!I103&lt;&gt;"a","",Curs!#REF!)</f>
        <v/>
      </c>
      <c r="P103" s="115" t="str">
        <f>IF(Laborator!J103&lt;&gt;"a","",Curs!#REF!)</f>
        <v/>
      </c>
      <c r="Q103" s="115"/>
      <c r="R103" s="115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9"/>
      <c r="AF103" s="109"/>
      <c r="AG103" s="106"/>
    </row>
    <row r="104" spans="1:33" ht="19.95" customHeight="1" x14ac:dyDescent="0.3">
      <c r="A104" s="106" t="str">
        <f>Curs!B103</f>
        <v/>
      </c>
      <c r="B104" s="107" t="str">
        <f>IF(NOT(ISBLANK(Curs!C103)),Curs!C103,"")</f>
        <v/>
      </c>
      <c r="C104" s="115" t="str">
        <f>IF(Curs!E103&lt;&gt;"a","",Curs!E103)</f>
        <v/>
      </c>
      <c r="D104" s="115" t="str">
        <f>IF(Curs!F103&lt;&gt;"a","",Curs!F103)</f>
        <v/>
      </c>
      <c r="E104" s="115" t="str">
        <f>IF(Curs!G103&lt;&gt;"a","",Curs!G103)</f>
        <v/>
      </c>
      <c r="F104" s="115" t="str">
        <f>IF(Curs!H103&lt;&gt;"a","",Curs!H103)</f>
        <v/>
      </c>
      <c r="G104" s="115" t="str">
        <f>IF(Curs!I103&lt;&gt;"a","",Curs!I103)</f>
        <v/>
      </c>
      <c r="H104" s="115" t="str">
        <f>IF(Curs!J103&lt;&gt;"a","",Curs!J103)</f>
        <v/>
      </c>
      <c r="I104" s="115"/>
      <c r="J104" s="115"/>
      <c r="K104" s="115" t="str">
        <f>IF(Laborator!E104&lt;&gt;"a","",Curs!#REF!)</f>
        <v/>
      </c>
      <c r="L104" s="115" t="str">
        <f>IF(Laborator!F104&lt;&gt;"a","",Curs!#REF!)</f>
        <v/>
      </c>
      <c r="M104" s="115" t="str">
        <f>IF(Laborator!G104&lt;&gt;"a","",Curs!#REF!)</f>
        <v/>
      </c>
      <c r="N104" s="115" t="str">
        <f>IF(Laborator!H104&lt;&gt;"a","",Curs!#REF!)</f>
        <v/>
      </c>
      <c r="O104" s="115" t="str">
        <f>IF(Laborator!I104&lt;&gt;"a","",Curs!#REF!)</f>
        <v/>
      </c>
      <c r="P104" s="115" t="str">
        <f>IF(Laborator!J104&lt;&gt;"a","",Curs!#REF!)</f>
        <v/>
      </c>
      <c r="Q104" s="115"/>
      <c r="R104" s="115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9"/>
      <c r="AF104" s="109"/>
      <c r="AG104" s="106"/>
    </row>
    <row r="105" spans="1:33" ht="19.95" customHeight="1" x14ac:dyDescent="0.3">
      <c r="A105" s="106" t="str">
        <f>Curs!B104</f>
        <v/>
      </c>
      <c r="B105" s="107" t="str">
        <f>IF(NOT(ISBLANK(Curs!C104)),Curs!C104,"")</f>
        <v/>
      </c>
      <c r="C105" s="115" t="str">
        <f>IF(Curs!E104&lt;&gt;"a","",Curs!E104)</f>
        <v/>
      </c>
      <c r="D105" s="115" t="str">
        <f>IF(Curs!F104&lt;&gt;"a","",Curs!F104)</f>
        <v/>
      </c>
      <c r="E105" s="115" t="str">
        <f>IF(Curs!G104&lt;&gt;"a","",Curs!G104)</f>
        <v/>
      </c>
      <c r="F105" s="115" t="str">
        <f>IF(Curs!H104&lt;&gt;"a","",Curs!H104)</f>
        <v/>
      </c>
      <c r="G105" s="115" t="str">
        <f>IF(Curs!I104&lt;&gt;"a","",Curs!I104)</f>
        <v/>
      </c>
      <c r="H105" s="115" t="str">
        <f>IF(Curs!J104&lt;&gt;"a","",Curs!J104)</f>
        <v/>
      </c>
      <c r="I105" s="115"/>
      <c r="J105" s="115"/>
      <c r="K105" s="115" t="str">
        <f>IF(Laborator!E105&lt;&gt;"a","",Curs!#REF!)</f>
        <v/>
      </c>
      <c r="L105" s="115" t="str">
        <f>IF(Laborator!F105&lt;&gt;"a","",Curs!#REF!)</f>
        <v/>
      </c>
      <c r="M105" s="115" t="str">
        <f>IF(Laborator!G105&lt;&gt;"a","",Curs!#REF!)</f>
        <v/>
      </c>
      <c r="N105" s="115" t="str">
        <f>IF(Laborator!H105&lt;&gt;"a","",Curs!#REF!)</f>
        <v/>
      </c>
      <c r="O105" s="115" t="str">
        <f>IF(Laborator!I105&lt;&gt;"a","",Curs!#REF!)</f>
        <v/>
      </c>
      <c r="P105" s="115" t="str">
        <f>IF(Laborator!J105&lt;&gt;"a","",Curs!#REF!)</f>
        <v/>
      </c>
      <c r="Q105" s="115"/>
      <c r="R105" s="115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9"/>
      <c r="AF105" s="109"/>
      <c r="AG105" s="106"/>
    </row>
    <row r="106" spans="1:33" ht="19.95" customHeight="1" x14ac:dyDescent="0.3">
      <c r="A106" s="106"/>
      <c r="B106" s="107"/>
      <c r="C106" s="115"/>
      <c r="D106" s="115"/>
      <c r="E106" s="115"/>
      <c r="F106" s="115"/>
      <c r="G106" s="115"/>
      <c r="H106" s="115"/>
      <c r="I106" s="115"/>
      <c r="J106" s="115"/>
      <c r="K106" s="115" t="str">
        <f>IF(Laborator!E106&lt;&gt;"a","",Curs!#REF!)</f>
        <v/>
      </c>
      <c r="L106" s="115" t="str">
        <f>IF(Laborator!F106&lt;&gt;"a","",Curs!#REF!)</f>
        <v/>
      </c>
      <c r="M106" s="115" t="str">
        <f>IF(Laborator!G106&lt;&gt;"a","",Curs!#REF!)</f>
        <v/>
      </c>
      <c r="N106" s="115" t="str">
        <f>IF(Laborator!H106&lt;&gt;"a","",Curs!#REF!)</f>
        <v/>
      </c>
      <c r="O106" s="115" t="str">
        <f>IF(Laborator!I106&lt;&gt;"a","",Curs!#REF!)</f>
        <v/>
      </c>
      <c r="P106" s="115" t="str">
        <f>IF(Laborator!J106&lt;&gt;"a","",Curs!#REF!)</f>
        <v/>
      </c>
      <c r="Q106" s="115"/>
      <c r="R106" s="115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9"/>
      <c r="AF106" s="109"/>
      <c r="AG106" s="106"/>
    </row>
  </sheetData>
  <mergeCells count="37">
    <mergeCell ref="AJ5:AJ6"/>
    <mergeCell ref="AK5:AK6"/>
    <mergeCell ref="AL5:AL6"/>
    <mergeCell ref="AA5:AA6"/>
    <mergeCell ref="AB5:AB6"/>
    <mergeCell ref="AC5:AC6"/>
    <mergeCell ref="AD5:AD6"/>
    <mergeCell ref="AE5:AG5"/>
    <mergeCell ref="AI5:AI6"/>
    <mergeCell ref="N5:N6"/>
    <mergeCell ref="Z5:Z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C4:H4"/>
    <mergeCell ref="K4:P4"/>
    <mergeCell ref="O5:O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Curs</vt:lpstr>
      <vt:lpstr>Laborator</vt:lpstr>
      <vt:lpstr>Lucru Individual</vt:lpstr>
      <vt:lpstr>Examen</vt:lpstr>
      <vt:lpstr>Registru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Electron-UTM</dc:creator>
  <cp:lastModifiedBy>Sanduleac Ionel</cp:lastModifiedBy>
  <dcterms:created xsi:type="dcterms:W3CDTF">2022-01-22T14:35:18Z</dcterms:created>
  <dcterms:modified xsi:type="dcterms:W3CDTF">2024-01-23T11:23:15Z</dcterms:modified>
</cp:coreProperties>
</file>