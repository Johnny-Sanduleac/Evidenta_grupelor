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Activitatea Didactica\Metodica\Excel_registru_electronic\Modificate\Cu delete\"/>
    </mc:Choice>
  </mc:AlternateContent>
  <xr:revisionPtr revIDLastSave="0" documentId="8_{EC8617C1-38CC-4F55-9C69-4AF07F6AA646}" xr6:coauthVersionLast="47" xr6:coauthVersionMax="47" xr10:uidLastSave="{00000000-0000-0000-0000-000000000000}"/>
  <bookViews>
    <workbookView xWindow="-28920" yWindow="-120" windowWidth="29040" windowHeight="15840" tabRatio="759" xr2:uid="{00000000-000D-0000-FFFF-FFFF00000000}"/>
  </bookViews>
  <sheets>
    <sheet name="Curs" sheetId="1" r:id="rId1"/>
    <sheet name="Atest. Nr.1" sheetId="2" r:id="rId2"/>
    <sheet name="Atest. Nr.2" sheetId="3" r:id="rId3"/>
    <sheet name="Exame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2" i="1"/>
  <c r="T7" i="1" l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B11" i="1" l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F3" i="4" l="1"/>
  <c r="G3" i="4" s="1"/>
  <c r="F4" i="4"/>
  <c r="G4" i="4" s="1"/>
  <c r="F5" i="4"/>
  <c r="G5" i="4" s="1"/>
  <c r="F6" i="4"/>
  <c r="G6" i="4" s="1"/>
  <c r="F7" i="4"/>
  <c r="G7" i="4" s="1"/>
  <c r="F8" i="4"/>
  <c r="G8" i="4" s="1"/>
  <c r="F9" i="4"/>
  <c r="G9" i="4" s="1"/>
  <c r="F10" i="4"/>
  <c r="G10" i="4" s="1"/>
  <c r="F11" i="4"/>
  <c r="G11" i="4" s="1"/>
  <c r="F12" i="4"/>
  <c r="G12" i="4" s="1"/>
  <c r="F13" i="4"/>
  <c r="G13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F30" i="4"/>
  <c r="G30" i="4" s="1"/>
  <c r="F31" i="4"/>
  <c r="G31" i="4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G43" i="4" s="1"/>
  <c r="F44" i="4"/>
  <c r="G44" i="4" s="1"/>
  <c r="F45" i="4"/>
  <c r="G45" i="4" s="1"/>
  <c r="F46" i="4"/>
  <c r="G46" i="4" s="1"/>
  <c r="F47" i="4"/>
  <c r="G47" i="4" s="1"/>
  <c r="F48" i="4"/>
  <c r="G48" i="4" s="1"/>
  <c r="F49" i="4"/>
  <c r="G49" i="4" s="1"/>
  <c r="F50" i="4"/>
  <c r="G50" i="4" s="1"/>
  <c r="F51" i="4"/>
  <c r="G51" i="4" s="1"/>
  <c r="F52" i="4"/>
  <c r="G52" i="4" s="1"/>
  <c r="F53" i="4"/>
  <c r="G53" i="4" s="1"/>
  <c r="F54" i="4"/>
  <c r="G54" i="4" s="1"/>
  <c r="F55" i="4"/>
  <c r="G55" i="4" s="1"/>
  <c r="F56" i="4"/>
  <c r="G56" i="4" s="1"/>
  <c r="F57" i="4"/>
  <c r="G57" i="4" s="1"/>
  <c r="F58" i="4"/>
  <c r="G58" i="4" s="1"/>
  <c r="F59" i="4"/>
  <c r="G59" i="4" s="1"/>
  <c r="F60" i="4"/>
  <c r="G60" i="4" s="1"/>
  <c r="F61" i="4"/>
  <c r="G61" i="4" s="1"/>
  <c r="F62" i="4"/>
  <c r="G62" i="4" s="1"/>
  <c r="F63" i="4"/>
  <c r="G63" i="4" s="1"/>
  <c r="F64" i="4"/>
  <c r="G64" i="4" s="1"/>
  <c r="F65" i="4"/>
  <c r="G65" i="4" s="1"/>
  <c r="F66" i="4"/>
  <c r="G66" i="4" s="1"/>
  <c r="F67" i="4"/>
  <c r="G67" i="4" s="1"/>
  <c r="F68" i="4"/>
  <c r="G68" i="4" s="1"/>
  <c r="F69" i="4"/>
  <c r="G69" i="4" s="1"/>
  <c r="F70" i="4"/>
  <c r="G70" i="4" s="1"/>
  <c r="F71" i="4"/>
  <c r="G71" i="4" s="1"/>
  <c r="F72" i="4"/>
  <c r="G72" i="4" s="1"/>
  <c r="F73" i="4"/>
  <c r="G73" i="4" s="1"/>
  <c r="F74" i="4"/>
  <c r="G74" i="4" s="1"/>
  <c r="F75" i="4"/>
  <c r="G75" i="4" s="1"/>
  <c r="F76" i="4"/>
  <c r="G76" i="4" s="1"/>
  <c r="F77" i="4"/>
  <c r="G77" i="4" s="1"/>
  <c r="F78" i="4"/>
  <c r="G78" i="4" s="1"/>
  <c r="F79" i="4"/>
  <c r="G79" i="4" s="1"/>
  <c r="F80" i="4"/>
  <c r="G80" i="4" s="1"/>
  <c r="F81" i="4"/>
  <c r="G81" i="4" s="1"/>
  <c r="F82" i="4"/>
  <c r="G82" i="4" s="1"/>
  <c r="F83" i="4"/>
  <c r="G83" i="4" s="1"/>
  <c r="F84" i="4"/>
  <c r="G84" i="4" s="1"/>
  <c r="F85" i="4"/>
  <c r="G85" i="4" s="1"/>
  <c r="F86" i="4"/>
  <c r="G86" i="4" s="1"/>
  <c r="F87" i="4"/>
  <c r="G87" i="4" s="1"/>
  <c r="F88" i="4"/>
  <c r="G88" i="4" s="1"/>
  <c r="F89" i="4"/>
  <c r="G89" i="4" s="1"/>
  <c r="F90" i="4"/>
  <c r="G90" i="4" s="1"/>
  <c r="F91" i="4"/>
  <c r="G91" i="4" s="1"/>
  <c r="F92" i="4"/>
  <c r="G92" i="4" s="1"/>
  <c r="F93" i="4"/>
  <c r="G93" i="4" s="1"/>
  <c r="F94" i="4"/>
  <c r="G94" i="4" s="1"/>
  <c r="F95" i="4"/>
  <c r="G95" i="4" s="1"/>
  <c r="F96" i="4"/>
  <c r="G96" i="4" s="1"/>
  <c r="F97" i="4"/>
  <c r="G97" i="4" s="1"/>
  <c r="F98" i="4"/>
  <c r="G98" i="4" s="1"/>
  <c r="F99" i="4"/>
  <c r="G99" i="4" s="1"/>
  <c r="F100" i="4"/>
  <c r="G100" i="4" s="1"/>
  <c r="F101" i="4"/>
  <c r="G101" i="4" s="1"/>
  <c r="F2" i="4"/>
  <c r="G2" i="4" s="1"/>
  <c r="A2" i="4" l="1"/>
  <c r="A2" i="3"/>
  <c r="A2" i="2"/>
  <c r="A3" i="4" l="1"/>
  <c r="A3" i="3"/>
  <c r="A3" i="2"/>
  <c r="A4" i="4" l="1"/>
  <c r="A4" i="3"/>
  <c r="A4" i="2"/>
  <c r="A5" i="4" l="1"/>
  <c r="A5" i="3"/>
  <c r="A5" i="2"/>
  <c r="A6" i="4" l="1"/>
  <c r="A6" i="3"/>
  <c r="A6" i="2"/>
  <c r="A7" i="4" l="1"/>
  <c r="A7" i="3"/>
  <c r="A7" i="2"/>
  <c r="A8" i="4" l="1"/>
  <c r="A8" i="3"/>
  <c r="A8" i="2"/>
  <c r="A9" i="4" l="1"/>
  <c r="A9" i="3"/>
  <c r="A9" i="2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52" i="3"/>
  <c r="H52" i="3"/>
  <c r="B53" i="3"/>
  <c r="H53" i="3"/>
  <c r="B54" i="3"/>
  <c r="H54" i="3"/>
  <c r="B55" i="3"/>
  <c r="H55" i="3"/>
  <c r="B56" i="3"/>
  <c r="H56" i="3"/>
  <c r="B57" i="3"/>
  <c r="H57" i="3"/>
  <c r="B58" i="3"/>
  <c r="H58" i="3"/>
  <c r="B59" i="3"/>
  <c r="H59" i="3"/>
  <c r="B60" i="3"/>
  <c r="H60" i="3"/>
  <c r="B61" i="3"/>
  <c r="H61" i="3"/>
  <c r="B62" i="3"/>
  <c r="H62" i="3"/>
  <c r="B63" i="3"/>
  <c r="H63" i="3"/>
  <c r="B64" i="3"/>
  <c r="H64" i="3"/>
  <c r="B65" i="3"/>
  <c r="H65" i="3"/>
  <c r="B66" i="3"/>
  <c r="H66" i="3"/>
  <c r="B67" i="3"/>
  <c r="H67" i="3"/>
  <c r="B68" i="3"/>
  <c r="H68" i="3"/>
  <c r="B69" i="3"/>
  <c r="H69" i="3"/>
  <c r="B70" i="3"/>
  <c r="H70" i="3"/>
  <c r="B71" i="3"/>
  <c r="H71" i="3"/>
  <c r="B72" i="3"/>
  <c r="H72" i="3"/>
  <c r="B73" i="3"/>
  <c r="H73" i="3"/>
  <c r="B74" i="3"/>
  <c r="H74" i="3"/>
  <c r="B75" i="3"/>
  <c r="H75" i="3"/>
  <c r="B76" i="3"/>
  <c r="H76" i="3"/>
  <c r="B77" i="3"/>
  <c r="H77" i="3"/>
  <c r="B78" i="3"/>
  <c r="H78" i="3"/>
  <c r="B79" i="3"/>
  <c r="H79" i="3"/>
  <c r="B80" i="3"/>
  <c r="H80" i="3"/>
  <c r="B81" i="3"/>
  <c r="H81" i="3"/>
  <c r="B82" i="3"/>
  <c r="H82" i="3"/>
  <c r="B83" i="3"/>
  <c r="H83" i="3"/>
  <c r="B84" i="3"/>
  <c r="H84" i="3"/>
  <c r="B85" i="3"/>
  <c r="H85" i="3"/>
  <c r="B86" i="3"/>
  <c r="H86" i="3"/>
  <c r="B87" i="3"/>
  <c r="H87" i="3"/>
  <c r="B88" i="3"/>
  <c r="H88" i="3"/>
  <c r="B89" i="3"/>
  <c r="H89" i="3"/>
  <c r="B90" i="3"/>
  <c r="H90" i="3"/>
  <c r="B91" i="3"/>
  <c r="H91" i="3"/>
  <c r="B92" i="3"/>
  <c r="H92" i="3"/>
  <c r="B93" i="3"/>
  <c r="H93" i="3"/>
  <c r="B94" i="3"/>
  <c r="H94" i="3"/>
  <c r="B95" i="3"/>
  <c r="H95" i="3"/>
  <c r="B96" i="3"/>
  <c r="H96" i="3"/>
  <c r="B97" i="3"/>
  <c r="H97" i="3"/>
  <c r="B98" i="3"/>
  <c r="H98" i="3"/>
  <c r="B99" i="3"/>
  <c r="H99" i="3"/>
  <c r="B100" i="3"/>
  <c r="H100" i="3"/>
  <c r="B101" i="3"/>
  <c r="H101" i="3"/>
  <c r="B52" i="2"/>
  <c r="H52" i="2"/>
  <c r="B53" i="2"/>
  <c r="H53" i="2"/>
  <c r="B54" i="2"/>
  <c r="H54" i="2"/>
  <c r="B55" i="2"/>
  <c r="H55" i="2"/>
  <c r="B56" i="2"/>
  <c r="H56" i="2"/>
  <c r="B57" i="2"/>
  <c r="H57" i="2"/>
  <c r="B58" i="2"/>
  <c r="H58" i="2"/>
  <c r="B59" i="2"/>
  <c r="H59" i="2"/>
  <c r="B60" i="2"/>
  <c r="H60" i="2"/>
  <c r="B61" i="2"/>
  <c r="H61" i="2"/>
  <c r="B62" i="2"/>
  <c r="H62" i="2"/>
  <c r="B63" i="2"/>
  <c r="H63" i="2"/>
  <c r="B64" i="2"/>
  <c r="H64" i="2"/>
  <c r="B65" i="2"/>
  <c r="H65" i="2"/>
  <c r="B66" i="2"/>
  <c r="H66" i="2"/>
  <c r="B67" i="2"/>
  <c r="H67" i="2"/>
  <c r="B68" i="2"/>
  <c r="H68" i="2"/>
  <c r="B69" i="2"/>
  <c r="H69" i="2"/>
  <c r="B70" i="2"/>
  <c r="H70" i="2"/>
  <c r="B71" i="2"/>
  <c r="H71" i="2"/>
  <c r="B72" i="2"/>
  <c r="H72" i="2"/>
  <c r="B73" i="2"/>
  <c r="H73" i="2"/>
  <c r="B74" i="2"/>
  <c r="H74" i="2"/>
  <c r="B75" i="2"/>
  <c r="H75" i="2"/>
  <c r="B76" i="2"/>
  <c r="H76" i="2"/>
  <c r="B77" i="2"/>
  <c r="H77" i="2"/>
  <c r="B78" i="2"/>
  <c r="H78" i="2"/>
  <c r="B79" i="2"/>
  <c r="H79" i="2"/>
  <c r="B80" i="2"/>
  <c r="H80" i="2"/>
  <c r="B81" i="2"/>
  <c r="H81" i="2"/>
  <c r="B82" i="2"/>
  <c r="H82" i="2"/>
  <c r="B83" i="2"/>
  <c r="H83" i="2"/>
  <c r="B84" i="2"/>
  <c r="H84" i="2"/>
  <c r="B85" i="2"/>
  <c r="H85" i="2"/>
  <c r="B86" i="2"/>
  <c r="H86" i="2"/>
  <c r="B87" i="2"/>
  <c r="H87" i="2"/>
  <c r="B88" i="2"/>
  <c r="H88" i="2"/>
  <c r="B89" i="2"/>
  <c r="H89" i="2"/>
  <c r="B90" i="2"/>
  <c r="H90" i="2"/>
  <c r="B91" i="2"/>
  <c r="H91" i="2"/>
  <c r="B92" i="2"/>
  <c r="H92" i="2"/>
  <c r="B93" i="2"/>
  <c r="H93" i="2"/>
  <c r="B94" i="2"/>
  <c r="H94" i="2"/>
  <c r="B95" i="2"/>
  <c r="H95" i="2"/>
  <c r="B96" i="2"/>
  <c r="H96" i="2"/>
  <c r="B97" i="2"/>
  <c r="H97" i="2"/>
  <c r="B98" i="2"/>
  <c r="H98" i="2"/>
  <c r="B99" i="2"/>
  <c r="H99" i="2"/>
  <c r="B100" i="2"/>
  <c r="H100" i="2"/>
  <c r="B101" i="2"/>
  <c r="H101" i="2"/>
  <c r="I101" i="2" l="1"/>
  <c r="I101" i="3"/>
  <c r="I100" i="2"/>
  <c r="I100" i="3"/>
  <c r="I99" i="2"/>
  <c r="I97" i="2"/>
  <c r="I95" i="2"/>
  <c r="I93" i="2"/>
  <c r="I91" i="2"/>
  <c r="I89" i="2"/>
  <c r="I87" i="2"/>
  <c r="I85" i="2"/>
  <c r="I83" i="2"/>
  <c r="I81" i="2"/>
  <c r="I79" i="2"/>
  <c r="I77" i="2"/>
  <c r="I75" i="2"/>
  <c r="I73" i="2"/>
  <c r="I71" i="2"/>
  <c r="I69" i="2"/>
  <c r="I67" i="2"/>
  <c r="I65" i="2"/>
  <c r="I63" i="2"/>
  <c r="I61" i="2"/>
  <c r="I59" i="2"/>
  <c r="I57" i="2"/>
  <c r="I55" i="2"/>
  <c r="I53" i="2"/>
  <c r="I99" i="3"/>
  <c r="I97" i="3"/>
  <c r="I95" i="3"/>
  <c r="I93" i="3"/>
  <c r="I91" i="3"/>
  <c r="I89" i="3"/>
  <c r="I87" i="3"/>
  <c r="I85" i="3"/>
  <c r="I83" i="3"/>
  <c r="I81" i="3"/>
  <c r="I79" i="3"/>
  <c r="I77" i="3"/>
  <c r="I75" i="3"/>
  <c r="I73" i="3"/>
  <c r="I71" i="3"/>
  <c r="I69" i="3"/>
  <c r="I67" i="3"/>
  <c r="I65" i="3"/>
  <c r="I63" i="3"/>
  <c r="I61" i="3"/>
  <c r="I59" i="3"/>
  <c r="I57" i="3"/>
  <c r="I55" i="3"/>
  <c r="I53" i="3"/>
  <c r="I98" i="2"/>
  <c r="I96" i="2"/>
  <c r="I94" i="2"/>
  <c r="I92" i="2"/>
  <c r="I90" i="2"/>
  <c r="I88" i="2"/>
  <c r="I86" i="2"/>
  <c r="I84" i="2"/>
  <c r="I82" i="2"/>
  <c r="I80" i="2"/>
  <c r="I78" i="2"/>
  <c r="I76" i="2"/>
  <c r="I74" i="2"/>
  <c r="I72" i="2"/>
  <c r="I70" i="2"/>
  <c r="I68" i="2"/>
  <c r="I66" i="2"/>
  <c r="I64" i="2"/>
  <c r="I62" i="2"/>
  <c r="I60" i="2"/>
  <c r="I58" i="2"/>
  <c r="I56" i="2"/>
  <c r="I54" i="2"/>
  <c r="I52" i="2"/>
  <c r="I98" i="3"/>
  <c r="I96" i="3"/>
  <c r="I94" i="3"/>
  <c r="I92" i="3"/>
  <c r="I90" i="3"/>
  <c r="I88" i="3"/>
  <c r="I86" i="3"/>
  <c r="I84" i="3"/>
  <c r="I82" i="3"/>
  <c r="I80" i="3"/>
  <c r="I78" i="3"/>
  <c r="I76" i="3"/>
  <c r="I74" i="3"/>
  <c r="I72" i="3"/>
  <c r="I70" i="3"/>
  <c r="I68" i="3"/>
  <c r="I66" i="3"/>
  <c r="I64" i="3"/>
  <c r="I62" i="3"/>
  <c r="I60" i="3"/>
  <c r="I58" i="3"/>
  <c r="I56" i="3"/>
  <c r="I54" i="3"/>
  <c r="I52" i="3"/>
  <c r="A10" i="4"/>
  <c r="A10" i="3"/>
  <c r="A10" i="2"/>
  <c r="B51" i="4"/>
  <c r="B51" i="3"/>
  <c r="H51" i="3"/>
  <c r="B51" i="2"/>
  <c r="H51" i="2"/>
  <c r="I51" i="2" l="1"/>
  <c r="I51" i="3"/>
  <c r="A11" i="4"/>
  <c r="A11" i="3"/>
  <c r="A11" i="2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32" i="3"/>
  <c r="H32" i="3"/>
  <c r="B33" i="3"/>
  <c r="H33" i="3"/>
  <c r="B34" i="3"/>
  <c r="H34" i="3"/>
  <c r="B35" i="3"/>
  <c r="H35" i="3"/>
  <c r="B36" i="3"/>
  <c r="H36" i="3"/>
  <c r="B37" i="3"/>
  <c r="H37" i="3"/>
  <c r="B38" i="3"/>
  <c r="H38" i="3"/>
  <c r="B39" i="3"/>
  <c r="H39" i="3"/>
  <c r="B40" i="3"/>
  <c r="H40" i="3"/>
  <c r="B41" i="3"/>
  <c r="H41" i="3"/>
  <c r="B42" i="3"/>
  <c r="H42" i="3"/>
  <c r="B43" i="3"/>
  <c r="H43" i="3"/>
  <c r="B44" i="3"/>
  <c r="H44" i="3"/>
  <c r="B45" i="3"/>
  <c r="H45" i="3"/>
  <c r="B46" i="3"/>
  <c r="H46" i="3"/>
  <c r="B47" i="3"/>
  <c r="H47" i="3"/>
  <c r="B48" i="3"/>
  <c r="H48" i="3"/>
  <c r="B49" i="3"/>
  <c r="H49" i="3"/>
  <c r="B50" i="3"/>
  <c r="H50" i="3"/>
  <c r="B32" i="2"/>
  <c r="H32" i="2"/>
  <c r="B33" i="2"/>
  <c r="H33" i="2"/>
  <c r="B34" i="2"/>
  <c r="H34" i="2"/>
  <c r="B35" i="2"/>
  <c r="H35" i="2"/>
  <c r="B36" i="2"/>
  <c r="H36" i="2"/>
  <c r="B37" i="2"/>
  <c r="H37" i="2"/>
  <c r="B38" i="2"/>
  <c r="H38" i="2"/>
  <c r="B39" i="2"/>
  <c r="H39" i="2"/>
  <c r="B40" i="2"/>
  <c r="H40" i="2"/>
  <c r="B41" i="2"/>
  <c r="H41" i="2"/>
  <c r="B42" i="2"/>
  <c r="H42" i="2"/>
  <c r="B43" i="2"/>
  <c r="H43" i="2"/>
  <c r="B44" i="2"/>
  <c r="H44" i="2"/>
  <c r="B45" i="2"/>
  <c r="H45" i="2"/>
  <c r="B46" i="2"/>
  <c r="H46" i="2"/>
  <c r="B47" i="2"/>
  <c r="H47" i="2"/>
  <c r="B48" i="2"/>
  <c r="H48" i="2"/>
  <c r="B49" i="2"/>
  <c r="H49" i="2"/>
  <c r="B50" i="2"/>
  <c r="H50" i="2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2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2" i="3"/>
  <c r="I2" i="3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2" i="2"/>
  <c r="I2" i="2" s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2" i="2"/>
  <c r="I30" i="2" l="1"/>
  <c r="I26" i="2"/>
  <c r="I22" i="2"/>
  <c r="I28" i="3"/>
  <c r="I24" i="3"/>
  <c r="I16" i="3"/>
  <c r="I50" i="2"/>
  <c r="I48" i="2"/>
  <c r="I46" i="2"/>
  <c r="I44" i="2"/>
  <c r="I42" i="2"/>
  <c r="I40" i="2"/>
  <c r="I38" i="2"/>
  <c r="I36" i="2"/>
  <c r="I34" i="2"/>
  <c r="I32" i="2"/>
  <c r="I49" i="3"/>
  <c r="I47" i="3"/>
  <c r="I45" i="3"/>
  <c r="I43" i="3"/>
  <c r="I41" i="3"/>
  <c r="I39" i="3"/>
  <c r="I37" i="3"/>
  <c r="I35" i="3"/>
  <c r="I33" i="3"/>
  <c r="I29" i="2"/>
  <c r="I25" i="2"/>
  <c r="I31" i="3"/>
  <c r="I27" i="3"/>
  <c r="I23" i="3"/>
  <c r="I28" i="2"/>
  <c r="I24" i="2"/>
  <c r="I16" i="2"/>
  <c r="I30" i="3"/>
  <c r="I26" i="3"/>
  <c r="I22" i="3"/>
  <c r="I49" i="2"/>
  <c r="I47" i="2"/>
  <c r="I45" i="2"/>
  <c r="I43" i="2"/>
  <c r="I41" i="2"/>
  <c r="I39" i="2"/>
  <c r="I37" i="2"/>
  <c r="I35" i="2"/>
  <c r="I33" i="2"/>
  <c r="I50" i="3"/>
  <c r="I48" i="3"/>
  <c r="I46" i="3"/>
  <c r="I44" i="3"/>
  <c r="I42" i="3"/>
  <c r="I40" i="3"/>
  <c r="I38" i="3"/>
  <c r="I36" i="3"/>
  <c r="I34" i="3"/>
  <c r="I32" i="3"/>
  <c r="I31" i="2"/>
  <c r="I27" i="2"/>
  <c r="I23" i="2"/>
  <c r="I29" i="3"/>
  <c r="I25" i="3"/>
  <c r="I14" i="2"/>
  <c r="I4" i="3"/>
  <c r="I21" i="2"/>
  <c r="I13" i="2"/>
  <c r="I5" i="2"/>
  <c r="I15" i="3"/>
  <c r="I7" i="3"/>
  <c r="I20" i="2"/>
  <c r="I12" i="2"/>
  <c r="I8" i="2"/>
  <c r="I4" i="2"/>
  <c r="I18" i="3"/>
  <c r="I14" i="3"/>
  <c r="I10" i="3"/>
  <c r="I6" i="3"/>
  <c r="I18" i="2"/>
  <c r="I10" i="2"/>
  <c r="I6" i="2"/>
  <c r="I20" i="3"/>
  <c r="I12" i="3"/>
  <c r="I8" i="3"/>
  <c r="I17" i="2"/>
  <c r="I9" i="2"/>
  <c r="I19" i="3"/>
  <c r="I11" i="3"/>
  <c r="I3" i="3"/>
  <c r="I19" i="2"/>
  <c r="I15" i="2"/>
  <c r="I11" i="2"/>
  <c r="I7" i="2"/>
  <c r="I3" i="2"/>
  <c r="I21" i="3"/>
  <c r="I17" i="3"/>
  <c r="I13" i="3"/>
  <c r="I9" i="3"/>
  <c r="I5" i="3"/>
  <c r="A12" i="4"/>
  <c r="A12" i="3"/>
  <c r="A12" i="2"/>
  <c r="L4" i="4"/>
  <c r="L8" i="4"/>
  <c r="L12" i="4"/>
  <c r="L5" i="4"/>
  <c r="L9" i="4"/>
  <c r="L13" i="4"/>
  <c r="L6" i="4"/>
  <c r="L10" i="4"/>
  <c r="L3" i="4"/>
  <c r="L7" i="4"/>
  <c r="L11" i="4"/>
  <c r="N12" i="3" l="1"/>
  <c r="N7" i="3"/>
  <c r="N12" i="2"/>
  <c r="N13" i="3"/>
  <c r="N6" i="3"/>
  <c r="N6" i="2"/>
  <c r="N7" i="2"/>
  <c r="N3" i="2"/>
  <c r="N9" i="3"/>
  <c r="N8" i="2"/>
  <c r="N8" i="3"/>
  <c r="N9" i="2"/>
  <c r="N4" i="2"/>
  <c r="N10" i="2"/>
  <c r="N4" i="3"/>
  <c r="N10" i="3"/>
  <c r="N5" i="3"/>
  <c r="N13" i="2"/>
  <c r="N3" i="3"/>
  <c r="N5" i="2"/>
  <c r="N11" i="2"/>
  <c r="N11" i="3"/>
  <c r="A13" i="4"/>
  <c r="A13" i="3"/>
  <c r="A13" i="2"/>
  <c r="A14" i="4" l="1"/>
  <c r="A14" i="3"/>
  <c r="A14" i="2"/>
  <c r="A15" i="4" l="1"/>
  <c r="A15" i="3"/>
  <c r="A15" i="2"/>
  <c r="A16" i="4" l="1"/>
  <c r="A16" i="3"/>
  <c r="A16" i="2"/>
  <c r="A17" i="4" l="1"/>
  <c r="A17" i="3"/>
  <c r="A17" i="2"/>
  <c r="A18" i="4" l="1"/>
  <c r="A18" i="3"/>
  <c r="A18" i="2"/>
  <c r="A19" i="4" l="1"/>
  <c r="A19" i="3"/>
  <c r="A19" i="2"/>
  <c r="A20" i="4" l="1"/>
  <c r="A20" i="3"/>
  <c r="A20" i="2"/>
  <c r="A21" i="4" l="1"/>
  <c r="A21" i="3"/>
  <c r="A21" i="2"/>
  <c r="A22" i="4" l="1"/>
  <c r="A22" i="3"/>
  <c r="A22" i="2"/>
  <c r="A23" i="4" l="1"/>
  <c r="A23" i="3"/>
  <c r="A23" i="2"/>
  <c r="A24" i="4" l="1"/>
  <c r="A24" i="3"/>
  <c r="A24" i="2"/>
  <c r="A25" i="4" l="1"/>
  <c r="A25" i="3"/>
  <c r="A25" i="2"/>
  <c r="A26" i="4" l="1"/>
  <c r="A26" i="3"/>
  <c r="A26" i="2"/>
  <c r="A27" i="4" l="1"/>
  <c r="A27" i="3"/>
  <c r="A27" i="2"/>
  <c r="A28" i="4" l="1"/>
  <c r="A28" i="3"/>
  <c r="A28" i="2"/>
  <c r="A29" i="4" l="1"/>
  <c r="A29" i="3"/>
  <c r="A29" i="2"/>
  <c r="A30" i="4" l="1"/>
  <c r="A30" i="3"/>
  <c r="A30" i="2"/>
  <c r="A31" i="4" l="1"/>
  <c r="A31" i="3"/>
  <c r="A31" i="2"/>
  <c r="A32" i="4" l="1"/>
  <c r="A32" i="3"/>
  <c r="A32" i="2"/>
  <c r="A33" i="4" l="1"/>
  <c r="A33" i="3"/>
  <c r="A33" i="2"/>
  <c r="A34" i="4" l="1"/>
  <c r="A34" i="3"/>
  <c r="A34" i="2"/>
  <c r="A35" i="4" l="1"/>
  <c r="A35" i="3"/>
  <c r="A35" i="2"/>
  <c r="A36" i="4" l="1"/>
  <c r="A36" i="3"/>
  <c r="A36" i="2"/>
  <c r="A37" i="4" l="1"/>
  <c r="A37" i="3"/>
  <c r="A37" i="2"/>
  <c r="A38" i="4" l="1"/>
  <c r="A38" i="3"/>
  <c r="A38" i="2"/>
  <c r="A39" i="4" l="1"/>
  <c r="A39" i="3"/>
  <c r="A39" i="2"/>
  <c r="A40" i="4" l="1"/>
  <c r="A40" i="3"/>
  <c r="A40" i="2"/>
  <c r="A41" i="4" l="1"/>
  <c r="A41" i="3"/>
  <c r="A41" i="2"/>
  <c r="A42" i="4" l="1"/>
  <c r="A42" i="3"/>
  <c r="A42" i="2"/>
  <c r="A43" i="4" l="1"/>
  <c r="A43" i="3"/>
  <c r="A43" i="2"/>
  <c r="A44" i="4" l="1"/>
  <c r="A44" i="3"/>
  <c r="A44" i="2"/>
  <c r="A45" i="4" l="1"/>
  <c r="A45" i="3"/>
  <c r="A45" i="2"/>
  <c r="A46" i="4" l="1"/>
  <c r="A46" i="3"/>
  <c r="A46" i="2"/>
  <c r="A47" i="4" l="1"/>
  <c r="A47" i="3"/>
  <c r="A47" i="2"/>
  <c r="A48" i="4" l="1"/>
  <c r="A48" i="3"/>
  <c r="A48" i="2"/>
  <c r="A49" i="4" l="1"/>
  <c r="A49" i="3"/>
  <c r="A49" i="2"/>
  <c r="A50" i="4" l="1"/>
  <c r="A50" i="3"/>
  <c r="A50" i="2"/>
  <c r="A51" i="4" l="1"/>
  <c r="A51" i="3"/>
  <c r="A51" i="2"/>
  <c r="A52" i="4" l="1"/>
  <c r="A52" i="3"/>
  <c r="A52" i="2"/>
  <c r="A53" i="4" l="1"/>
  <c r="A53" i="3"/>
  <c r="A53" i="2"/>
  <c r="A54" i="4" l="1"/>
  <c r="A54" i="3"/>
  <c r="A54" i="2"/>
  <c r="A55" i="4" l="1"/>
  <c r="A55" i="3"/>
  <c r="A55" i="2"/>
  <c r="A56" i="4" l="1"/>
  <c r="A56" i="3"/>
  <c r="A56" i="2"/>
  <c r="A57" i="4" l="1"/>
  <c r="A57" i="3"/>
  <c r="A57" i="2"/>
  <c r="A58" i="4" l="1"/>
  <c r="A58" i="3"/>
  <c r="A58" i="2"/>
  <c r="A59" i="4" l="1"/>
  <c r="A59" i="3"/>
  <c r="A59" i="2"/>
  <c r="A60" i="4" l="1"/>
  <c r="A60" i="3"/>
  <c r="A60" i="2"/>
  <c r="A61" i="4" l="1"/>
  <c r="A61" i="3"/>
  <c r="A61" i="2"/>
  <c r="A62" i="4" l="1"/>
  <c r="A62" i="3"/>
  <c r="A62" i="2"/>
  <c r="A63" i="4" l="1"/>
  <c r="A63" i="3"/>
  <c r="A63" i="2"/>
  <c r="A64" i="4" l="1"/>
  <c r="A64" i="3"/>
  <c r="A64" i="2"/>
  <c r="A65" i="4" l="1"/>
  <c r="A65" i="3"/>
  <c r="A65" i="2"/>
  <c r="A66" i="4" l="1"/>
  <c r="A66" i="3"/>
  <c r="A66" i="2"/>
  <c r="A67" i="4" l="1"/>
  <c r="A67" i="3"/>
  <c r="A67" i="2"/>
  <c r="A68" i="4" l="1"/>
  <c r="A68" i="3"/>
  <c r="A68" i="2"/>
  <c r="A69" i="4" l="1"/>
  <c r="A69" i="3"/>
  <c r="A69" i="2"/>
  <c r="A70" i="4" l="1"/>
  <c r="A70" i="3"/>
  <c r="A70" i="2"/>
  <c r="A71" i="4" l="1"/>
  <c r="A71" i="3"/>
  <c r="A71" i="2"/>
  <c r="A72" i="4" l="1"/>
  <c r="A72" i="3"/>
  <c r="A72" i="2"/>
  <c r="A73" i="4" l="1"/>
  <c r="A73" i="3"/>
  <c r="A73" i="2"/>
  <c r="A74" i="4" l="1"/>
  <c r="A74" i="3"/>
  <c r="A74" i="2"/>
  <c r="A75" i="4" l="1"/>
  <c r="A75" i="3"/>
  <c r="A75" i="2"/>
  <c r="A76" i="4" l="1"/>
  <c r="A76" i="3"/>
  <c r="A76" i="2"/>
  <c r="A77" i="4" l="1"/>
  <c r="A77" i="3"/>
  <c r="A77" i="2"/>
  <c r="A78" i="4" l="1"/>
  <c r="A78" i="3"/>
  <c r="A78" i="2"/>
  <c r="A79" i="4" l="1"/>
  <c r="A79" i="3"/>
  <c r="A79" i="2"/>
  <c r="A80" i="4" l="1"/>
  <c r="A80" i="3"/>
  <c r="A80" i="2"/>
  <c r="A81" i="4" l="1"/>
  <c r="A81" i="3"/>
  <c r="A81" i="2"/>
  <c r="A82" i="4" l="1"/>
  <c r="A82" i="3"/>
  <c r="A82" i="2"/>
  <c r="A83" i="4" l="1"/>
  <c r="A83" i="3"/>
  <c r="A83" i="2"/>
  <c r="A84" i="4" l="1"/>
  <c r="A84" i="3"/>
  <c r="A84" i="2"/>
  <c r="A85" i="4" l="1"/>
  <c r="A85" i="3"/>
  <c r="A85" i="2"/>
  <c r="A86" i="4" l="1"/>
  <c r="A86" i="3"/>
  <c r="A86" i="2"/>
  <c r="A87" i="4" l="1"/>
  <c r="A87" i="3"/>
  <c r="A87" i="2"/>
  <c r="A88" i="4" l="1"/>
  <c r="A88" i="3"/>
  <c r="A88" i="2"/>
  <c r="A89" i="4" l="1"/>
  <c r="A89" i="3"/>
  <c r="A89" i="2"/>
  <c r="A90" i="4" l="1"/>
  <c r="A90" i="3"/>
  <c r="A90" i="2"/>
  <c r="A91" i="4" l="1"/>
  <c r="A91" i="3"/>
  <c r="A91" i="2"/>
  <c r="A92" i="4" l="1"/>
  <c r="A92" i="3"/>
  <c r="A92" i="2"/>
  <c r="A93" i="4" l="1"/>
  <c r="A93" i="3"/>
  <c r="A93" i="2"/>
  <c r="A94" i="4" l="1"/>
  <c r="A94" i="3"/>
  <c r="A94" i="2"/>
  <c r="A95" i="4" l="1"/>
  <c r="A95" i="3"/>
  <c r="A95" i="2"/>
  <c r="A96" i="4" l="1"/>
  <c r="A96" i="3"/>
  <c r="A96" i="2"/>
  <c r="A97" i="4" l="1"/>
  <c r="A97" i="3"/>
  <c r="A97" i="2"/>
  <c r="A98" i="4" l="1"/>
  <c r="A98" i="3"/>
  <c r="A98" i="2"/>
  <c r="A99" i="4" l="1"/>
  <c r="A99" i="3"/>
  <c r="A99" i="2"/>
  <c r="A100" i="4" l="1"/>
  <c r="A100" i="3"/>
  <c r="A100" i="2"/>
  <c r="A101" i="4" l="1"/>
  <c r="A101" i="3"/>
  <c r="A101" i="2"/>
</calcChain>
</file>

<file path=xl/sharedStrings.xml><?xml version="1.0" encoding="utf-8"?>
<sst xmlns="http://schemas.openxmlformats.org/spreadsheetml/2006/main" count="55" uniqueCount="24">
  <si>
    <t>Nr.</t>
  </si>
  <si>
    <t>Nume, Prenume</t>
  </si>
  <si>
    <t>e-mail</t>
  </si>
  <si>
    <t>item 1</t>
  </si>
  <si>
    <t>item 2</t>
  </si>
  <si>
    <t>item 3</t>
  </si>
  <si>
    <t>item 4</t>
  </si>
  <si>
    <t>item 5</t>
  </si>
  <si>
    <t>Nota</t>
  </si>
  <si>
    <t xml:space="preserve">        Baremul  de evaluare</t>
  </si>
  <si>
    <t>Nr de note</t>
  </si>
  <si>
    <t>Punctajul acumulat</t>
  </si>
  <si>
    <t>n/p</t>
  </si>
  <si>
    <t>Pctj
Total</t>
  </si>
  <si>
    <t>2
2p</t>
  </si>
  <si>
    <t>3
4p</t>
  </si>
  <si>
    <t>4
4p</t>
  </si>
  <si>
    <t>5
10p</t>
  </si>
  <si>
    <t>item 1
6 p</t>
  </si>
  <si>
    <t>item 3
14 p</t>
  </si>
  <si>
    <t>item 2
10 p</t>
  </si>
  <si>
    <t>Statistica</t>
  </si>
  <si>
    <t>1_x000D_
10 p</t>
  </si>
  <si>
    <t>example@mail.com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</si>
</sst>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\ [$P]"/>
  </numFmts>
  <fonts count="25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1"/>
      <color indexed="8"/>
      <name val="Calibri"/>
      <family val="2"/>
      <charset val="238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B0F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4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13" fillId="0" borderId="0" xfId="0" applyNumberFormat="1" applyFont="1" applyAlignment="1">
      <alignment horizontal="center"/>
    </xf>
    <xf numFmtId="49" fontId="9" fillId="0" borderId="0" xfId="0" applyNumberFormat="1" applyFont="1"/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1" fontId="1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0" fillId="0" borderId="0" xfId="0" applyFont="1"/>
    <xf numFmtId="1" fontId="15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/>
    <xf numFmtId="1" fontId="20" fillId="0" borderId="1" xfId="0" applyNumberFormat="1" applyFont="1" applyBorder="1" applyAlignment="1">
      <alignment horizontal="center" vertical="center" textRotation="90"/>
    </xf>
    <xf numFmtId="0" fontId="19" fillId="0" borderId="1" xfId="0" applyFont="1" applyBorder="1" applyAlignment="1">
      <alignment horizontal="center" vertical="center"/>
    </xf>
    <xf numFmtId="165" fontId="17" fillId="0" borderId="0" xfId="0" applyNumberFormat="1" applyFont="1"/>
    <xf numFmtId="165" fontId="17" fillId="0" borderId="0" xfId="0" applyNumberFormat="1" applyFont="1" applyAlignment="1">
      <alignment horizontal="center" vertical="center"/>
    </xf>
    <xf numFmtId="0" fontId="24" fillId="0" borderId="0" xfId="0" applyFont="1"/>
    <xf numFmtId="0" fontId="23" fillId="0" borderId="0" xfId="0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wrapText="1"/>
    </xf>
  </cellXfs>
  <cellStyles count="2">
    <cellStyle name="Excel Built-in Normal" xfId="1" xr:uid="{00000000-0005-0000-0000-000000000000}"/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3300"/>
      <color rgb="FFFF6446"/>
      <color rgb="FFED2939"/>
      <color rgb="FFFF6743"/>
      <color rgb="FFFF6161"/>
      <color rgb="FFFF8989"/>
      <color rgb="FFFF5050"/>
      <color rgb="FFFF66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Atestarea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'Atest. Nr.1'!$M$3:$M$12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'Atest. Nr.1'!$N$3:$N$12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31-4B6C-8412-8F9A8159998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Atestarea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'Atest. Nr.2'!$M$3:$M$12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'Atest. Nr.2'!$N$3:$N$12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5A-48A9-947E-AA3F935B3D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Examen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Examen!$K$3:$K$12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Examen!$L$3:$L$12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31-4EB8-B103-2FE680095C6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23853</xdr:colOff>
      <xdr:row>0</xdr:row>
      <xdr:rowOff>425939</xdr:rowOff>
    </xdr:from>
    <xdr:to>
      <xdr:col>23</xdr:col>
      <xdr:colOff>385482</xdr:colOff>
      <xdr:row>15</xdr:row>
      <xdr:rowOff>188259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37558</xdr:colOff>
      <xdr:row>0</xdr:row>
      <xdr:rowOff>129540</xdr:rowOff>
    </xdr:from>
    <xdr:to>
      <xdr:col>28</xdr:col>
      <xdr:colOff>416542</xdr:colOff>
      <xdr:row>23</xdr:row>
      <xdr:rowOff>213360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73798" y="129540"/>
          <a:ext cx="4036584" cy="5570220"/>
        </a:xfrm>
        <a:prstGeom prst="rect">
          <a:avLst/>
        </a:prstGeom>
      </xdr:spPr>
    </xdr:pic>
    <xdr:clientData/>
  </xdr:twoCellAnchor>
  <xdr:twoCellAnchor>
    <xdr:from>
      <xdr:col>14</xdr:col>
      <xdr:colOff>588917</xdr:colOff>
      <xdr:row>0</xdr:row>
      <xdr:rowOff>262343</xdr:rowOff>
    </xdr:from>
    <xdr:to>
      <xdr:col>21</xdr:col>
      <xdr:colOff>449580</xdr:colOff>
      <xdr:row>12</xdr:row>
      <xdr:rowOff>198120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136072</xdr:colOff>
      <xdr:row>1</xdr:row>
      <xdr:rowOff>43543</xdr:rowOff>
    </xdr:from>
    <xdr:to>
      <xdr:col>21</xdr:col>
      <xdr:colOff>163285</xdr:colOff>
      <xdr:row>18</xdr:row>
      <xdr:rowOff>108857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xample@mail.com" TargetMode="External"/><Relationship Id="rId1" Type="http://schemas.openxmlformats.org/officeDocument/2006/relationships/hyperlink" Target="mailto:example@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G165"/>
  <sheetViews>
    <sheetView tabSelected="1" zoomScale="70" zoomScaleNormal="70" workbookViewId="0">
      <selection activeCell="K33" sqref="K33"/>
    </sheetView>
  </sheetViews>
  <sheetFormatPr defaultRowHeight="18" x14ac:dyDescent="0.35"/>
  <cols>
    <col min="1" max="1" width="3.44140625" customWidth="1"/>
    <col min="2" max="2" width="5" style="41" customWidth="1"/>
    <col min="3" max="3" width="26.6640625" customWidth="1"/>
    <col min="4" max="4" width="19.88671875" customWidth="1"/>
    <col min="5" max="19" width="4.44140625" customWidth="1"/>
    <col min="20" max="21" width="4.44140625" style="34" customWidth="1"/>
    <col min="22" max="31" width="4.44140625" customWidth="1"/>
    <col min="32" max="33" width="6.109375" style="46" customWidth="1"/>
    <col min="34" max="34" width="6.33203125" style="32" customWidth="1"/>
    <col min="35" max="35" width="6" style="33" customWidth="1"/>
    <col min="36" max="37" width="7.109375" customWidth="1"/>
    <col min="38" max="38" width="11.88671875" bestFit="1" customWidth="1"/>
    <col min="39" max="39" width="10.44140625" bestFit="1" customWidth="1"/>
    <col min="41" max="41" width="8.88671875" style="48"/>
    <col min="43" max="43" width="13.5546875" customWidth="1"/>
    <col min="46" max="54" width="7" customWidth="1"/>
  </cols>
  <sheetData>
    <row r="1" spans="1:59" ht="29.4" customHeight="1" x14ac:dyDescent="0.35">
      <c r="A1" s="2"/>
      <c r="B1" s="44" t="s">
        <v>0</v>
      </c>
      <c r="C1" s="45" t="s">
        <v>1</v>
      </c>
      <c r="D1" s="45" t="s">
        <v>2</v>
      </c>
      <c r="E1" s="2"/>
      <c r="F1" s="2"/>
      <c r="G1" s="2"/>
    </row>
    <row r="2" spans="1:59" ht="23.4" customHeight="1" x14ac:dyDescent="0.3">
      <c r="B2" s="33">
        <f>IF(NOT(ISBLANK(C2)),COUNTA($C$2:C2),"")</f>
        <v>1</v>
      </c>
      <c r="C2" s="36" t="s">
        <v>1</v>
      </c>
      <c r="D2" s="37" t="s">
        <v>23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5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</row>
    <row r="3" spans="1:59" ht="19.2" customHeight="1" x14ac:dyDescent="0.3">
      <c r="A3" s="2"/>
      <c r="B3" s="33">
        <f>IF(NOT(ISBLANK(C3)),COUNTA($C$2:C3),"")</f>
        <v>2</v>
      </c>
      <c r="C3" s="36" t="s">
        <v>1</v>
      </c>
      <c r="D3" s="37" t="s">
        <v>23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</row>
    <row r="4" spans="1:59" ht="19.2" customHeight="1" x14ac:dyDescent="0.3">
      <c r="A4" s="2"/>
      <c r="B4" s="33">
        <f>IF(NOT(ISBLANK(C4)),COUNTA($C$2:C4),"")</f>
        <v>3</v>
      </c>
      <c r="C4" s="36" t="s">
        <v>1</v>
      </c>
      <c r="D4" s="37" t="s">
        <v>23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</row>
    <row r="5" spans="1:59" ht="18" customHeight="1" x14ac:dyDescent="0.3">
      <c r="A5" s="2"/>
      <c r="B5" s="33" t="str">
        <f>IF(NOT(ISBLANK(C5)),COUNTA($C$2:C5),"")</f>
        <v/>
      </c>
      <c r="C5" s="36"/>
      <c r="D5" s="37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</row>
    <row r="6" spans="1:59" x14ac:dyDescent="0.3">
      <c r="A6" s="2"/>
      <c r="B6" s="33" t="str">
        <f>IF(NOT(ISBLANK(C6)),COUNTA($C$2:C6),"")</f>
        <v/>
      </c>
      <c r="C6" s="36"/>
      <c r="D6" s="37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x14ac:dyDescent="0.3">
      <c r="A7" s="2"/>
      <c r="B7" s="33" t="str">
        <f>IF(NOT(ISBLANK(C7)),COUNTA($C$2:C7),"")</f>
        <v/>
      </c>
      <c r="C7" s="36"/>
      <c r="D7" s="37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 t="str">
        <f t="shared" ref="T7:T70" si="0">IF(NOT(ISBLANK(C7)),IF(COUNTIF(E7:S7,"a")&lt;&gt;0,COUNTIF(E7:S7,"a")*2,""),"")</f>
        <v/>
      </c>
      <c r="U7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 x14ac:dyDescent="0.3">
      <c r="A8" s="2"/>
      <c r="B8" s="33" t="str">
        <f>IF(NOT(ISBLANK(C8)),COUNTA($C$2:C8),"")</f>
        <v/>
      </c>
      <c r="C8" s="36"/>
      <c r="D8" s="37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3" t="str">
        <f t="shared" si="0"/>
        <v/>
      </c>
      <c r="U8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</row>
    <row r="9" spans="1:59" x14ac:dyDescent="0.3">
      <c r="A9" s="2"/>
      <c r="B9" s="33" t="str">
        <f>IF(NOT(ISBLANK(C9)),COUNTA($C$2:C9),"")</f>
        <v/>
      </c>
      <c r="C9" s="36"/>
      <c r="D9" s="37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3" t="str">
        <f t="shared" si="0"/>
        <v/>
      </c>
      <c r="U9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</row>
    <row r="10" spans="1:59" x14ac:dyDescent="0.3">
      <c r="A10" s="2"/>
      <c r="B10" s="33" t="str">
        <f>IF(NOT(ISBLANK(C10)),COUNTA($C$2:C10),"")</f>
        <v/>
      </c>
      <c r="C10" s="36"/>
      <c r="D10" s="37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3" t="str">
        <f t="shared" si="0"/>
        <v/>
      </c>
      <c r="U10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</row>
    <row r="11" spans="1:59" x14ac:dyDescent="0.3">
      <c r="A11" s="2"/>
      <c r="B11" s="33" t="str">
        <f>IF(NOT(ISBLANK(C11)),COUNTA($C$2:C11),"")</f>
        <v/>
      </c>
      <c r="C11" s="36"/>
      <c r="D11" s="37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3" t="str">
        <f t="shared" si="0"/>
        <v/>
      </c>
      <c r="U11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</row>
    <row r="12" spans="1:59" x14ac:dyDescent="0.3">
      <c r="A12" s="2"/>
      <c r="B12" s="33" t="str">
        <f>IF(NOT(ISBLANK(C12)),COUNTA($C$2:C12),"")</f>
        <v/>
      </c>
      <c r="C12" s="36"/>
      <c r="D12" s="37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3" t="str">
        <f t="shared" si="0"/>
        <v/>
      </c>
      <c r="U12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</row>
    <row r="13" spans="1:59" x14ac:dyDescent="0.3">
      <c r="A13" s="2"/>
      <c r="B13" s="33" t="str">
        <f>IF(NOT(ISBLANK(C13)),COUNTA($C$2:C13),"")</f>
        <v/>
      </c>
      <c r="C13" s="36"/>
      <c r="D13" s="37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3" t="str">
        <f t="shared" si="0"/>
        <v/>
      </c>
      <c r="U1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</row>
    <row r="14" spans="1:59" x14ac:dyDescent="0.35">
      <c r="A14" s="2"/>
      <c r="B14" s="33" t="str">
        <f>IF(NOT(ISBLANK(C14)),COUNTA($C$2:C14),"")</f>
        <v/>
      </c>
      <c r="C14" s="36"/>
      <c r="D14" s="37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3" t="str">
        <f t="shared" si="0"/>
        <v/>
      </c>
      <c r="U14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J14" s="33"/>
      <c r="AK14" s="33"/>
      <c r="AL14" s="33"/>
      <c r="AM14" s="33"/>
      <c r="AN14" s="33"/>
      <c r="AO14" s="33"/>
      <c r="AP14" s="50"/>
      <c r="AQ14" s="32"/>
      <c r="AR14" s="33"/>
      <c r="AT14" s="8"/>
      <c r="AU14" s="13"/>
      <c r="AV14" s="13"/>
    </row>
    <row r="15" spans="1:59" x14ac:dyDescent="0.35">
      <c r="A15" s="2"/>
      <c r="B15" s="33" t="str">
        <f>IF(NOT(ISBLANK(C15)),COUNTA($C$2:C15),"")</f>
        <v/>
      </c>
      <c r="C15" s="36"/>
      <c r="D15" s="37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3" t="str">
        <f t="shared" si="0"/>
        <v/>
      </c>
      <c r="U15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J15" s="33"/>
      <c r="AK15" s="33"/>
      <c r="AL15" s="33"/>
      <c r="AM15" s="33"/>
      <c r="AN15" s="33"/>
      <c r="AO15" s="33"/>
      <c r="AP15" s="50"/>
      <c r="AQ15" s="32"/>
      <c r="AR15" s="33"/>
      <c r="AT15" s="8"/>
      <c r="AU15" s="13"/>
      <c r="AV15" s="13"/>
    </row>
    <row r="16" spans="1:59" x14ac:dyDescent="0.35">
      <c r="A16" s="2"/>
      <c r="B16" s="33" t="str">
        <f>IF(NOT(ISBLANK(C16)),COUNTA($C$2:C16),"")</f>
        <v/>
      </c>
      <c r="C16" s="36"/>
      <c r="D16" s="37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3" t="str">
        <f t="shared" si="0"/>
        <v/>
      </c>
      <c r="U16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J16" s="33"/>
      <c r="AK16" s="33"/>
      <c r="AL16" s="33"/>
      <c r="AM16" s="33"/>
      <c r="AN16" s="33"/>
      <c r="AO16" s="33"/>
      <c r="AP16" s="50"/>
      <c r="AQ16" s="32"/>
      <c r="AR16" s="33"/>
      <c r="AT16" s="8"/>
      <c r="AU16" s="13"/>
      <c r="AV16" s="13"/>
    </row>
    <row r="17" spans="1:48" x14ac:dyDescent="0.35">
      <c r="A17" s="2"/>
      <c r="B17" s="33" t="str">
        <f>IF(NOT(ISBLANK(C17)),COUNTA($C$2:C17),"")</f>
        <v/>
      </c>
      <c r="C17" s="36"/>
      <c r="D17" s="37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3" t="str">
        <f t="shared" si="0"/>
        <v/>
      </c>
      <c r="U17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J17" s="33"/>
      <c r="AK17" s="33"/>
      <c r="AL17" s="33"/>
      <c r="AM17" s="33"/>
      <c r="AN17" s="33"/>
      <c r="AO17" s="33"/>
      <c r="AP17" s="50"/>
      <c r="AQ17" s="32"/>
      <c r="AR17" s="33"/>
      <c r="AT17" s="8"/>
      <c r="AU17" s="13"/>
      <c r="AV17" s="13"/>
    </row>
    <row r="18" spans="1:48" x14ac:dyDescent="0.35">
      <c r="A18" s="2"/>
      <c r="B18" s="33" t="str">
        <f>IF(NOT(ISBLANK(C18)),COUNTA($C$2:C18),"")</f>
        <v/>
      </c>
      <c r="C18" s="36"/>
      <c r="D18" s="37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3" t="str">
        <f t="shared" si="0"/>
        <v/>
      </c>
      <c r="U18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J18" s="33"/>
      <c r="AK18" s="33"/>
      <c r="AL18" s="33"/>
      <c r="AM18" s="33"/>
      <c r="AN18" s="33"/>
      <c r="AO18" s="33"/>
      <c r="AP18" s="50"/>
      <c r="AQ18" s="32"/>
      <c r="AR18" s="33"/>
      <c r="AV18" s="13"/>
    </row>
    <row r="19" spans="1:48" x14ac:dyDescent="0.35">
      <c r="A19" s="2"/>
      <c r="B19" s="33" t="str">
        <f>IF(NOT(ISBLANK(C19)),COUNTA($C$2:C19),"")</f>
        <v/>
      </c>
      <c r="C19" s="36"/>
      <c r="D19" s="37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3" t="str">
        <f t="shared" si="0"/>
        <v/>
      </c>
      <c r="U19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J19" s="33"/>
      <c r="AK19" s="33"/>
      <c r="AL19" s="33"/>
      <c r="AM19" s="33"/>
      <c r="AN19" s="33"/>
      <c r="AO19" s="33"/>
      <c r="AP19" s="50"/>
      <c r="AQ19" s="32"/>
      <c r="AR19" s="33"/>
      <c r="AV19" s="13"/>
    </row>
    <row r="20" spans="1:48" x14ac:dyDescent="0.35">
      <c r="A20" s="2"/>
      <c r="B20" s="33" t="str">
        <f>IF(NOT(ISBLANK(C20)),COUNTA($C$2:C20),"")</f>
        <v/>
      </c>
      <c r="C20" s="36"/>
      <c r="D20" s="37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3" t="str">
        <f t="shared" si="0"/>
        <v/>
      </c>
      <c r="U20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J20" s="33"/>
      <c r="AK20" s="33"/>
      <c r="AL20" s="33"/>
      <c r="AM20" s="33"/>
      <c r="AN20" s="33"/>
      <c r="AO20" s="33"/>
      <c r="AP20" s="50"/>
      <c r="AQ20" s="32"/>
      <c r="AR20" s="33"/>
      <c r="AV20" s="13"/>
    </row>
    <row r="21" spans="1:48" x14ac:dyDescent="0.35">
      <c r="A21" s="2"/>
      <c r="B21" s="33" t="str">
        <f>IF(NOT(ISBLANK(C21)),COUNTA($C$2:C21),"")</f>
        <v/>
      </c>
      <c r="C21" s="36"/>
      <c r="D21" s="37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3" t="str">
        <f t="shared" si="0"/>
        <v/>
      </c>
      <c r="U21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J21" s="33"/>
      <c r="AK21" s="33"/>
      <c r="AL21" s="33"/>
      <c r="AM21" s="33"/>
      <c r="AN21" s="33"/>
      <c r="AO21" s="33"/>
      <c r="AP21" s="50"/>
      <c r="AQ21" s="32"/>
      <c r="AR21" s="33"/>
      <c r="AV21" s="13"/>
    </row>
    <row r="22" spans="1:48" x14ac:dyDescent="0.35">
      <c r="A22" s="2"/>
      <c r="B22" s="33" t="str">
        <f>IF(NOT(ISBLANK(C22)),COUNTA($C$2:C22),"")</f>
        <v/>
      </c>
      <c r="C22" s="36"/>
      <c r="D22" s="37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3" t="str">
        <f t="shared" si="0"/>
        <v/>
      </c>
      <c r="U22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J22" s="33"/>
      <c r="AK22" s="33"/>
      <c r="AL22" s="33"/>
      <c r="AM22" s="33"/>
      <c r="AN22" s="33"/>
      <c r="AO22" s="33"/>
      <c r="AP22" s="50"/>
      <c r="AQ22" s="32"/>
      <c r="AR22" s="33"/>
      <c r="AU22" s="8"/>
      <c r="AV22" s="13"/>
    </row>
    <row r="23" spans="1:48" x14ac:dyDescent="0.35">
      <c r="A23" s="2"/>
      <c r="B23" s="33" t="str">
        <f>IF(NOT(ISBLANK(C23)),COUNTA($C$2:C23),"")</f>
        <v/>
      </c>
      <c r="C23" s="36"/>
      <c r="D23" s="37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3" t="str">
        <f t="shared" si="0"/>
        <v/>
      </c>
      <c r="U2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J23" s="33"/>
      <c r="AK23" s="33"/>
      <c r="AL23" s="33"/>
      <c r="AM23" s="33"/>
      <c r="AN23" s="33"/>
      <c r="AO23" s="33"/>
      <c r="AP23" s="50"/>
      <c r="AQ23" s="32"/>
      <c r="AR23" s="33"/>
      <c r="AU23" s="8"/>
      <c r="AV23" s="13"/>
    </row>
    <row r="24" spans="1:48" x14ac:dyDescent="0.35">
      <c r="A24" s="2"/>
      <c r="B24" s="33" t="str">
        <f>IF(NOT(ISBLANK(C24)),COUNTA($C$2:C24),"")</f>
        <v/>
      </c>
      <c r="C24" s="36"/>
      <c r="D24" s="37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3" t="str">
        <f t="shared" si="0"/>
        <v/>
      </c>
      <c r="U24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J24" s="33"/>
      <c r="AK24" s="33"/>
      <c r="AL24" s="33"/>
      <c r="AM24" s="33"/>
      <c r="AN24" s="33"/>
      <c r="AO24" s="33"/>
      <c r="AP24" s="50"/>
      <c r="AQ24" s="32"/>
      <c r="AR24" s="33"/>
      <c r="AU24" s="8"/>
      <c r="AV24" s="13"/>
    </row>
    <row r="25" spans="1:48" x14ac:dyDescent="0.35">
      <c r="A25" s="2"/>
      <c r="B25" s="33" t="str">
        <f>IF(NOT(ISBLANK(C25)),COUNTA($C$2:C25),"")</f>
        <v/>
      </c>
      <c r="C25" s="36"/>
      <c r="D25" s="37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3" t="str">
        <f t="shared" si="0"/>
        <v/>
      </c>
      <c r="U25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J25" s="33"/>
      <c r="AK25" s="33"/>
      <c r="AL25" s="33"/>
      <c r="AM25" s="33"/>
      <c r="AN25" s="33"/>
      <c r="AO25" s="33"/>
      <c r="AP25" s="50"/>
      <c r="AQ25" s="32"/>
      <c r="AR25" s="33"/>
      <c r="AU25" s="8"/>
      <c r="AV25" s="13"/>
    </row>
    <row r="26" spans="1:48" x14ac:dyDescent="0.35">
      <c r="A26" s="2"/>
      <c r="B26" s="33" t="str">
        <f>IF(NOT(ISBLANK(C26)),COUNTA($C$2:C26),"")</f>
        <v/>
      </c>
      <c r="C26" s="36"/>
      <c r="D26" s="37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3" t="str">
        <f t="shared" si="0"/>
        <v/>
      </c>
      <c r="U26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J26" s="33"/>
      <c r="AK26" s="33"/>
      <c r="AL26" s="33"/>
      <c r="AM26" s="33"/>
      <c r="AN26" s="33"/>
      <c r="AO26" s="33"/>
      <c r="AP26" s="50"/>
      <c r="AQ26" s="32"/>
      <c r="AR26" s="33"/>
      <c r="AU26" s="8"/>
      <c r="AV26" s="13"/>
    </row>
    <row r="27" spans="1:48" x14ac:dyDescent="0.35">
      <c r="A27" s="2"/>
      <c r="B27" s="33" t="str">
        <f>IF(NOT(ISBLANK(C27)),COUNTA($C$2:C27),"")</f>
        <v/>
      </c>
      <c r="C27" s="36"/>
      <c r="D27" s="37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3" t="str">
        <f t="shared" si="0"/>
        <v/>
      </c>
      <c r="U27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J27" s="33"/>
      <c r="AK27" s="33"/>
      <c r="AL27" s="33"/>
      <c r="AM27" s="33"/>
      <c r="AN27" s="33"/>
      <c r="AO27" s="33"/>
      <c r="AP27" s="50"/>
      <c r="AQ27" s="32"/>
      <c r="AR27" s="33"/>
      <c r="AU27" s="8"/>
      <c r="AV27" s="13"/>
    </row>
    <row r="28" spans="1:48" x14ac:dyDescent="0.35">
      <c r="A28" s="2"/>
      <c r="B28" s="33" t="str">
        <f>IF(NOT(ISBLANK(C28)),COUNTA($C$2:C28),"")</f>
        <v/>
      </c>
      <c r="C28" s="36"/>
      <c r="D28" s="37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3" t="str">
        <f t="shared" si="0"/>
        <v/>
      </c>
      <c r="U28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J28" s="33"/>
      <c r="AK28" s="33"/>
      <c r="AL28" s="33"/>
      <c r="AM28" s="33"/>
      <c r="AN28" s="33"/>
      <c r="AO28" s="33"/>
      <c r="AP28" s="50"/>
      <c r="AQ28" s="32"/>
      <c r="AR28" s="33"/>
      <c r="AU28" s="8"/>
      <c r="AV28" s="13"/>
    </row>
    <row r="29" spans="1:48" x14ac:dyDescent="0.35">
      <c r="A29" s="2"/>
      <c r="B29" s="33" t="str">
        <f>IF(NOT(ISBLANK(C29)),COUNTA($C$2:C29),"")</f>
        <v/>
      </c>
      <c r="C29" s="36"/>
      <c r="D29" s="37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3" t="str">
        <f t="shared" si="0"/>
        <v/>
      </c>
      <c r="U29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J29" s="33"/>
      <c r="AK29" s="33"/>
      <c r="AL29" s="33"/>
      <c r="AM29" s="33"/>
      <c r="AN29" s="33"/>
      <c r="AO29" s="33"/>
      <c r="AP29" s="50"/>
      <c r="AQ29" s="32"/>
      <c r="AR29" s="33"/>
      <c r="AU29" s="8"/>
      <c r="AV29" s="13"/>
    </row>
    <row r="30" spans="1:48" x14ac:dyDescent="0.35">
      <c r="A30" s="2"/>
      <c r="B30" s="33" t="str">
        <f>IF(NOT(ISBLANK(C30)),COUNTA($C$2:C30),"")</f>
        <v/>
      </c>
      <c r="C30" s="36"/>
      <c r="D30" s="37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3" t="str">
        <f t="shared" si="0"/>
        <v/>
      </c>
      <c r="U30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J30" s="33"/>
      <c r="AK30" s="33"/>
      <c r="AL30" s="33"/>
      <c r="AM30" s="33"/>
      <c r="AN30" s="33"/>
      <c r="AO30" s="33"/>
      <c r="AP30" s="50"/>
      <c r="AQ30" s="32"/>
      <c r="AR30" s="33"/>
      <c r="AU30" s="8"/>
      <c r="AV30" s="13"/>
    </row>
    <row r="31" spans="1:48" x14ac:dyDescent="0.3">
      <c r="B31" s="33" t="str">
        <f>IF(NOT(ISBLANK(C31)),COUNTA($C$2:C31),"")</f>
        <v/>
      </c>
      <c r="C31" s="36"/>
      <c r="D31" s="37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3" t="str">
        <f t="shared" si="0"/>
        <v/>
      </c>
      <c r="U31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J31" s="33"/>
      <c r="AK31" s="33"/>
      <c r="AL31" s="33"/>
      <c r="AM31" s="33"/>
      <c r="AN31" s="33"/>
      <c r="AO31" s="33"/>
      <c r="AP31" s="50"/>
      <c r="AQ31" s="32"/>
      <c r="AR31" s="33"/>
    </row>
    <row r="32" spans="1:48" x14ac:dyDescent="0.3">
      <c r="B32" s="33" t="str">
        <f>IF(NOT(ISBLANK(C32)),COUNTA($C$2:C32),"")</f>
        <v/>
      </c>
      <c r="C32" s="36"/>
      <c r="D32" s="37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3" t="str">
        <f t="shared" si="0"/>
        <v/>
      </c>
      <c r="U32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J32" s="33"/>
      <c r="AK32" s="33"/>
      <c r="AL32" s="33"/>
      <c r="AM32" s="33"/>
      <c r="AN32" s="33"/>
      <c r="AO32" s="33"/>
      <c r="AP32" s="50"/>
      <c r="AQ32" s="32"/>
      <c r="AR32" s="33"/>
    </row>
    <row r="33" spans="2:44" x14ac:dyDescent="0.3">
      <c r="B33" s="33" t="str">
        <f>IF(NOT(ISBLANK(C33)),COUNTA($C$2:C33),"")</f>
        <v/>
      </c>
      <c r="C33" s="36"/>
      <c r="D33" s="37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3" t="str">
        <f t="shared" si="0"/>
        <v/>
      </c>
      <c r="U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J33" s="33"/>
      <c r="AK33" s="33"/>
      <c r="AL33" s="33"/>
      <c r="AM33" s="33"/>
      <c r="AN33" s="33"/>
      <c r="AO33" s="33"/>
      <c r="AP33" s="50"/>
      <c r="AQ33" s="32"/>
      <c r="AR33" s="33"/>
    </row>
    <row r="34" spans="2:44" x14ac:dyDescent="0.3">
      <c r="B34" s="33" t="str">
        <f>IF(NOT(ISBLANK(C34)),COUNTA($C$2:C34),"")</f>
        <v/>
      </c>
      <c r="C34" s="36"/>
      <c r="D34" s="37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3" t="str">
        <f t="shared" si="0"/>
        <v/>
      </c>
      <c r="U34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J34" s="33"/>
      <c r="AK34" s="33"/>
      <c r="AL34" s="33"/>
      <c r="AM34" s="33"/>
      <c r="AN34" s="33"/>
      <c r="AO34" s="33"/>
      <c r="AP34" s="50"/>
      <c r="AQ34" s="32"/>
      <c r="AR34" s="33"/>
    </row>
    <row r="35" spans="2:44" x14ac:dyDescent="0.3">
      <c r="B35" s="33" t="str">
        <f>IF(NOT(ISBLANK(C35)),COUNTA($C$2:C35),"")</f>
        <v/>
      </c>
      <c r="C35" s="36"/>
      <c r="D35" s="37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3" t="str">
        <f t="shared" si="0"/>
        <v/>
      </c>
      <c r="U35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J35" s="33"/>
      <c r="AK35" s="33"/>
      <c r="AL35" s="33"/>
      <c r="AM35" s="33"/>
      <c r="AN35" s="33"/>
      <c r="AO35" s="33"/>
      <c r="AP35" s="50"/>
      <c r="AQ35" s="32"/>
      <c r="AR35" s="33"/>
    </row>
    <row r="36" spans="2:44" x14ac:dyDescent="0.3">
      <c r="B36" s="33" t="str">
        <f>IF(NOT(ISBLANK(C36)),COUNTA($C$2:C36),"")</f>
        <v/>
      </c>
      <c r="C36" s="36"/>
      <c r="D36" s="37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3" t="str">
        <f t="shared" si="0"/>
        <v/>
      </c>
      <c r="U36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J36" s="33"/>
      <c r="AK36" s="33"/>
      <c r="AL36" s="33"/>
      <c r="AM36" s="33"/>
      <c r="AN36" s="33"/>
      <c r="AO36" s="33"/>
      <c r="AP36" s="50"/>
      <c r="AQ36" s="32"/>
      <c r="AR36" s="33"/>
    </row>
    <row r="37" spans="2:44" x14ac:dyDescent="0.3">
      <c r="B37" s="33" t="str">
        <f>IF(NOT(ISBLANK(C37)),COUNTA($C$2:C37),"")</f>
        <v/>
      </c>
      <c r="C37" s="36"/>
      <c r="D37" s="37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3" t="str">
        <f t="shared" si="0"/>
        <v/>
      </c>
      <c r="U37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J37" s="33"/>
      <c r="AK37" s="33"/>
      <c r="AL37" s="33"/>
      <c r="AM37" s="33"/>
      <c r="AN37" s="33"/>
      <c r="AO37" s="33"/>
      <c r="AP37" s="50"/>
      <c r="AQ37" s="32"/>
      <c r="AR37" s="33"/>
    </row>
    <row r="38" spans="2:44" x14ac:dyDescent="0.3">
      <c r="B38" s="33" t="str">
        <f>IF(NOT(ISBLANK(C38)),COUNTA($C$2:C38),"")</f>
        <v/>
      </c>
      <c r="C38" s="36"/>
      <c r="D38" s="37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3" t="str">
        <f t="shared" si="0"/>
        <v/>
      </c>
      <c r="U38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J38" s="33"/>
      <c r="AK38" s="33"/>
      <c r="AL38" s="33"/>
      <c r="AM38" s="33"/>
      <c r="AN38" s="33"/>
      <c r="AO38" s="33"/>
      <c r="AP38" s="50"/>
      <c r="AQ38" s="32"/>
      <c r="AR38" s="33"/>
    </row>
    <row r="39" spans="2:44" x14ac:dyDescent="0.3">
      <c r="B39" s="33" t="str">
        <f>IF(NOT(ISBLANK(C39)),COUNTA($C$2:C39),"")</f>
        <v/>
      </c>
      <c r="C39" s="36"/>
      <c r="D39" s="37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3" t="str">
        <f t="shared" si="0"/>
        <v/>
      </c>
      <c r="U39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J39" s="33"/>
      <c r="AK39" s="33"/>
      <c r="AL39" s="33"/>
      <c r="AM39" s="33"/>
      <c r="AN39" s="33"/>
      <c r="AO39" s="33"/>
      <c r="AP39" s="50"/>
      <c r="AQ39" s="32"/>
      <c r="AR39" s="33"/>
    </row>
    <row r="40" spans="2:44" x14ac:dyDescent="0.3">
      <c r="B40" s="33" t="str">
        <f>IF(NOT(ISBLANK(C40)),COUNTA($C$2:C40),"")</f>
        <v/>
      </c>
      <c r="C40" s="36"/>
      <c r="D40" s="37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3" t="str">
        <f t="shared" si="0"/>
        <v/>
      </c>
      <c r="U40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J40" s="33"/>
      <c r="AK40" s="33"/>
      <c r="AL40" s="33"/>
      <c r="AM40" s="33"/>
      <c r="AN40" s="33"/>
      <c r="AO40" s="33"/>
      <c r="AP40" s="50"/>
      <c r="AQ40" s="32"/>
      <c r="AR40" s="33"/>
    </row>
    <row r="41" spans="2:44" x14ac:dyDescent="0.3">
      <c r="B41" s="33" t="str">
        <f>IF(NOT(ISBLANK(C41)),COUNTA($C$2:C41),"")</f>
        <v/>
      </c>
      <c r="C41" s="36"/>
      <c r="D41" s="37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3" t="str">
        <f t="shared" si="0"/>
        <v/>
      </c>
      <c r="U41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J41" s="33"/>
      <c r="AK41" s="33"/>
      <c r="AL41" s="33"/>
      <c r="AM41" s="33"/>
      <c r="AN41" s="33"/>
      <c r="AO41" s="33"/>
      <c r="AP41" s="50"/>
      <c r="AQ41" s="32"/>
      <c r="AR41" s="33"/>
    </row>
    <row r="42" spans="2:44" x14ac:dyDescent="0.3">
      <c r="B42" s="33" t="str">
        <f>IF(NOT(ISBLANK(C42)),COUNTA($C$2:C42),"")</f>
        <v/>
      </c>
      <c r="C42" s="36"/>
      <c r="D42" s="37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3" t="str">
        <f t="shared" si="0"/>
        <v/>
      </c>
      <c r="U42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J42" s="33"/>
      <c r="AK42" s="33"/>
      <c r="AL42" s="33"/>
      <c r="AM42" s="33"/>
      <c r="AN42" s="33"/>
      <c r="AO42" s="33"/>
      <c r="AP42" s="50"/>
      <c r="AQ42" s="32"/>
      <c r="AR42" s="33"/>
    </row>
    <row r="43" spans="2:44" x14ac:dyDescent="0.3">
      <c r="B43" s="33" t="str">
        <f>IF(NOT(ISBLANK(C43)),COUNTA($C$2:C43),"")</f>
        <v/>
      </c>
      <c r="C43" s="36"/>
      <c r="D43" s="37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3" t="str">
        <f t="shared" si="0"/>
        <v/>
      </c>
      <c r="U4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J43" s="33"/>
      <c r="AK43" s="33"/>
      <c r="AL43" s="33"/>
      <c r="AM43" s="33"/>
      <c r="AN43" s="33"/>
      <c r="AO43" s="33"/>
      <c r="AP43" s="50"/>
      <c r="AQ43" s="32"/>
      <c r="AR43" s="33"/>
    </row>
    <row r="44" spans="2:44" x14ac:dyDescent="0.3">
      <c r="B44" s="33" t="str">
        <f>IF(NOT(ISBLANK(C44)),COUNTA($C$2:C44),"")</f>
        <v/>
      </c>
      <c r="C44" s="36"/>
      <c r="D44" s="37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3" t="str">
        <f t="shared" si="0"/>
        <v/>
      </c>
      <c r="U44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J44" s="33"/>
      <c r="AK44" s="33"/>
      <c r="AL44" s="33"/>
      <c r="AM44" s="33"/>
      <c r="AN44" s="33"/>
      <c r="AO44" s="33"/>
      <c r="AP44" s="50"/>
      <c r="AQ44" s="32"/>
      <c r="AR44" s="33"/>
    </row>
    <row r="45" spans="2:44" x14ac:dyDescent="0.3">
      <c r="B45" s="33" t="str">
        <f>IF(NOT(ISBLANK(C45)),COUNTA($C$2:C45),"")</f>
        <v/>
      </c>
      <c r="C45" s="36"/>
      <c r="D45" s="37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3" t="str">
        <f t="shared" si="0"/>
        <v/>
      </c>
      <c r="U45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J45" s="33"/>
      <c r="AK45" s="33"/>
      <c r="AL45" s="33"/>
      <c r="AM45" s="33"/>
      <c r="AN45" s="33"/>
      <c r="AO45" s="33"/>
      <c r="AP45" s="50"/>
      <c r="AQ45" s="32"/>
      <c r="AR45" s="33"/>
    </row>
    <row r="46" spans="2:44" x14ac:dyDescent="0.3">
      <c r="B46" s="33" t="str">
        <f>IF(NOT(ISBLANK(C46)),COUNTA($C$2:C46),"")</f>
        <v/>
      </c>
      <c r="C46" s="36"/>
      <c r="D46" s="37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3" t="str">
        <f t="shared" si="0"/>
        <v/>
      </c>
      <c r="U46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J46" s="33"/>
      <c r="AK46" s="33"/>
      <c r="AL46" s="33"/>
      <c r="AM46" s="33"/>
      <c r="AN46" s="33"/>
      <c r="AO46" s="33"/>
      <c r="AP46" s="50"/>
      <c r="AQ46" s="32"/>
      <c r="AR46" s="33"/>
    </row>
    <row r="47" spans="2:44" x14ac:dyDescent="0.3">
      <c r="B47" s="33" t="str">
        <f>IF(NOT(ISBLANK(C47)),COUNTA($C$2:C47),"")</f>
        <v/>
      </c>
      <c r="C47" s="36"/>
      <c r="D47" s="37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3" t="str">
        <f t="shared" si="0"/>
        <v/>
      </c>
      <c r="U47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J47" s="33"/>
      <c r="AK47" s="33"/>
      <c r="AL47" s="33"/>
      <c r="AM47" s="33"/>
      <c r="AN47" s="33"/>
      <c r="AO47" s="33"/>
      <c r="AP47" s="50"/>
      <c r="AQ47" s="32"/>
      <c r="AR47" s="33"/>
    </row>
    <row r="48" spans="2:44" x14ac:dyDescent="0.3">
      <c r="B48" s="33" t="str">
        <f>IF(NOT(ISBLANK(C48)),COUNTA($C$2:C48),"")</f>
        <v/>
      </c>
      <c r="C48" s="36"/>
      <c r="D48" s="37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3" t="str">
        <f t="shared" si="0"/>
        <v/>
      </c>
      <c r="U48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J48" s="33"/>
      <c r="AK48" s="33"/>
      <c r="AL48" s="33"/>
      <c r="AM48" s="33"/>
      <c r="AN48" s="33"/>
      <c r="AO48" s="33"/>
      <c r="AP48" s="50"/>
      <c r="AQ48" s="32"/>
      <c r="AR48" s="33"/>
    </row>
    <row r="49" spans="2:44" x14ac:dyDescent="0.3">
      <c r="B49" s="33" t="str">
        <f>IF(NOT(ISBLANK(C49)),COUNTA($C$2:C49),"")</f>
        <v/>
      </c>
      <c r="C49" s="36"/>
      <c r="D49" s="37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3" t="str">
        <f t="shared" si="0"/>
        <v/>
      </c>
      <c r="U49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J49" s="33"/>
      <c r="AK49" s="33"/>
      <c r="AL49" s="33"/>
      <c r="AM49" s="33"/>
      <c r="AN49" s="33"/>
      <c r="AO49" s="33"/>
      <c r="AP49" s="50"/>
      <c r="AQ49" s="32"/>
      <c r="AR49" s="33"/>
    </row>
    <row r="50" spans="2:44" x14ac:dyDescent="0.3">
      <c r="B50" s="33" t="str">
        <f>IF(NOT(ISBLANK(C50)),COUNTA($C$2:C50),"")</f>
        <v/>
      </c>
      <c r="C50" s="36"/>
      <c r="D50" s="37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3" t="str">
        <f t="shared" si="0"/>
        <v/>
      </c>
      <c r="U50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J50" s="33"/>
      <c r="AK50" s="33"/>
      <c r="AL50" s="33"/>
      <c r="AM50" s="33"/>
      <c r="AN50" s="33"/>
      <c r="AO50" s="33"/>
      <c r="AP50" s="50"/>
      <c r="AQ50" s="32"/>
      <c r="AR50" s="33"/>
    </row>
    <row r="51" spans="2:44" x14ac:dyDescent="0.3">
      <c r="B51" s="33" t="str">
        <f>IF(NOT(ISBLANK(C51)),COUNTA($C$2:C51),"")</f>
        <v/>
      </c>
      <c r="C51" s="36"/>
      <c r="D51" s="37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3" t="str">
        <f t="shared" si="0"/>
        <v/>
      </c>
      <c r="U51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J51" s="33"/>
      <c r="AK51" s="33"/>
      <c r="AL51" s="33"/>
      <c r="AM51" s="33"/>
      <c r="AN51" s="33"/>
      <c r="AO51" s="33"/>
      <c r="AP51" s="50"/>
      <c r="AQ51" s="32"/>
      <c r="AR51" s="33"/>
    </row>
    <row r="52" spans="2:44" x14ac:dyDescent="0.3">
      <c r="B52" s="33" t="str">
        <f>IF(NOT(ISBLANK(C52)),COUNTA($C$2:C52),"")</f>
        <v/>
      </c>
      <c r="C52" s="36"/>
      <c r="D52" s="37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3" t="str">
        <f t="shared" si="0"/>
        <v/>
      </c>
      <c r="U52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J52" s="33"/>
      <c r="AK52" s="33"/>
      <c r="AL52" s="33"/>
      <c r="AM52" s="33"/>
      <c r="AN52" s="33"/>
      <c r="AO52" s="33"/>
      <c r="AP52" s="50"/>
      <c r="AQ52" s="32"/>
      <c r="AR52" s="33"/>
    </row>
    <row r="53" spans="2:44" x14ac:dyDescent="0.3">
      <c r="B53" s="33" t="str">
        <f>IF(NOT(ISBLANK(C53)),COUNTA($C$2:C53),"")</f>
        <v/>
      </c>
      <c r="C53" s="36"/>
      <c r="D53" s="37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3" t="str">
        <f t="shared" si="0"/>
        <v/>
      </c>
      <c r="U5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J53" s="33"/>
      <c r="AK53" s="33"/>
      <c r="AL53" s="33"/>
      <c r="AM53" s="33"/>
      <c r="AN53" s="33"/>
      <c r="AO53" s="33"/>
      <c r="AP53" s="50"/>
      <c r="AQ53" s="32"/>
      <c r="AR53" s="33"/>
    </row>
    <row r="54" spans="2:44" x14ac:dyDescent="0.3">
      <c r="B54" s="33" t="str">
        <f>IF(NOT(ISBLANK(C54)),COUNTA($C$2:C54),"")</f>
        <v/>
      </c>
      <c r="C54" s="36"/>
      <c r="D54" s="37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3" t="str">
        <f t="shared" si="0"/>
        <v/>
      </c>
      <c r="U54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J54" s="33"/>
      <c r="AK54" s="33"/>
      <c r="AL54" s="33"/>
      <c r="AM54" s="33"/>
      <c r="AN54" s="33"/>
      <c r="AO54" s="33"/>
      <c r="AP54" s="50"/>
      <c r="AQ54" s="32"/>
      <c r="AR54" s="33"/>
    </row>
    <row r="55" spans="2:44" x14ac:dyDescent="0.3">
      <c r="B55" s="33" t="str">
        <f>IF(NOT(ISBLANK(C55)),COUNTA($C$2:C55),"")</f>
        <v/>
      </c>
      <c r="C55" s="36"/>
      <c r="D55" s="37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3" t="str">
        <f t="shared" si="0"/>
        <v/>
      </c>
      <c r="U55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J55" s="33"/>
      <c r="AK55" s="33"/>
      <c r="AL55" s="33"/>
      <c r="AM55" s="33"/>
      <c r="AN55" s="33"/>
      <c r="AO55" s="33"/>
      <c r="AP55" s="50"/>
      <c r="AQ55" s="32"/>
      <c r="AR55" s="33"/>
    </row>
    <row r="56" spans="2:44" x14ac:dyDescent="0.3">
      <c r="B56" s="33" t="str">
        <f>IF(NOT(ISBLANK(C56)),COUNTA($C$2:C56),"")</f>
        <v/>
      </c>
      <c r="C56" s="36"/>
      <c r="D56" s="37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3" t="str">
        <f t="shared" si="0"/>
        <v/>
      </c>
      <c r="U56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J56" s="33"/>
      <c r="AK56" s="33"/>
      <c r="AL56" s="33"/>
      <c r="AM56" s="33"/>
      <c r="AN56" s="33"/>
      <c r="AO56" s="33"/>
      <c r="AP56" s="50"/>
      <c r="AQ56" s="32"/>
      <c r="AR56" s="33"/>
    </row>
    <row r="57" spans="2:44" x14ac:dyDescent="0.3">
      <c r="B57" s="33" t="str">
        <f>IF(NOT(ISBLANK(C57)),COUNTA($C$2:C57),"")</f>
        <v/>
      </c>
      <c r="C57" s="36"/>
      <c r="D57" s="37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3" t="str">
        <f t="shared" si="0"/>
        <v/>
      </c>
      <c r="U57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J57" s="33"/>
      <c r="AK57" s="33"/>
      <c r="AL57" s="33"/>
      <c r="AM57" s="33"/>
      <c r="AN57" s="33"/>
      <c r="AO57" s="33"/>
      <c r="AP57" s="50"/>
      <c r="AQ57" s="32"/>
      <c r="AR57" s="33"/>
    </row>
    <row r="58" spans="2:44" x14ac:dyDescent="0.3">
      <c r="B58" s="33" t="str">
        <f>IF(NOT(ISBLANK(C58)),COUNTA($C$2:C58),"")</f>
        <v/>
      </c>
      <c r="C58" s="36"/>
      <c r="D58" s="37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3" t="str">
        <f t="shared" si="0"/>
        <v/>
      </c>
      <c r="U58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J58" s="33"/>
      <c r="AK58" s="33"/>
      <c r="AL58" s="33"/>
      <c r="AM58" s="33"/>
      <c r="AN58" s="33"/>
      <c r="AO58" s="33"/>
      <c r="AP58" s="50"/>
      <c r="AQ58" s="32"/>
      <c r="AR58" s="33"/>
    </row>
    <row r="59" spans="2:44" x14ac:dyDescent="0.3">
      <c r="B59" s="33" t="str">
        <f>IF(NOT(ISBLANK(C59)),COUNTA($C$2:C59),"")</f>
        <v/>
      </c>
      <c r="C59" s="36"/>
      <c r="D59" s="37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3" t="str">
        <f t="shared" si="0"/>
        <v/>
      </c>
      <c r="U59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J59" s="33"/>
      <c r="AK59" s="33"/>
      <c r="AL59" s="33"/>
      <c r="AM59" s="33"/>
      <c r="AN59" s="33"/>
      <c r="AO59" s="33"/>
      <c r="AP59" s="50"/>
      <c r="AQ59" s="32"/>
      <c r="AR59" s="33"/>
    </row>
    <row r="60" spans="2:44" x14ac:dyDescent="0.3">
      <c r="B60" s="33" t="str">
        <f>IF(NOT(ISBLANK(C60)),COUNTA($C$2:C60),"")</f>
        <v/>
      </c>
      <c r="C60" s="36"/>
      <c r="D60" s="37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3" t="str">
        <f t="shared" si="0"/>
        <v/>
      </c>
      <c r="U60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J60" s="33"/>
      <c r="AK60" s="33"/>
      <c r="AL60" s="33"/>
      <c r="AM60" s="33"/>
      <c r="AN60" s="33"/>
      <c r="AO60" s="33"/>
      <c r="AP60" s="50"/>
      <c r="AQ60" s="32"/>
      <c r="AR60" s="33"/>
    </row>
    <row r="61" spans="2:44" x14ac:dyDescent="0.3">
      <c r="B61" s="33" t="str">
        <f>IF(NOT(ISBLANK(C61)),COUNTA($C$2:C61),"")</f>
        <v/>
      </c>
      <c r="C61" s="36"/>
      <c r="D61" s="37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3" t="str">
        <f t="shared" si="0"/>
        <v/>
      </c>
      <c r="U61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J61" s="33"/>
      <c r="AK61" s="33"/>
      <c r="AL61" s="33"/>
      <c r="AM61" s="33"/>
      <c r="AN61" s="33"/>
      <c r="AO61" s="33"/>
      <c r="AP61" s="50"/>
      <c r="AQ61" s="32"/>
      <c r="AR61" s="33"/>
    </row>
    <row r="62" spans="2:44" x14ac:dyDescent="0.3">
      <c r="B62" s="33" t="str">
        <f>IF(NOT(ISBLANK(C62)),COUNTA($C$2:C62),"")</f>
        <v/>
      </c>
      <c r="C62" s="36"/>
      <c r="D62" s="37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3" t="str">
        <f t="shared" si="0"/>
        <v/>
      </c>
      <c r="U62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J62" s="33"/>
      <c r="AK62" s="33"/>
      <c r="AL62" s="33"/>
      <c r="AM62" s="33"/>
      <c r="AN62" s="33"/>
      <c r="AO62" s="33"/>
      <c r="AP62" s="50"/>
      <c r="AQ62" s="32"/>
      <c r="AR62" s="33"/>
    </row>
    <row r="63" spans="2:44" x14ac:dyDescent="0.3">
      <c r="B63" s="33" t="str">
        <f>IF(NOT(ISBLANK(C63)),COUNTA($C$2:C63),"")</f>
        <v/>
      </c>
      <c r="C63" s="36"/>
      <c r="D63" s="37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3" t="str">
        <f t="shared" si="0"/>
        <v/>
      </c>
      <c r="U6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J63" s="33"/>
      <c r="AK63" s="33"/>
      <c r="AL63" s="33"/>
      <c r="AM63" s="33"/>
      <c r="AN63" s="33"/>
      <c r="AO63" s="33"/>
      <c r="AP63" s="50"/>
      <c r="AQ63" s="32"/>
      <c r="AR63" s="33"/>
    </row>
    <row r="64" spans="2:44" x14ac:dyDescent="0.3">
      <c r="B64" s="33" t="str">
        <f>IF(NOT(ISBLANK(C64)),COUNTA($C$2:C64),"")</f>
        <v/>
      </c>
      <c r="C64" s="36"/>
      <c r="D64" s="37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3" t="str">
        <f t="shared" si="0"/>
        <v/>
      </c>
      <c r="U64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J64" s="33"/>
      <c r="AK64" s="33"/>
      <c r="AL64" s="33"/>
      <c r="AM64" s="33"/>
      <c r="AN64" s="33"/>
      <c r="AO64" s="33"/>
      <c r="AP64" s="50"/>
      <c r="AQ64" s="32"/>
      <c r="AR64" s="33"/>
    </row>
    <row r="65" spans="2:44" x14ac:dyDescent="0.3">
      <c r="B65" s="33" t="str">
        <f>IF(NOT(ISBLANK(C65)),COUNTA($C$2:C65),"")</f>
        <v/>
      </c>
      <c r="C65" s="36"/>
      <c r="D65" s="37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3" t="str">
        <f t="shared" si="0"/>
        <v/>
      </c>
      <c r="U65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J65" s="33"/>
      <c r="AK65" s="33"/>
      <c r="AL65" s="33"/>
      <c r="AM65" s="33"/>
      <c r="AN65" s="33"/>
      <c r="AO65" s="33"/>
      <c r="AP65" s="50"/>
      <c r="AQ65" s="32"/>
      <c r="AR65" s="33"/>
    </row>
    <row r="66" spans="2:44" x14ac:dyDescent="0.3">
      <c r="B66" s="33" t="str">
        <f>IF(NOT(ISBLANK(C66)),COUNTA($C$2:C66),"")</f>
        <v/>
      </c>
      <c r="C66" s="36"/>
      <c r="D66" s="37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3" t="str">
        <f t="shared" si="0"/>
        <v/>
      </c>
      <c r="U66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J66" s="33"/>
      <c r="AK66" s="33"/>
      <c r="AL66" s="33"/>
      <c r="AM66" s="33"/>
      <c r="AN66" s="33"/>
      <c r="AO66" s="33"/>
      <c r="AP66" s="50"/>
      <c r="AQ66" s="32"/>
      <c r="AR66" s="33"/>
    </row>
    <row r="67" spans="2:44" x14ac:dyDescent="0.3">
      <c r="B67" s="33" t="str">
        <f>IF(NOT(ISBLANK(C67)),COUNTA($C$2:C67),"")</f>
        <v/>
      </c>
      <c r="C67" s="36"/>
      <c r="D67" s="37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3" t="str">
        <f t="shared" si="0"/>
        <v/>
      </c>
      <c r="U67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J67" s="33"/>
      <c r="AK67" s="33"/>
      <c r="AL67" s="33"/>
      <c r="AM67" s="33"/>
      <c r="AN67" s="33"/>
      <c r="AO67" s="33"/>
      <c r="AP67" s="50"/>
      <c r="AQ67" s="32"/>
      <c r="AR67" s="33"/>
    </row>
    <row r="68" spans="2:44" x14ac:dyDescent="0.3">
      <c r="B68" s="33" t="str">
        <f>IF(NOT(ISBLANK(C68)),COUNTA($C$2:C68),"")</f>
        <v/>
      </c>
      <c r="C68" s="36"/>
      <c r="D68" s="37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3" t="str">
        <f t="shared" si="0"/>
        <v/>
      </c>
      <c r="U68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J68" s="33"/>
      <c r="AK68" s="33"/>
      <c r="AL68" s="33"/>
      <c r="AM68" s="33"/>
      <c r="AN68" s="33"/>
      <c r="AO68" s="33"/>
      <c r="AP68" s="50"/>
      <c r="AQ68" s="32"/>
      <c r="AR68" s="33"/>
    </row>
    <row r="69" spans="2:44" x14ac:dyDescent="0.3">
      <c r="B69" s="33" t="str">
        <f>IF(NOT(ISBLANK(C69)),COUNTA($C$2:C69),"")</f>
        <v/>
      </c>
      <c r="C69" s="36"/>
      <c r="D69" s="37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3" t="str">
        <f t="shared" si="0"/>
        <v/>
      </c>
      <c r="U69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J69" s="33"/>
      <c r="AK69" s="33"/>
      <c r="AL69" s="33"/>
      <c r="AM69" s="33"/>
      <c r="AN69" s="33"/>
      <c r="AO69" s="33"/>
      <c r="AP69" s="50"/>
      <c r="AQ69" s="32"/>
      <c r="AR69" s="33"/>
    </row>
    <row r="70" spans="2:44" x14ac:dyDescent="0.3">
      <c r="B70" s="33" t="str">
        <f>IF(NOT(ISBLANK(C70)),COUNTA($C$2:C70),"")</f>
        <v/>
      </c>
      <c r="C70" s="36"/>
      <c r="D70" s="37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3" t="str">
        <f t="shared" si="0"/>
        <v/>
      </c>
      <c r="U70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J70" s="33"/>
      <c r="AK70" s="33"/>
      <c r="AL70" s="33"/>
      <c r="AM70" s="33"/>
      <c r="AN70" s="33"/>
      <c r="AO70" s="33"/>
      <c r="AP70" s="50"/>
      <c r="AQ70" s="32"/>
      <c r="AR70" s="33"/>
    </row>
    <row r="71" spans="2:44" x14ac:dyDescent="0.3">
      <c r="B71" s="33" t="str">
        <f>IF(NOT(ISBLANK(C71)),COUNTA($C$2:C71),"")</f>
        <v/>
      </c>
      <c r="C71" s="36"/>
      <c r="D71" s="37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3" t="str">
        <f t="shared" ref="T71:T105" si="1">IF(NOT(ISBLANK(C71)),IF(COUNTIF(E71:S71,"a")&lt;&gt;0,COUNTIF(E71:S71,"a")*2,""),"")</f>
        <v/>
      </c>
      <c r="U71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J71" s="33"/>
      <c r="AK71" s="33"/>
      <c r="AL71" s="33"/>
      <c r="AM71" s="33"/>
      <c r="AN71" s="33"/>
      <c r="AO71" s="33"/>
      <c r="AP71" s="50"/>
      <c r="AQ71" s="32"/>
      <c r="AR71" s="33"/>
    </row>
    <row r="72" spans="2:44" x14ac:dyDescent="0.3">
      <c r="B72" s="33" t="str">
        <f>IF(NOT(ISBLANK(C72)),COUNTA($C$2:C72),"")</f>
        <v/>
      </c>
      <c r="C72" s="36"/>
      <c r="D72" s="37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3" t="str">
        <f t="shared" si="1"/>
        <v/>
      </c>
      <c r="U72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J72" s="33"/>
      <c r="AK72" s="33"/>
      <c r="AL72" s="33"/>
      <c r="AM72" s="33"/>
      <c r="AN72" s="33"/>
      <c r="AO72" s="33"/>
      <c r="AP72" s="50"/>
      <c r="AQ72" s="32"/>
      <c r="AR72" s="33"/>
    </row>
    <row r="73" spans="2:44" x14ac:dyDescent="0.3">
      <c r="B73" s="33" t="str">
        <f>IF(NOT(ISBLANK(C73)),COUNTA($C$2:C73),"")</f>
        <v/>
      </c>
      <c r="C73" s="36"/>
      <c r="D73" s="37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3" t="str">
        <f t="shared" si="1"/>
        <v/>
      </c>
      <c r="U7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J73" s="33"/>
      <c r="AK73" s="33"/>
      <c r="AL73" s="33"/>
      <c r="AM73" s="33"/>
      <c r="AN73" s="33"/>
      <c r="AO73" s="33"/>
      <c r="AP73" s="50"/>
      <c r="AQ73" s="32"/>
      <c r="AR73" s="33"/>
    </row>
    <row r="74" spans="2:44" x14ac:dyDescent="0.3">
      <c r="B74" s="33" t="str">
        <f>IF(NOT(ISBLANK(C74)),COUNTA($C$2:C74),"")</f>
        <v/>
      </c>
      <c r="C74" s="36"/>
      <c r="D74" s="37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3" t="str">
        <f t="shared" si="1"/>
        <v/>
      </c>
      <c r="U74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J74" s="33"/>
      <c r="AK74" s="33"/>
      <c r="AL74" s="33"/>
      <c r="AM74" s="33"/>
      <c r="AN74" s="33"/>
      <c r="AO74" s="33"/>
      <c r="AP74" s="50"/>
      <c r="AQ74" s="32"/>
      <c r="AR74" s="33"/>
    </row>
    <row r="75" spans="2:44" x14ac:dyDescent="0.3">
      <c r="B75" s="33" t="str">
        <f>IF(NOT(ISBLANK(C75)),COUNTA($C$2:C75),"")</f>
        <v/>
      </c>
      <c r="C75" s="36"/>
      <c r="D75" s="37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3" t="str">
        <f t="shared" si="1"/>
        <v/>
      </c>
      <c r="U75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J75" s="33"/>
      <c r="AK75" s="33"/>
      <c r="AL75" s="33"/>
      <c r="AM75" s="33"/>
      <c r="AN75" s="33"/>
      <c r="AO75" s="33"/>
      <c r="AP75" s="50"/>
      <c r="AQ75" s="32"/>
      <c r="AR75" s="33"/>
    </row>
    <row r="76" spans="2:44" x14ac:dyDescent="0.3">
      <c r="B76" s="33" t="str">
        <f>IF(NOT(ISBLANK(C76)),COUNTA($C$2:C76),"")</f>
        <v/>
      </c>
      <c r="C76" s="36"/>
      <c r="D76" s="37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3" t="str">
        <f t="shared" si="1"/>
        <v/>
      </c>
      <c r="U76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J76" s="33"/>
      <c r="AK76" s="33"/>
      <c r="AL76" s="33"/>
      <c r="AM76" s="33"/>
      <c r="AN76" s="33"/>
      <c r="AO76" s="33"/>
      <c r="AP76" s="50"/>
      <c r="AQ76" s="32"/>
      <c r="AR76" s="33"/>
    </row>
    <row r="77" spans="2:44" x14ac:dyDescent="0.3">
      <c r="B77" s="33" t="str">
        <f>IF(NOT(ISBLANK(C77)),COUNTA($C$2:C77),"")</f>
        <v/>
      </c>
      <c r="C77" s="36"/>
      <c r="D77" s="37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3" t="str">
        <f t="shared" si="1"/>
        <v/>
      </c>
      <c r="U77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J77" s="33"/>
      <c r="AK77" s="33"/>
      <c r="AL77" s="33"/>
      <c r="AM77" s="33"/>
      <c r="AN77" s="33"/>
      <c r="AO77" s="33"/>
      <c r="AP77" s="50"/>
      <c r="AQ77" s="32"/>
      <c r="AR77" s="33"/>
    </row>
    <row r="78" spans="2:44" x14ac:dyDescent="0.3">
      <c r="B78" s="33" t="str">
        <f>IF(NOT(ISBLANK(C78)),COUNTA($C$2:C78),"")</f>
        <v/>
      </c>
      <c r="C78" s="36"/>
      <c r="D78" s="37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3" t="str">
        <f t="shared" si="1"/>
        <v/>
      </c>
      <c r="U78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J78" s="33"/>
      <c r="AK78" s="33"/>
      <c r="AL78" s="33"/>
      <c r="AM78" s="33"/>
      <c r="AN78" s="33"/>
      <c r="AO78" s="33"/>
      <c r="AP78" s="50"/>
      <c r="AQ78" s="32"/>
      <c r="AR78" s="33"/>
    </row>
    <row r="79" spans="2:44" x14ac:dyDescent="0.3">
      <c r="B79" s="33" t="str">
        <f>IF(NOT(ISBLANK(C79)),COUNTA($C$2:C79),"")</f>
        <v/>
      </c>
      <c r="C79" s="36"/>
      <c r="D79" s="37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3" t="str">
        <f t="shared" si="1"/>
        <v/>
      </c>
      <c r="U79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J79" s="33"/>
      <c r="AK79" s="33"/>
      <c r="AL79" s="33"/>
      <c r="AM79" s="33"/>
      <c r="AN79" s="33"/>
      <c r="AO79" s="33"/>
      <c r="AP79" s="50"/>
      <c r="AQ79" s="32"/>
      <c r="AR79" s="33"/>
    </row>
    <row r="80" spans="2:44" x14ac:dyDescent="0.3">
      <c r="B80" s="33" t="str">
        <f>IF(NOT(ISBLANK(C80)),COUNTA($C$2:C80),"")</f>
        <v/>
      </c>
      <c r="C80" s="36"/>
      <c r="D80" s="37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3" t="str">
        <f t="shared" si="1"/>
        <v/>
      </c>
      <c r="U80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J80" s="33"/>
      <c r="AK80" s="33"/>
      <c r="AL80" s="33"/>
      <c r="AM80" s="33"/>
      <c r="AN80" s="33"/>
      <c r="AO80" s="33"/>
      <c r="AP80" s="50"/>
      <c r="AQ80" s="32"/>
      <c r="AR80" s="33"/>
    </row>
    <row r="81" spans="2:44" x14ac:dyDescent="0.3">
      <c r="B81" s="33" t="str">
        <f>IF(NOT(ISBLANK(C81)),COUNTA($C$2:C81),"")</f>
        <v/>
      </c>
      <c r="C81" s="36"/>
      <c r="D81" s="37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3" t="str">
        <f t="shared" si="1"/>
        <v/>
      </c>
      <c r="U81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J81" s="33"/>
      <c r="AK81" s="33"/>
      <c r="AL81" s="33"/>
      <c r="AM81" s="33"/>
      <c r="AN81" s="33"/>
      <c r="AO81" s="33"/>
      <c r="AP81" s="50"/>
      <c r="AQ81" s="32"/>
      <c r="AR81" s="33"/>
    </row>
    <row r="82" spans="2:44" x14ac:dyDescent="0.3">
      <c r="B82" s="33" t="str">
        <f>IF(NOT(ISBLANK(C82)),COUNTA($C$2:C82),"")</f>
        <v/>
      </c>
      <c r="C82" s="36"/>
      <c r="D82" s="37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3" t="str">
        <f t="shared" si="1"/>
        <v/>
      </c>
      <c r="U82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J82" s="33"/>
      <c r="AK82" s="33"/>
      <c r="AL82" s="33"/>
      <c r="AM82" s="33"/>
      <c r="AN82" s="33"/>
      <c r="AO82" s="33"/>
      <c r="AP82" s="50"/>
      <c r="AQ82" s="32"/>
      <c r="AR82" s="33"/>
    </row>
    <row r="83" spans="2:44" x14ac:dyDescent="0.3">
      <c r="B83" s="33" t="str">
        <f>IF(NOT(ISBLANK(C83)),COUNTA($C$2:C83),"")</f>
        <v/>
      </c>
      <c r="C83" s="36"/>
      <c r="D83" s="37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3" t="str">
        <f t="shared" si="1"/>
        <v/>
      </c>
      <c r="U8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J83" s="33"/>
      <c r="AK83" s="33"/>
      <c r="AL83" s="33"/>
      <c r="AM83" s="33"/>
      <c r="AN83" s="33"/>
      <c r="AO83" s="33"/>
      <c r="AP83" s="50"/>
      <c r="AQ83" s="32"/>
      <c r="AR83" s="33"/>
    </row>
    <row r="84" spans="2:44" x14ac:dyDescent="0.3">
      <c r="B84" s="33" t="str">
        <f>IF(NOT(ISBLANK(C84)),COUNTA($C$2:C84),"")</f>
        <v/>
      </c>
      <c r="C84" s="36"/>
      <c r="D84" s="37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3" t="str">
        <f t="shared" si="1"/>
        <v/>
      </c>
      <c r="U84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J84" s="33"/>
      <c r="AK84" s="33"/>
      <c r="AL84" s="33"/>
      <c r="AM84" s="33"/>
      <c r="AN84" s="33"/>
      <c r="AO84" s="33"/>
      <c r="AP84" s="50"/>
      <c r="AQ84" s="32"/>
      <c r="AR84" s="33"/>
    </row>
    <row r="85" spans="2:44" x14ac:dyDescent="0.3">
      <c r="B85" s="33" t="str">
        <f>IF(NOT(ISBLANK(C85)),COUNTA($C$2:C85),"")</f>
        <v/>
      </c>
      <c r="C85" s="36"/>
      <c r="D85" s="37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3" t="str">
        <f t="shared" si="1"/>
        <v/>
      </c>
      <c r="U85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J85" s="33"/>
      <c r="AK85" s="33"/>
      <c r="AL85" s="33"/>
      <c r="AM85" s="33"/>
      <c r="AN85" s="33"/>
      <c r="AO85" s="33"/>
      <c r="AP85" s="50"/>
      <c r="AQ85" s="32"/>
      <c r="AR85" s="33"/>
    </row>
    <row r="86" spans="2:44" x14ac:dyDescent="0.3">
      <c r="B86" s="33" t="str">
        <f>IF(NOT(ISBLANK(C86)),COUNTA($C$2:C86),"")</f>
        <v/>
      </c>
      <c r="C86" s="36"/>
      <c r="D86" s="37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3" t="str">
        <f t="shared" si="1"/>
        <v/>
      </c>
      <c r="U86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J86" s="33"/>
      <c r="AK86" s="33"/>
      <c r="AL86" s="33"/>
      <c r="AM86" s="33"/>
      <c r="AN86" s="33"/>
      <c r="AO86" s="33"/>
      <c r="AP86" s="50"/>
      <c r="AQ86" s="32"/>
      <c r="AR86" s="33"/>
    </row>
    <row r="87" spans="2:44" x14ac:dyDescent="0.3">
      <c r="B87" s="33" t="str">
        <f>IF(NOT(ISBLANK(C87)),COUNTA($C$2:C87),"")</f>
        <v/>
      </c>
      <c r="C87" s="36"/>
      <c r="D87" s="37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3" t="str">
        <f t="shared" si="1"/>
        <v/>
      </c>
      <c r="U87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J87" s="33"/>
      <c r="AK87" s="33"/>
      <c r="AL87" s="33"/>
      <c r="AM87" s="33"/>
      <c r="AN87" s="33"/>
      <c r="AO87" s="33"/>
      <c r="AP87" s="50"/>
      <c r="AQ87" s="32"/>
      <c r="AR87" s="33"/>
    </row>
    <row r="88" spans="2:44" x14ac:dyDescent="0.3">
      <c r="B88" s="33" t="str">
        <f>IF(NOT(ISBLANK(C88)),COUNTA($C$2:C88),"")</f>
        <v/>
      </c>
      <c r="C88" s="36"/>
      <c r="D88" s="37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3" t="str">
        <f t="shared" si="1"/>
        <v/>
      </c>
      <c r="U88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J88" s="33"/>
      <c r="AK88" s="33"/>
      <c r="AL88" s="33"/>
      <c r="AM88" s="33"/>
      <c r="AN88" s="33"/>
      <c r="AO88" s="33"/>
      <c r="AP88" s="50"/>
      <c r="AQ88" s="32"/>
      <c r="AR88" s="33"/>
    </row>
    <row r="89" spans="2:44" x14ac:dyDescent="0.3">
      <c r="B89" s="33" t="str">
        <f>IF(NOT(ISBLANK(C89)),COUNTA($C$2:C89),"")</f>
        <v/>
      </c>
      <c r="C89" s="36"/>
      <c r="D89" s="37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3" t="str">
        <f t="shared" si="1"/>
        <v/>
      </c>
      <c r="U89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J89" s="33"/>
      <c r="AK89" s="33"/>
      <c r="AL89" s="33"/>
      <c r="AM89" s="33"/>
      <c r="AN89" s="33"/>
      <c r="AO89" s="33"/>
      <c r="AP89" s="50"/>
      <c r="AQ89" s="32"/>
      <c r="AR89" s="33"/>
    </row>
    <row r="90" spans="2:44" x14ac:dyDescent="0.3">
      <c r="B90" s="33" t="str">
        <f>IF(NOT(ISBLANK(C90)),COUNTA($C$2:C90),"")</f>
        <v/>
      </c>
      <c r="C90" s="36"/>
      <c r="D90" s="37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3" t="str">
        <f t="shared" si="1"/>
        <v/>
      </c>
      <c r="U90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J90" s="33"/>
      <c r="AK90" s="33"/>
      <c r="AL90" s="33"/>
      <c r="AM90" s="33"/>
      <c r="AN90" s="33"/>
      <c r="AO90" s="33"/>
      <c r="AP90" s="50"/>
      <c r="AQ90" s="32"/>
      <c r="AR90" s="33"/>
    </row>
    <row r="91" spans="2:44" x14ac:dyDescent="0.3">
      <c r="B91" s="33" t="str">
        <f>IF(NOT(ISBLANK(C91)),COUNTA($C$2:C91),"")</f>
        <v/>
      </c>
      <c r="C91" s="36"/>
      <c r="D91" s="37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3" t="str">
        <f t="shared" si="1"/>
        <v/>
      </c>
      <c r="U91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J91" s="33"/>
      <c r="AK91" s="33"/>
      <c r="AL91" s="33"/>
      <c r="AM91" s="33"/>
      <c r="AN91" s="33"/>
      <c r="AO91" s="33"/>
      <c r="AP91" s="50"/>
      <c r="AQ91" s="32"/>
      <c r="AR91" s="33"/>
    </row>
    <row r="92" spans="2:44" x14ac:dyDescent="0.3">
      <c r="B92" s="33" t="str">
        <f>IF(NOT(ISBLANK(C92)),COUNTA($C$2:C92),"")</f>
        <v/>
      </c>
      <c r="C92" s="36"/>
      <c r="D92" s="37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3" t="str">
        <f t="shared" si="1"/>
        <v/>
      </c>
      <c r="U92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J92" s="33"/>
      <c r="AK92" s="33"/>
      <c r="AL92" s="33"/>
      <c r="AM92" s="33"/>
      <c r="AN92" s="33"/>
      <c r="AO92" s="33"/>
      <c r="AP92" s="50"/>
      <c r="AQ92" s="32"/>
      <c r="AR92" s="33"/>
    </row>
    <row r="93" spans="2:44" x14ac:dyDescent="0.3">
      <c r="B93" s="33" t="str">
        <f>IF(NOT(ISBLANK(C93)),COUNTA($C$2:C93),"")</f>
        <v/>
      </c>
      <c r="C93" s="36"/>
      <c r="D93" s="37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3" t="str">
        <f t="shared" si="1"/>
        <v/>
      </c>
      <c r="U9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J93" s="33"/>
      <c r="AK93" s="33"/>
      <c r="AL93" s="33"/>
      <c r="AM93" s="33"/>
      <c r="AN93" s="33"/>
      <c r="AO93" s="33"/>
      <c r="AP93" s="50"/>
      <c r="AQ93" s="32"/>
      <c r="AR93" s="33"/>
    </row>
    <row r="94" spans="2:44" x14ac:dyDescent="0.3">
      <c r="B94" s="33" t="str">
        <f>IF(NOT(ISBLANK(C94)),COUNTA($C$2:C94),"")</f>
        <v/>
      </c>
      <c r="C94" s="36"/>
      <c r="D94" s="37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3" t="str">
        <f t="shared" si="1"/>
        <v/>
      </c>
      <c r="U94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J94" s="33"/>
      <c r="AK94" s="33"/>
      <c r="AL94" s="33"/>
      <c r="AM94" s="33"/>
      <c r="AN94" s="33"/>
      <c r="AO94" s="33"/>
      <c r="AP94" s="50"/>
      <c r="AQ94" s="32"/>
      <c r="AR94" s="33"/>
    </row>
    <row r="95" spans="2:44" x14ac:dyDescent="0.3">
      <c r="B95" s="33" t="str">
        <f>IF(NOT(ISBLANK(C95)),COUNTA($C$2:C95),"")</f>
        <v/>
      </c>
      <c r="C95" s="36"/>
      <c r="D95" s="37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3" t="str">
        <f t="shared" si="1"/>
        <v/>
      </c>
      <c r="U95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J95" s="33"/>
      <c r="AK95" s="33"/>
      <c r="AL95" s="33"/>
      <c r="AM95" s="33"/>
      <c r="AN95" s="33"/>
      <c r="AO95" s="33"/>
      <c r="AP95" s="50"/>
      <c r="AQ95" s="32"/>
      <c r="AR95" s="33"/>
    </row>
    <row r="96" spans="2:44" x14ac:dyDescent="0.3">
      <c r="B96" s="33" t="str">
        <f>IF(NOT(ISBLANK(C96)),COUNTA($C$2:C96),"")</f>
        <v/>
      </c>
      <c r="C96" s="36"/>
      <c r="D96" s="37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3" t="str">
        <f t="shared" si="1"/>
        <v/>
      </c>
      <c r="U96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J96" s="33"/>
      <c r="AK96" s="33"/>
      <c r="AL96" s="33"/>
      <c r="AM96" s="33"/>
      <c r="AN96" s="33"/>
      <c r="AO96" s="33"/>
      <c r="AP96" s="50"/>
      <c r="AQ96" s="32"/>
      <c r="AR96" s="33"/>
    </row>
    <row r="97" spans="2:44" x14ac:dyDescent="0.3">
      <c r="B97" s="33" t="str">
        <f>IF(NOT(ISBLANK(C97)),COUNTA($C$2:C97),"")</f>
        <v/>
      </c>
      <c r="C97" s="36"/>
      <c r="D97" s="37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3" t="str">
        <f t="shared" si="1"/>
        <v/>
      </c>
      <c r="U97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J97" s="33"/>
      <c r="AK97" s="33"/>
      <c r="AL97" s="33"/>
      <c r="AM97" s="33"/>
      <c r="AN97" s="33"/>
      <c r="AO97" s="33"/>
      <c r="AP97" s="50"/>
      <c r="AQ97" s="32"/>
      <c r="AR97" s="33"/>
    </row>
    <row r="98" spans="2:44" x14ac:dyDescent="0.3">
      <c r="B98" s="33" t="str">
        <f>IF(NOT(ISBLANK(C98)),COUNTA($C$2:C98),"")</f>
        <v/>
      </c>
      <c r="C98" s="36"/>
      <c r="D98" s="37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3" t="str">
        <f t="shared" si="1"/>
        <v/>
      </c>
      <c r="U98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J98" s="33"/>
      <c r="AK98" s="33"/>
      <c r="AL98" s="33"/>
      <c r="AM98" s="33"/>
      <c r="AN98" s="33"/>
      <c r="AO98" s="33"/>
      <c r="AP98" s="50"/>
      <c r="AQ98" s="32"/>
      <c r="AR98" s="33"/>
    </row>
    <row r="99" spans="2:44" x14ac:dyDescent="0.3">
      <c r="B99" s="33" t="str">
        <f>IF(NOT(ISBLANK(C99)),COUNTA($C$2:C99),"")</f>
        <v/>
      </c>
      <c r="C99" s="36"/>
      <c r="D99" s="37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3" t="str">
        <f t="shared" si="1"/>
        <v/>
      </c>
      <c r="U99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J99" s="33"/>
      <c r="AK99" s="33"/>
      <c r="AL99" s="33"/>
      <c r="AM99" s="33"/>
      <c r="AN99" s="33"/>
      <c r="AO99" s="33"/>
      <c r="AP99" s="50"/>
      <c r="AQ99" s="32"/>
      <c r="AR99" s="33"/>
    </row>
    <row r="100" spans="2:44" x14ac:dyDescent="0.3">
      <c r="B100" s="33" t="str">
        <f>IF(NOT(ISBLANK(C100)),COUNTA($C$2:C100),"")</f>
        <v/>
      </c>
      <c r="C100" s="36"/>
      <c r="D100" s="37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3" t="str">
        <f t="shared" si="1"/>
        <v/>
      </c>
      <c r="U100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J100" s="33"/>
      <c r="AK100" s="33"/>
      <c r="AL100" s="33"/>
      <c r="AM100" s="33"/>
      <c r="AN100" s="33"/>
      <c r="AO100" s="33"/>
      <c r="AP100" s="50"/>
      <c r="AQ100" s="32"/>
      <c r="AR100" s="33"/>
    </row>
    <row r="101" spans="2:44" x14ac:dyDescent="0.3">
      <c r="B101" s="33" t="str">
        <f>IF(NOT(ISBLANK(C101)),COUNTA($C$2:C101),"")</f>
        <v/>
      </c>
      <c r="C101" s="36"/>
      <c r="D101" s="37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3" t="str">
        <f t="shared" si="1"/>
        <v/>
      </c>
      <c r="U101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J101" s="33"/>
      <c r="AK101" s="33"/>
      <c r="AL101" s="33"/>
      <c r="AM101" s="33"/>
      <c r="AN101" s="33"/>
      <c r="AO101" s="33"/>
      <c r="AP101" s="50"/>
      <c r="AQ101" s="32"/>
      <c r="AR101" s="33"/>
    </row>
    <row r="102" spans="2:44" x14ac:dyDescent="0.3">
      <c r="B102" s="33" t="str">
        <f>IF(NOT(ISBLANK(C102)),COUNTA($C$2:C102),"")</f>
        <v/>
      </c>
      <c r="C102" s="36"/>
      <c r="D102" s="37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3" t="str">
        <f t="shared" si="1"/>
        <v/>
      </c>
      <c r="U102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J102" s="33"/>
      <c r="AK102" s="33"/>
      <c r="AL102" s="33"/>
      <c r="AM102" s="33"/>
      <c r="AN102" s="33"/>
      <c r="AO102" s="33"/>
      <c r="AP102" s="50"/>
      <c r="AQ102" s="32"/>
      <c r="AR102" s="33"/>
    </row>
    <row r="103" spans="2:44" x14ac:dyDescent="0.3">
      <c r="B103" s="33" t="str">
        <f>IF(NOT(ISBLANK(C103)),COUNTA($C$2:C103),"")</f>
        <v/>
      </c>
      <c r="C103" s="36"/>
      <c r="D103" s="37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3" t="str">
        <f t="shared" si="1"/>
        <v/>
      </c>
      <c r="U10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J103" s="33"/>
      <c r="AK103" s="33"/>
      <c r="AL103" s="33"/>
      <c r="AM103" s="33"/>
      <c r="AN103" s="33"/>
      <c r="AO103" s="33"/>
      <c r="AP103" s="50"/>
      <c r="AQ103" s="32"/>
      <c r="AR103" s="33"/>
    </row>
    <row r="104" spans="2:44" x14ac:dyDescent="0.3">
      <c r="B104" s="33" t="str">
        <f>IF(NOT(ISBLANK(C104)),COUNTA($C$2:C104),"")</f>
        <v/>
      </c>
      <c r="C104" s="36"/>
      <c r="D104" s="37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3" t="str">
        <f t="shared" si="1"/>
        <v/>
      </c>
      <c r="U104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J104" s="33"/>
      <c r="AK104" s="33"/>
      <c r="AL104" s="33"/>
      <c r="AM104" s="33"/>
      <c r="AN104" s="33"/>
      <c r="AO104" s="33"/>
      <c r="AP104" s="50"/>
      <c r="AQ104" s="32"/>
      <c r="AR104" s="33"/>
    </row>
    <row r="105" spans="2:44" x14ac:dyDescent="0.3">
      <c r="B105" s="33" t="str">
        <f>IF(NOT(ISBLANK(C105)),COUNTA($C$2:C105),"")</f>
        <v/>
      </c>
      <c r="C105" s="36"/>
      <c r="D105" s="37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3" t="str">
        <f t="shared" si="1"/>
        <v/>
      </c>
      <c r="U105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J105" s="33"/>
      <c r="AK105" s="33"/>
      <c r="AL105" s="33"/>
      <c r="AM105" s="33"/>
      <c r="AN105" s="33"/>
      <c r="AO105" s="33"/>
      <c r="AP105" s="50"/>
      <c r="AQ105" s="32"/>
      <c r="AR105" s="33"/>
    </row>
    <row r="106" spans="2:44" ht="17.399999999999999" x14ac:dyDescent="0.3">
      <c r="B106" s="38"/>
      <c r="C106" s="40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42"/>
      <c r="AI106" s="38"/>
      <c r="AJ106" s="38"/>
      <c r="AK106" s="38"/>
      <c r="AL106" s="33"/>
      <c r="AM106" s="38"/>
      <c r="AN106" s="38"/>
      <c r="AO106" s="49"/>
      <c r="AP106" s="38"/>
      <c r="AQ106" s="38"/>
      <c r="AR106" s="33"/>
    </row>
    <row r="107" spans="2:44" ht="17.399999999999999" x14ac:dyDescent="0.3">
      <c r="B107" s="38"/>
      <c r="C107" s="40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8"/>
      <c r="U107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42"/>
      <c r="AI107" s="38"/>
      <c r="AJ107" s="38"/>
      <c r="AK107" s="38"/>
      <c r="AL107" s="38"/>
      <c r="AM107" s="38"/>
      <c r="AN107" s="38"/>
      <c r="AO107" s="49"/>
      <c r="AP107" s="38"/>
      <c r="AQ107" s="38"/>
      <c r="AR107" s="38"/>
    </row>
    <row r="108" spans="2:44" ht="17.399999999999999" x14ac:dyDescent="0.3">
      <c r="B108" s="38"/>
      <c r="C108" s="40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47"/>
      <c r="AG108" s="47"/>
      <c r="AH108" s="42"/>
      <c r="AI108" s="38"/>
      <c r="AJ108" s="38"/>
      <c r="AK108" s="38"/>
      <c r="AL108" s="38"/>
      <c r="AM108" s="38"/>
      <c r="AN108" s="38"/>
      <c r="AO108" s="49"/>
      <c r="AP108" s="38"/>
      <c r="AQ108" s="38"/>
      <c r="AR108" s="38"/>
    </row>
    <row r="109" spans="2:44" ht="17.399999999999999" x14ac:dyDescent="0.3">
      <c r="B109" s="38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8"/>
      <c r="U109" s="38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H109" s="42"/>
      <c r="AI109" s="38"/>
      <c r="AJ109" s="37"/>
      <c r="AK109" s="37"/>
      <c r="AL109" s="37"/>
      <c r="AM109" s="37"/>
      <c r="AN109" s="37"/>
      <c r="AO109" s="43"/>
      <c r="AP109" s="37"/>
      <c r="AQ109" s="37"/>
      <c r="AR109" s="37"/>
    </row>
    <row r="110" spans="2:44" ht="17.399999999999999" x14ac:dyDescent="0.3">
      <c r="B110" s="38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8"/>
      <c r="U110" s="38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H110" s="42"/>
      <c r="AI110" s="38"/>
      <c r="AJ110" s="37"/>
      <c r="AK110" s="37"/>
      <c r="AL110" s="37"/>
      <c r="AM110" s="37"/>
      <c r="AN110" s="37"/>
      <c r="AO110" s="43"/>
      <c r="AP110" s="37"/>
      <c r="AQ110" s="37"/>
      <c r="AR110" s="37"/>
    </row>
    <row r="111" spans="2:44" ht="17.399999999999999" x14ac:dyDescent="0.3">
      <c r="B111" s="38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8"/>
      <c r="U111" s="38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H111" s="42"/>
      <c r="AI111" s="38"/>
      <c r="AJ111" s="37"/>
      <c r="AK111" s="37"/>
      <c r="AL111" s="37"/>
      <c r="AM111" s="37"/>
      <c r="AN111" s="37"/>
      <c r="AO111" s="43"/>
      <c r="AP111" s="37"/>
      <c r="AQ111" s="37"/>
      <c r="AR111" s="37"/>
    </row>
    <row r="112" spans="2:44" ht="17.399999999999999" x14ac:dyDescent="0.3">
      <c r="B112" s="38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8"/>
      <c r="U112" s="38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H112" s="42"/>
      <c r="AI112" s="38"/>
      <c r="AJ112" s="37"/>
      <c r="AK112" s="37"/>
      <c r="AL112" s="37"/>
      <c r="AM112" s="37"/>
      <c r="AN112" s="37"/>
      <c r="AO112" s="43"/>
      <c r="AP112" s="37"/>
      <c r="AQ112" s="37"/>
      <c r="AR112" s="37"/>
    </row>
    <row r="113" spans="2:44" ht="17.399999999999999" x14ac:dyDescent="0.3">
      <c r="B113" s="38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8"/>
      <c r="U113" s="38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H113" s="42"/>
      <c r="AI113" s="38"/>
      <c r="AJ113" s="37"/>
      <c r="AK113" s="37"/>
      <c r="AL113" s="37"/>
      <c r="AM113" s="37"/>
      <c r="AN113" s="37"/>
      <c r="AO113" s="43"/>
      <c r="AP113" s="37"/>
      <c r="AQ113" s="37"/>
      <c r="AR113" s="37"/>
    </row>
    <row r="114" spans="2:44" ht="17.399999999999999" x14ac:dyDescent="0.3">
      <c r="B114" s="38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8"/>
      <c r="U114" s="38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H114" s="42"/>
      <c r="AI114" s="38"/>
      <c r="AJ114" s="37"/>
      <c r="AK114" s="37"/>
      <c r="AL114" s="37"/>
      <c r="AM114" s="37"/>
      <c r="AN114" s="37"/>
      <c r="AO114" s="43"/>
      <c r="AP114" s="37"/>
      <c r="AQ114" s="37"/>
      <c r="AR114" s="37"/>
    </row>
    <row r="115" spans="2:44" ht="17.399999999999999" x14ac:dyDescent="0.3">
      <c r="B115" s="38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8"/>
      <c r="U115" s="38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H115" s="42"/>
      <c r="AI115" s="38"/>
      <c r="AJ115" s="37"/>
      <c r="AK115" s="37"/>
      <c r="AL115" s="37"/>
      <c r="AM115" s="37"/>
      <c r="AN115" s="37"/>
      <c r="AO115" s="43"/>
      <c r="AP115" s="37"/>
      <c r="AQ115" s="37"/>
      <c r="AR115" s="37"/>
    </row>
    <row r="116" spans="2:44" ht="17.399999999999999" x14ac:dyDescent="0.3">
      <c r="B116" s="38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8"/>
      <c r="U116" s="38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H116" s="42"/>
      <c r="AI116" s="38"/>
      <c r="AJ116" s="37"/>
      <c r="AK116" s="37"/>
      <c r="AL116" s="37"/>
      <c r="AM116" s="37"/>
      <c r="AN116" s="37"/>
      <c r="AO116" s="43"/>
      <c r="AP116" s="37"/>
      <c r="AQ116" s="37"/>
      <c r="AR116" s="37"/>
    </row>
    <row r="117" spans="2:44" ht="17.399999999999999" x14ac:dyDescent="0.3">
      <c r="B117" s="38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8"/>
      <c r="U117" s="38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H117" s="42"/>
      <c r="AI117" s="38"/>
      <c r="AJ117" s="37"/>
      <c r="AK117" s="37"/>
      <c r="AL117" s="37"/>
      <c r="AM117" s="37"/>
      <c r="AN117" s="37"/>
      <c r="AO117" s="43"/>
      <c r="AP117" s="37"/>
      <c r="AQ117" s="37"/>
      <c r="AR117" s="37"/>
    </row>
    <row r="118" spans="2:44" ht="17.399999999999999" x14ac:dyDescent="0.3">
      <c r="B118" s="38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8"/>
      <c r="U118" s="38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H118" s="42"/>
      <c r="AI118" s="38"/>
      <c r="AJ118" s="37"/>
      <c r="AK118" s="37"/>
      <c r="AL118" s="37"/>
      <c r="AM118" s="37"/>
      <c r="AN118" s="37"/>
      <c r="AO118" s="43"/>
      <c r="AP118" s="37"/>
      <c r="AQ118" s="37"/>
      <c r="AR118" s="37"/>
    </row>
    <row r="119" spans="2:44" ht="17.399999999999999" x14ac:dyDescent="0.3">
      <c r="B119" s="38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8"/>
      <c r="U119" s="38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H119" s="42"/>
      <c r="AI119" s="38"/>
      <c r="AJ119" s="37"/>
      <c r="AK119" s="37"/>
      <c r="AL119" s="37"/>
      <c r="AM119" s="37"/>
      <c r="AN119" s="37"/>
      <c r="AO119" s="43"/>
      <c r="AP119" s="37"/>
      <c r="AQ119" s="37"/>
      <c r="AR119" s="37"/>
    </row>
    <row r="120" spans="2:44" ht="17.399999999999999" x14ac:dyDescent="0.3">
      <c r="B120" s="38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8"/>
      <c r="U120" s="38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H120" s="42"/>
      <c r="AI120" s="38"/>
      <c r="AJ120" s="37"/>
      <c r="AK120" s="37"/>
      <c r="AL120" s="37"/>
      <c r="AM120" s="37"/>
      <c r="AN120" s="37"/>
      <c r="AO120" s="43"/>
      <c r="AP120" s="37"/>
      <c r="AQ120" s="37"/>
      <c r="AR120" s="37"/>
    </row>
    <row r="121" spans="2:44" ht="17.399999999999999" x14ac:dyDescent="0.3">
      <c r="B121" s="38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8"/>
      <c r="U121" s="38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H121" s="42"/>
      <c r="AI121" s="38"/>
      <c r="AJ121" s="37"/>
      <c r="AK121" s="37"/>
      <c r="AL121" s="37"/>
      <c r="AM121" s="37"/>
      <c r="AN121" s="37"/>
      <c r="AO121" s="43"/>
      <c r="AP121" s="37"/>
      <c r="AQ121" s="37"/>
      <c r="AR121" s="37"/>
    </row>
    <row r="122" spans="2:44" ht="17.399999999999999" x14ac:dyDescent="0.3">
      <c r="B122" s="38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8"/>
      <c r="U122" s="38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H122" s="42"/>
      <c r="AI122" s="38"/>
      <c r="AJ122" s="37"/>
      <c r="AK122" s="37"/>
      <c r="AL122" s="37"/>
      <c r="AM122" s="37"/>
      <c r="AN122" s="37"/>
      <c r="AO122" s="43"/>
      <c r="AP122" s="37"/>
      <c r="AQ122" s="37"/>
      <c r="AR122" s="37"/>
    </row>
    <row r="123" spans="2:44" ht="17.399999999999999" x14ac:dyDescent="0.3">
      <c r="B123" s="38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8"/>
      <c r="U123" s="38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H123" s="42"/>
      <c r="AI123" s="38"/>
      <c r="AJ123" s="37"/>
      <c r="AK123" s="37"/>
      <c r="AL123" s="37"/>
      <c r="AM123" s="37"/>
      <c r="AN123" s="37"/>
      <c r="AO123" s="43"/>
      <c r="AP123" s="37"/>
      <c r="AQ123" s="37"/>
      <c r="AR123" s="37"/>
    </row>
    <row r="124" spans="2:44" ht="17.399999999999999" x14ac:dyDescent="0.3">
      <c r="B124" s="38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8"/>
      <c r="U124" s="38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H124" s="42"/>
      <c r="AI124" s="38"/>
      <c r="AJ124" s="37"/>
      <c r="AK124" s="37"/>
      <c r="AL124" s="37"/>
      <c r="AM124" s="37"/>
      <c r="AN124" s="37"/>
      <c r="AO124" s="43"/>
      <c r="AP124" s="37"/>
      <c r="AQ124" s="37"/>
      <c r="AR124" s="37"/>
    </row>
    <row r="125" spans="2:44" ht="17.399999999999999" x14ac:dyDescent="0.3">
      <c r="B125" s="38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8"/>
      <c r="U125" s="38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H125" s="42"/>
      <c r="AI125" s="38"/>
      <c r="AJ125" s="37"/>
      <c r="AK125" s="37"/>
      <c r="AL125" s="37"/>
      <c r="AM125" s="37"/>
      <c r="AN125" s="37"/>
      <c r="AO125" s="43"/>
      <c r="AP125" s="37"/>
      <c r="AQ125" s="37"/>
      <c r="AR125" s="37"/>
    </row>
    <row r="126" spans="2:44" ht="17.399999999999999" x14ac:dyDescent="0.3">
      <c r="B126" s="38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8"/>
      <c r="U126" s="38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H126" s="42"/>
      <c r="AI126" s="38"/>
      <c r="AJ126" s="37"/>
      <c r="AK126" s="37"/>
      <c r="AL126" s="37"/>
      <c r="AM126" s="37"/>
      <c r="AN126" s="37"/>
      <c r="AO126" s="43"/>
      <c r="AP126" s="37"/>
      <c r="AQ126" s="37"/>
      <c r="AR126" s="37"/>
    </row>
    <row r="127" spans="2:44" ht="17.399999999999999" x14ac:dyDescent="0.3">
      <c r="B127" s="38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8"/>
      <c r="U127" s="38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H127" s="42"/>
      <c r="AI127" s="38"/>
      <c r="AJ127" s="37"/>
      <c r="AK127" s="37"/>
      <c r="AL127" s="37"/>
      <c r="AM127" s="37"/>
      <c r="AN127" s="37"/>
      <c r="AO127" s="43"/>
      <c r="AP127" s="37"/>
      <c r="AQ127" s="37"/>
      <c r="AR127" s="37"/>
    </row>
    <row r="128" spans="2:44" ht="17.399999999999999" x14ac:dyDescent="0.3">
      <c r="B128" s="38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8"/>
      <c r="U128" s="38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H128" s="42"/>
      <c r="AI128" s="38"/>
      <c r="AJ128" s="37"/>
      <c r="AK128" s="37"/>
      <c r="AL128" s="37"/>
      <c r="AM128" s="37"/>
      <c r="AN128" s="37"/>
      <c r="AO128" s="43"/>
      <c r="AP128" s="37"/>
      <c r="AQ128" s="37"/>
      <c r="AR128" s="37"/>
    </row>
    <row r="129" spans="2:44" ht="17.399999999999999" x14ac:dyDescent="0.3">
      <c r="B129" s="38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8"/>
      <c r="U129" s="38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H129" s="42"/>
      <c r="AI129" s="38"/>
      <c r="AJ129" s="37"/>
      <c r="AK129" s="37"/>
      <c r="AL129" s="37"/>
      <c r="AM129" s="37"/>
      <c r="AN129" s="37"/>
      <c r="AO129" s="43"/>
      <c r="AP129" s="37"/>
      <c r="AQ129" s="37"/>
      <c r="AR129" s="37"/>
    </row>
    <row r="130" spans="2:44" ht="17.399999999999999" x14ac:dyDescent="0.3">
      <c r="B130" s="38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8"/>
      <c r="U130" s="38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H130" s="42"/>
      <c r="AI130" s="38"/>
      <c r="AJ130" s="37"/>
      <c r="AK130" s="37"/>
      <c r="AL130" s="37"/>
      <c r="AM130" s="37"/>
      <c r="AN130" s="37"/>
      <c r="AO130" s="43"/>
      <c r="AP130" s="37"/>
      <c r="AQ130" s="37"/>
      <c r="AR130" s="37"/>
    </row>
    <row r="131" spans="2:44" ht="17.399999999999999" x14ac:dyDescent="0.3">
      <c r="B131" s="38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8"/>
      <c r="U131" s="38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H131" s="42"/>
      <c r="AI131" s="38"/>
      <c r="AJ131" s="37"/>
      <c r="AK131" s="37"/>
      <c r="AL131" s="37"/>
      <c r="AM131" s="37"/>
      <c r="AN131" s="37"/>
      <c r="AO131" s="43"/>
      <c r="AP131" s="37"/>
      <c r="AQ131" s="37"/>
      <c r="AR131" s="37"/>
    </row>
    <row r="132" spans="2:44" ht="17.399999999999999" x14ac:dyDescent="0.3">
      <c r="B132" s="38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8"/>
      <c r="U132" s="38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H132" s="42"/>
      <c r="AI132" s="38"/>
      <c r="AJ132" s="37"/>
      <c r="AK132" s="37"/>
      <c r="AL132" s="37"/>
      <c r="AM132" s="37"/>
      <c r="AN132" s="37"/>
      <c r="AO132" s="43"/>
      <c r="AP132" s="37"/>
      <c r="AQ132" s="37"/>
      <c r="AR132" s="37"/>
    </row>
    <row r="133" spans="2:44" ht="17.399999999999999" x14ac:dyDescent="0.3">
      <c r="B133" s="38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8"/>
      <c r="U133" s="38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H133" s="42"/>
      <c r="AI133" s="38"/>
      <c r="AJ133" s="37"/>
      <c r="AK133" s="37"/>
      <c r="AL133" s="37"/>
      <c r="AM133" s="37"/>
      <c r="AN133" s="37"/>
      <c r="AO133" s="43"/>
      <c r="AP133" s="37"/>
      <c r="AQ133" s="37"/>
      <c r="AR133" s="37"/>
    </row>
    <row r="134" spans="2:44" ht="17.399999999999999" x14ac:dyDescent="0.3">
      <c r="B134" s="38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8"/>
      <c r="U134" s="38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H134" s="42"/>
      <c r="AI134" s="38"/>
      <c r="AJ134" s="37"/>
      <c r="AK134" s="37"/>
      <c r="AL134" s="37"/>
      <c r="AM134" s="37"/>
      <c r="AN134" s="37"/>
      <c r="AO134" s="43"/>
      <c r="AP134" s="37"/>
      <c r="AQ134" s="37"/>
      <c r="AR134" s="37"/>
    </row>
    <row r="135" spans="2:44" ht="17.399999999999999" x14ac:dyDescent="0.3">
      <c r="B135" s="38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8"/>
      <c r="U135" s="38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H135" s="42"/>
      <c r="AI135" s="38"/>
      <c r="AJ135" s="37"/>
      <c r="AK135" s="37"/>
      <c r="AL135" s="37"/>
      <c r="AM135" s="37"/>
      <c r="AN135" s="37"/>
      <c r="AO135" s="43"/>
      <c r="AP135" s="37"/>
      <c r="AQ135" s="37"/>
      <c r="AR135" s="37"/>
    </row>
    <row r="136" spans="2:44" ht="17.399999999999999" x14ac:dyDescent="0.3">
      <c r="B136" s="38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8"/>
      <c r="U136" s="38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H136" s="42"/>
      <c r="AI136" s="38"/>
      <c r="AJ136" s="37"/>
      <c r="AK136" s="37"/>
      <c r="AL136" s="37"/>
      <c r="AM136" s="37"/>
      <c r="AN136" s="37"/>
      <c r="AO136" s="43"/>
      <c r="AP136" s="37"/>
      <c r="AQ136" s="37"/>
      <c r="AR136" s="37"/>
    </row>
    <row r="137" spans="2:44" ht="17.399999999999999" x14ac:dyDescent="0.3">
      <c r="B137" s="38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8"/>
      <c r="U137" s="38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H137" s="42"/>
      <c r="AI137" s="38"/>
      <c r="AJ137" s="37"/>
      <c r="AK137" s="37"/>
      <c r="AL137" s="37"/>
      <c r="AM137" s="37"/>
      <c r="AN137" s="37"/>
      <c r="AO137" s="43"/>
      <c r="AP137" s="37"/>
      <c r="AQ137" s="37"/>
      <c r="AR137" s="37"/>
    </row>
    <row r="138" spans="2:44" ht="17.399999999999999" x14ac:dyDescent="0.3">
      <c r="B138" s="38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8"/>
      <c r="U138" s="38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H138" s="42"/>
      <c r="AI138" s="38"/>
      <c r="AJ138" s="37"/>
      <c r="AK138" s="37"/>
      <c r="AL138" s="37"/>
      <c r="AM138" s="37"/>
      <c r="AN138" s="37"/>
      <c r="AO138" s="43"/>
      <c r="AP138" s="37"/>
      <c r="AQ138" s="37"/>
      <c r="AR138" s="37"/>
    </row>
    <row r="139" spans="2:44" ht="17.399999999999999" x14ac:dyDescent="0.3">
      <c r="B139" s="38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8"/>
      <c r="U139" s="38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H139" s="42"/>
      <c r="AI139" s="38"/>
      <c r="AJ139" s="37"/>
      <c r="AK139" s="37"/>
      <c r="AL139" s="37"/>
      <c r="AM139" s="37"/>
      <c r="AN139" s="37"/>
      <c r="AO139" s="43"/>
      <c r="AP139" s="37"/>
      <c r="AQ139" s="37"/>
      <c r="AR139" s="37"/>
    </row>
    <row r="140" spans="2:44" ht="17.399999999999999" x14ac:dyDescent="0.3">
      <c r="B140" s="38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8"/>
      <c r="U140" s="38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H140" s="42"/>
      <c r="AI140" s="38"/>
      <c r="AJ140" s="37"/>
      <c r="AK140" s="37"/>
      <c r="AL140" s="37"/>
      <c r="AM140" s="37"/>
      <c r="AN140" s="37"/>
      <c r="AO140" s="43"/>
      <c r="AP140" s="37"/>
      <c r="AQ140" s="37"/>
      <c r="AR140" s="37"/>
    </row>
    <row r="141" spans="2:44" ht="17.399999999999999" x14ac:dyDescent="0.3">
      <c r="B141" s="38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8"/>
      <c r="U141" s="38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H141" s="42"/>
      <c r="AI141" s="38"/>
      <c r="AJ141" s="37"/>
      <c r="AK141" s="37"/>
      <c r="AL141" s="37"/>
      <c r="AM141" s="37"/>
      <c r="AN141" s="37"/>
      <c r="AO141" s="43"/>
      <c r="AP141" s="37"/>
      <c r="AQ141" s="37"/>
      <c r="AR141" s="37"/>
    </row>
    <row r="142" spans="2:44" ht="17.399999999999999" x14ac:dyDescent="0.3">
      <c r="B142" s="38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8"/>
      <c r="U142" s="38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H142" s="42"/>
      <c r="AI142" s="38"/>
      <c r="AJ142" s="37"/>
      <c r="AK142" s="37"/>
      <c r="AL142" s="37"/>
      <c r="AM142" s="37"/>
      <c r="AN142" s="37"/>
      <c r="AO142" s="43"/>
      <c r="AP142" s="37"/>
      <c r="AQ142" s="37"/>
      <c r="AR142" s="37"/>
    </row>
    <row r="143" spans="2:44" ht="17.399999999999999" x14ac:dyDescent="0.3">
      <c r="B143" s="38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8"/>
      <c r="U143" s="38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H143" s="42"/>
      <c r="AI143" s="38"/>
      <c r="AJ143" s="37"/>
      <c r="AK143" s="37"/>
      <c r="AL143" s="37"/>
      <c r="AM143" s="37"/>
      <c r="AN143" s="37"/>
      <c r="AO143" s="43"/>
      <c r="AP143" s="37"/>
      <c r="AQ143" s="37"/>
      <c r="AR143" s="37"/>
    </row>
    <row r="144" spans="2:44" ht="17.399999999999999" x14ac:dyDescent="0.3">
      <c r="B144" s="38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8"/>
      <c r="U144" s="38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H144" s="42"/>
      <c r="AI144" s="38"/>
      <c r="AJ144" s="37"/>
      <c r="AK144" s="37"/>
      <c r="AL144" s="37"/>
      <c r="AM144" s="37"/>
      <c r="AN144" s="37"/>
      <c r="AO144" s="43"/>
      <c r="AP144" s="37"/>
      <c r="AQ144" s="37"/>
      <c r="AR144" s="37"/>
    </row>
    <row r="145" spans="2:44" ht="17.399999999999999" x14ac:dyDescent="0.3">
      <c r="B145" s="38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8"/>
      <c r="U145" s="38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H145" s="42"/>
      <c r="AI145" s="38"/>
      <c r="AJ145" s="37"/>
      <c r="AK145" s="37"/>
      <c r="AL145" s="37"/>
      <c r="AM145" s="37"/>
      <c r="AN145" s="37"/>
      <c r="AO145" s="43"/>
      <c r="AP145" s="37"/>
      <c r="AQ145" s="37"/>
      <c r="AR145" s="37"/>
    </row>
    <row r="146" spans="2:44" ht="17.399999999999999" x14ac:dyDescent="0.3">
      <c r="B146" s="38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8"/>
      <c r="U146" s="38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H146" s="42"/>
      <c r="AI146" s="38"/>
      <c r="AJ146" s="37"/>
      <c r="AK146" s="37"/>
      <c r="AL146" s="37"/>
      <c r="AM146" s="37"/>
      <c r="AN146" s="37"/>
      <c r="AO146" s="43"/>
      <c r="AP146" s="37"/>
      <c r="AQ146" s="37"/>
      <c r="AR146" s="37"/>
    </row>
    <row r="147" spans="2:44" ht="17.399999999999999" x14ac:dyDescent="0.3">
      <c r="B147" s="38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8"/>
      <c r="U147" s="38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H147" s="42"/>
      <c r="AI147" s="38"/>
      <c r="AJ147" s="37"/>
      <c r="AK147" s="37"/>
      <c r="AL147" s="37"/>
      <c r="AM147" s="37"/>
      <c r="AN147" s="37"/>
      <c r="AO147" s="43"/>
      <c r="AP147" s="37"/>
      <c r="AQ147" s="37"/>
      <c r="AR147" s="37"/>
    </row>
    <row r="148" spans="2:44" ht="17.399999999999999" x14ac:dyDescent="0.3">
      <c r="B148" s="38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8"/>
      <c r="U148" s="38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H148" s="42"/>
      <c r="AI148" s="38"/>
      <c r="AJ148" s="37"/>
      <c r="AK148" s="37"/>
      <c r="AL148" s="37"/>
      <c r="AM148" s="37"/>
      <c r="AN148" s="37"/>
      <c r="AO148" s="43"/>
      <c r="AP148" s="37"/>
      <c r="AQ148" s="37"/>
      <c r="AR148" s="37"/>
    </row>
    <row r="149" spans="2:44" ht="17.399999999999999" x14ac:dyDescent="0.3">
      <c r="B149" s="38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8"/>
      <c r="U149" s="38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H149" s="42"/>
      <c r="AI149" s="38"/>
      <c r="AJ149" s="37"/>
      <c r="AK149" s="37"/>
      <c r="AL149" s="37"/>
      <c r="AM149" s="37"/>
      <c r="AN149" s="37"/>
      <c r="AO149" s="43"/>
      <c r="AP149" s="37"/>
      <c r="AQ149" s="37"/>
      <c r="AR149" s="37"/>
    </row>
    <row r="150" spans="2:44" ht="17.399999999999999" x14ac:dyDescent="0.3">
      <c r="B150" s="38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8"/>
      <c r="U150" s="38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H150" s="42"/>
      <c r="AI150" s="38"/>
      <c r="AJ150" s="37"/>
      <c r="AK150" s="37"/>
      <c r="AL150" s="37"/>
      <c r="AM150" s="37"/>
      <c r="AN150" s="37"/>
      <c r="AO150" s="43"/>
      <c r="AP150" s="37"/>
      <c r="AQ150" s="37"/>
      <c r="AR150" s="37"/>
    </row>
    <row r="151" spans="2:44" ht="17.399999999999999" x14ac:dyDescent="0.3">
      <c r="B151" s="38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8"/>
      <c r="U151" s="38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H151" s="42"/>
      <c r="AI151" s="38"/>
      <c r="AJ151" s="37"/>
      <c r="AK151" s="37"/>
      <c r="AL151" s="37"/>
      <c r="AM151" s="37"/>
      <c r="AN151" s="37"/>
      <c r="AO151" s="43"/>
      <c r="AP151" s="37"/>
      <c r="AQ151" s="37"/>
      <c r="AR151" s="37"/>
    </row>
    <row r="152" spans="2:44" ht="17.399999999999999" x14ac:dyDescent="0.3">
      <c r="B152" s="38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8"/>
      <c r="U152" s="38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H152" s="42"/>
      <c r="AI152" s="38"/>
      <c r="AJ152" s="37"/>
      <c r="AK152" s="37"/>
      <c r="AL152" s="37"/>
      <c r="AM152" s="37"/>
      <c r="AN152" s="37"/>
      <c r="AO152" s="43"/>
      <c r="AP152" s="37"/>
      <c r="AQ152" s="37"/>
      <c r="AR152" s="37"/>
    </row>
    <row r="153" spans="2:44" ht="17.399999999999999" x14ac:dyDescent="0.3">
      <c r="B153" s="38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8"/>
      <c r="U153" s="38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H153" s="42"/>
      <c r="AI153" s="38"/>
      <c r="AJ153" s="37"/>
      <c r="AK153" s="37"/>
      <c r="AL153" s="37"/>
      <c r="AM153" s="37"/>
      <c r="AN153" s="37"/>
      <c r="AO153" s="43"/>
      <c r="AP153" s="37"/>
      <c r="AQ153" s="37"/>
      <c r="AR153" s="37"/>
    </row>
    <row r="154" spans="2:44" ht="17.399999999999999" x14ac:dyDescent="0.3">
      <c r="B154" s="38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8"/>
      <c r="U154" s="38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H154" s="42"/>
      <c r="AI154" s="38"/>
      <c r="AJ154" s="37"/>
      <c r="AK154" s="37"/>
      <c r="AL154" s="37"/>
      <c r="AM154" s="37"/>
      <c r="AN154" s="37"/>
      <c r="AO154" s="43"/>
      <c r="AP154" s="37"/>
      <c r="AQ154" s="37"/>
      <c r="AR154" s="37"/>
    </row>
    <row r="155" spans="2:44" ht="17.399999999999999" x14ac:dyDescent="0.3">
      <c r="B155" s="38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8"/>
      <c r="U155" s="38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H155" s="42"/>
      <c r="AI155" s="38"/>
      <c r="AJ155" s="37"/>
      <c r="AK155" s="37"/>
      <c r="AL155" s="37"/>
      <c r="AM155" s="37"/>
      <c r="AN155" s="37"/>
      <c r="AO155" s="43"/>
      <c r="AP155" s="37"/>
      <c r="AQ155" s="37"/>
      <c r="AR155" s="37"/>
    </row>
    <row r="156" spans="2:44" ht="17.399999999999999" x14ac:dyDescent="0.3">
      <c r="B156" s="38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8"/>
      <c r="U156" s="38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H156" s="42"/>
      <c r="AI156" s="38"/>
      <c r="AJ156" s="37"/>
      <c r="AK156" s="37"/>
      <c r="AL156" s="37"/>
      <c r="AM156" s="37"/>
      <c r="AN156" s="37"/>
      <c r="AO156" s="43"/>
      <c r="AP156" s="37"/>
      <c r="AQ156" s="37"/>
      <c r="AR156" s="37"/>
    </row>
    <row r="157" spans="2:44" ht="17.399999999999999" x14ac:dyDescent="0.3">
      <c r="B157" s="38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8"/>
      <c r="U157" s="38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H157" s="42"/>
      <c r="AI157" s="38"/>
      <c r="AJ157" s="37"/>
      <c r="AK157" s="37"/>
      <c r="AL157" s="37"/>
      <c r="AM157" s="37"/>
      <c r="AN157" s="37"/>
      <c r="AO157" s="43"/>
      <c r="AP157" s="37"/>
      <c r="AQ157" s="37"/>
      <c r="AR157" s="37"/>
    </row>
    <row r="158" spans="2:44" ht="17.399999999999999" x14ac:dyDescent="0.3">
      <c r="B158" s="38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8"/>
      <c r="U158" s="38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H158" s="42"/>
      <c r="AI158" s="38"/>
      <c r="AJ158" s="37"/>
      <c r="AK158" s="37"/>
      <c r="AL158" s="37"/>
      <c r="AM158" s="37"/>
      <c r="AN158" s="37"/>
      <c r="AO158" s="43"/>
      <c r="AP158" s="37"/>
      <c r="AQ158" s="37"/>
      <c r="AR158" s="37"/>
    </row>
    <row r="159" spans="2:44" ht="17.399999999999999" x14ac:dyDescent="0.3">
      <c r="B159" s="38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8"/>
      <c r="U159" s="38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H159" s="42"/>
      <c r="AI159" s="38"/>
      <c r="AJ159" s="37"/>
      <c r="AK159" s="37"/>
      <c r="AL159" s="37"/>
      <c r="AM159" s="37"/>
      <c r="AN159" s="37"/>
      <c r="AO159" s="43"/>
      <c r="AP159" s="37"/>
      <c r="AQ159" s="37"/>
      <c r="AR159" s="37"/>
    </row>
    <row r="160" spans="2:44" ht="17.399999999999999" x14ac:dyDescent="0.3">
      <c r="B160" s="38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8"/>
      <c r="U160" s="38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H160" s="42"/>
      <c r="AI160" s="38"/>
      <c r="AJ160" s="37"/>
      <c r="AK160" s="37"/>
      <c r="AL160" s="37"/>
      <c r="AM160" s="37"/>
      <c r="AN160" s="37"/>
      <c r="AO160" s="43"/>
      <c r="AP160" s="37"/>
      <c r="AQ160" s="37"/>
      <c r="AR160" s="37"/>
    </row>
    <row r="161" spans="2:44" ht="17.399999999999999" x14ac:dyDescent="0.3">
      <c r="B161" s="38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8"/>
      <c r="U161" s="38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H161" s="42"/>
      <c r="AI161" s="38"/>
      <c r="AJ161" s="37"/>
      <c r="AK161" s="37"/>
      <c r="AL161" s="37"/>
      <c r="AM161" s="37"/>
      <c r="AN161" s="37"/>
      <c r="AO161" s="43"/>
      <c r="AP161" s="37"/>
      <c r="AQ161" s="37"/>
      <c r="AR161" s="37"/>
    </row>
    <row r="162" spans="2:44" ht="17.399999999999999" x14ac:dyDescent="0.3">
      <c r="B162" s="38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8"/>
      <c r="U162" s="38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H162" s="42"/>
      <c r="AI162" s="38"/>
      <c r="AJ162" s="37"/>
      <c r="AK162" s="37"/>
      <c r="AL162" s="37"/>
      <c r="AM162" s="37"/>
      <c r="AN162" s="37"/>
      <c r="AO162" s="43"/>
      <c r="AP162" s="37"/>
      <c r="AQ162" s="37"/>
      <c r="AR162" s="37"/>
    </row>
    <row r="163" spans="2:44" ht="17.399999999999999" x14ac:dyDescent="0.3">
      <c r="B163" s="38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8"/>
      <c r="U163" s="38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H163" s="42"/>
      <c r="AI163" s="38"/>
      <c r="AJ163" s="37"/>
      <c r="AK163" s="37"/>
      <c r="AL163" s="37"/>
      <c r="AM163" s="37"/>
      <c r="AN163" s="37"/>
      <c r="AO163" s="43"/>
      <c r="AP163" s="37"/>
      <c r="AQ163" s="37"/>
      <c r="AR163" s="37"/>
    </row>
    <row r="164" spans="2:44" ht="17.399999999999999" x14ac:dyDescent="0.3">
      <c r="B164" s="38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8"/>
      <c r="U164" s="38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H164" s="42"/>
      <c r="AI164" s="38"/>
      <c r="AJ164" s="37"/>
      <c r="AK164" s="37"/>
      <c r="AL164" s="37"/>
      <c r="AM164" s="37"/>
      <c r="AN164" s="37"/>
      <c r="AO164" s="43"/>
      <c r="AP164" s="37"/>
      <c r="AQ164" s="37"/>
      <c r="AR164" s="37"/>
    </row>
    <row r="165" spans="2:44" ht="17.399999999999999" x14ac:dyDescent="0.3">
      <c r="B165" s="38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8"/>
      <c r="U165" s="38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H165" s="42"/>
      <c r="AI165" s="38"/>
      <c r="AJ165" s="37"/>
      <c r="AK165" s="37"/>
      <c r="AL165" s="37"/>
      <c r="AM165" s="37"/>
      <c r="AN165" s="37"/>
      <c r="AO165" s="43"/>
      <c r="AP165" s="37"/>
      <c r="AQ165" s="37"/>
      <c r="AR165" s="37"/>
    </row>
  </sheetData>
  <phoneticPr fontId="3" type="noConversion"/>
  <conditionalFormatting sqref="B2:D105">
    <cfRule type="expression" dxfId="0" priority="9">
      <formula>$B2&lt;&gt;""</formula>
    </cfRule>
  </conditionalFormatting>
  <hyperlinks>
    <hyperlink ref="D2" r:id="rId1" xr:uid="{55DBFAB5-AA37-4AA6-A61D-5B31FF6383DA}"/>
    <hyperlink ref="D3:D27" r:id="rId2" display="example@mail.com" xr:uid="{80B1086D-A544-4A0E-966E-FEBC9D1A162B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T101"/>
  <sheetViews>
    <sheetView zoomScale="85" zoomScaleNormal="85" workbookViewId="0">
      <selection activeCell="A2" sqref="A2"/>
    </sheetView>
  </sheetViews>
  <sheetFormatPr defaultRowHeight="14.4" x14ac:dyDescent="0.3"/>
  <cols>
    <col min="1" max="1" width="4.44140625" style="18" customWidth="1"/>
    <col min="2" max="2" width="28" customWidth="1"/>
    <col min="3" max="7" width="6" customWidth="1"/>
    <col min="8" max="9" width="8.109375" customWidth="1"/>
    <col min="10" max="10" width="11.109375" bestFit="1" customWidth="1"/>
    <col min="13" max="13" width="11.6640625" customWidth="1"/>
    <col min="14" max="14" width="11.44140625" customWidth="1"/>
    <col min="15" max="15" width="8.6640625" customWidth="1"/>
  </cols>
  <sheetData>
    <row r="1" spans="1:20" ht="36" x14ac:dyDescent="0.35">
      <c r="A1" s="19" t="s">
        <v>0</v>
      </c>
      <c r="B1" s="20" t="s">
        <v>1</v>
      </c>
      <c r="C1" s="21" t="s">
        <v>3</v>
      </c>
      <c r="D1" s="21" t="s">
        <v>4</v>
      </c>
      <c r="E1" s="21" t="s">
        <v>5</v>
      </c>
      <c r="F1" s="21" t="s">
        <v>6</v>
      </c>
      <c r="G1" s="21" t="s">
        <v>7</v>
      </c>
      <c r="H1" s="25" t="s">
        <v>13</v>
      </c>
      <c r="I1" s="5" t="s">
        <v>8</v>
      </c>
      <c r="J1" s="6" t="s">
        <v>9</v>
      </c>
      <c r="K1" s="7"/>
      <c r="L1" s="6"/>
      <c r="M1" s="51" t="s">
        <v>21</v>
      </c>
      <c r="N1" s="51"/>
      <c r="O1" s="8"/>
      <c r="P1" s="9"/>
      <c r="Q1" s="9"/>
      <c r="R1" s="9"/>
      <c r="S1" s="9"/>
      <c r="T1" s="9"/>
    </row>
    <row r="2" spans="1:20" ht="18" x14ac:dyDescent="0.35">
      <c r="A2" s="30">
        <f>IF(NOT(ISBLANK(Curs!B2)),Curs!B2,"")</f>
        <v>1</v>
      </c>
      <c r="B2" s="31" t="str">
        <f>IF(NOT(ISBLANK(Curs!C2)),Curs!C2,"")</f>
        <v>Nume, Prenume</v>
      </c>
      <c r="C2" s="10"/>
      <c r="D2" s="10"/>
      <c r="E2" s="10"/>
      <c r="F2" s="10"/>
      <c r="G2" s="10"/>
      <c r="H2" s="24">
        <f>IF(NOT(ISBLANK(Curs!C2)),ROUND(SUM(C2:G2),0),"")</f>
        <v>0</v>
      </c>
      <c r="I2" s="23" t="str">
        <f>IF(NOT(ISBLANK(Curs!C2)),
IF(H2=0,"n/p",
IF(AND(H2&gt;=$J$3,H2&lt;=$K$3),$L$3,
IF(AND(H2&gt;=$J$4,H2&lt;=$K$4),$L$4,
IF(AND(H2&gt;=$J$5,H2&lt;=$K$5),$L$5,
IF(AND(H2&gt;=$J$6,H2&lt;=$K$6),$L$6,
IF(AND(H2&gt;=$J$7,H2&lt;=$K$7),$L$7,
IF(AND(H2&gt;=$J$8,H2&lt;=$K$8),$L$8,
IF(AND(H2&gt;=$J$9,H2&lt;=$K$9),$L$9,
IF(AND(H2&gt;=$J$10,H2&lt;=$K$10),$L$10,
IF(AND(H2&gt;=$J$11,H2&lt;=$K$11),$L$11)))))))))),
"")</f>
        <v>n/p</v>
      </c>
      <c r="J2" s="6" t="s">
        <v>11</v>
      </c>
      <c r="K2" s="6"/>
      <c r="L2" s="12" t="s">
        <v>8</v>
      </c>
      <c r="M2" s="27" t="s">
        <v>8</v>
      </c>
      <c r="N2" s="27" t="s">
        <v>10</v>
      </c>
      <c r="O2" s="8"/>
      <c r="P2" s="13"/>
      <c r="Q2" s="13"/>
      <c r="R2" s="13"/>
      <c r="S2" s="13"/>
      <c r="T2" s="13"/>
    </row>
    <row r="3" spans="1:20" ht="18" x14ac:dyDescent="0.35">
      <c r="A3" s="30" t="str">
        <f>IF(NOT(ISBLANK(Curs!B7)),Curs!B7,"")</f>
        <v/>
      </c>
      <c r="B3" s="31" t="str">
        <f>IF(NOT(ISBLANK(Curs!C7)),Curs!C7,"")</f>
        <v/>
      </c>
      <c r="C3" s="10"/>
      <c r="D3" s="10"/>
      <c r="E3" s="10"/>
      <c r="F3" s="10"/>
      <c r="G3" s="10"/>
      <c r="H3" s="24" t="str">
        <f>IF(NOT(ISBLANK(Curs!C7)),ROUND(SUM(C3:G3),0),"")</f>
        <v/>
      </c>
      <c r="I3" s="23" t="str">
        <f>IF(NOT(ISBLANK(Curs!C7)),
IF(H3=0,"n/p",
IF(AND(H3&gt;=$J$3,H3&lt;=$K$3),$L$3,
IF(AND(H3&gt;=$J$4,H3&lt;=$K$4),$L$4,
IF(AND(H3&gt;=$J$5,H3&lt;=$K$5),$L$5,
IF(AND(H3&gt;=$J$6,H3&lt;=$K$6),$L$6,
IF(AND(H3&gt;=$J$7,H3&lt;=$K$7),$L$7,
IF(AND(H3&gt;=$J$8,H3&lt;=$K$8),$L$8,
IF(AND(H3&gt;=$J$9,H3&lt;=$K$9),$L$9,
IF(AND(H3&gt;=$J$10,H3&lt;=$K$10),$L$10,
IF(AND(H3&gt;=$J$11,H3&lt;=$K$11),$L$11)))))))))),
"")</f>
        <v/>
      </c>
      <c r="J3" s="22">
        <v>0</v>
      </c>
      <c r="K3" s="22">
        <v>3</v>
      </c>
      <c r="L3" s="12">
        <v>2</v>
      </c>
      <c r="M3" s="29">
        <v>1</v>
      </c>
      <c r="N3" s="27">
        <f>COUNTIF($I$2:$I$101,M3)</f>
        <v>0</v>
      </c>
      <c r="O3" s="8"/>
      <c r="P3" s="13"/>
      <c r="Q3" s="13"/>
      <c r="R3" s="13"/>
      <c r="S3" s="13"/>
      <c r="T3" s="13"/>
    </row>
    <row r="4" spans="1:20" ht="18" x14ac:dyDescent="0.35">
      <c r="A4" s="30" t="str">
        <f>IF(NOT(ISBLANK(Curs!B8)),Curs!B8,"")</f>
        <v/>
      </c>
      <c r="B4" s="31" t="str">
        <f>IF(NOT(ISBLANK(Curs!C8)),Curs!C8,"")</f>
        <v/>
      </c>
      <c r="C4" s="10"/>
      <c r="D4" s="10"/>
      <c r="E4" s="10"/>
      <c r="F4" s="10"/>
      <c r="G4" s="10"/>
      <c r="H4" s="24" t="str">
        <f>IF(NOT(ISBLANK(Curs!C8)),ROUND(SUM(C4:G4),0),"")</f>
        <v/>
      </c>
      <c r="I4" s="23" t="str">
        <f>IF(NOT(ISBLANK(Curs!C8)),
IF(H4=0,"n/p",
IF(AND(H4&gt;=$J$3,H4&lt;=$K$3),$L$3,
IF(AND(H4&gt;=$J$4,H4&lt;=$K$4),$L$4,
IF(AND(H4&gt;=$J$5,H4&lt;=$K$5),$L$5,
IF(AND(H4&gt;=$J$6,H4&lt;=$K$6),$L$6,
IF(AND(H4&gt;=$J$7,H4&lt;=$K$7),$L$7,
IF(AND(H4&gt;=$J$8,H4&lt;=$K$8),$L$8,
IF(AND(H4&gt;=$J$9,H4&lt;=$K$9),$L$9,
IF(AND(H4&gt;=$J$10,H4&lt;=$K$10),$L$10,
IF(AND(H4&gt;=$J$11,H4&lt;=$K$11),$L$11)))))))))),
"")</f>
        <v/>
      </c>
      <c r="J4" s="22">
        <v>4</v>
      </c>
      <c r="K4" s="22">
        <v>7</v>
      </c>
      <c r="L4" s="12">
        <v>3</v>
      </c>
      <c r="M4" s="28">
        <v>2</v>
      </c>
      <c r="N4" s="27">
        <f t="shared" ref="N4:N13" si="0">COUNTIF($I$2:$I$101,M4)</f>
        <v>0</v>
      </c>
      <c r="O4" s="8"/>
      <c r="P4" s="13"/>
      <c r="Q4" s="13"/>
      <c r="R4" s="13"/>
      <c r="S4" s="13"/>
      <c r="T4" s="13"/>
    </row>
    <row r="5" spans="1:20" ht="18" x14ac:dyDescent="0.35">
      <c r="A5" s="30" t="str">
        <f>IF(NOT(ISBLANK(Curs!B9)),Curs!B9,"")</f>
        <v/>
      </c>
      <c r="B5" s="31" t="str">
        <f>IF(NOT(ISBLANK(Curs!C9)),Curs!C9,"")</f>
        <v/>
      </c>
      <c r="C5" s="10"/>
      <c r="D5" s="10"/>
      <c r="E5" s="10"/>
      <c r="F5" s="10"/>
      <c r="G5" s="10"/>
      <c r="H5" s="24" t="str">
        <f>IF(NOT(ISBLANK(Curs!C9)),ROUND(SUM(C5:G5),0),"")</f>
        <v/>
      </c>
      <c r="I5" s="23" t="str">
        <f>IF(NOT(ISBLANK(Curs!C9)),
IF(H5=0,"n/p",
IF(AND(H5&gt;=$J$3,H5&lt;=$K$3),$L$3,
IF(AND(H5&gt;=$J$4,H5&lt;=$K$4),$L$4,
IF(AND(H5&gt;=$J$5,H5&lt;=$K$5),$L$5,
IF(AND(H5&gt;=$J$6,H5&lt;=$K$6),$L$6,
IF(AND(H5&gt;=$J$7,H5&lt;=$K$7),$L$7,
IF(AND(H5&gt;=$J$8,H5&lt;=$K$8),$L$8,
IF(AND(H5&gt;=$J$9,H5&lt;=$K$9),$L$9,
IF(AND(H5&gt;=$J$10,H5&lt;=$K$10),$L$10,
IF(AND(H5&gt;=$J$11,H5&lt;=$K$11),$L$11)))))))))),
"")</f>
        <v/>
      </c>
      <c r="J5" s="22">
        <v>8</v>
      </c>
      <c r="K5" s="22">
        <v>12</v>
      </c>
      <c r="L5" s="12">
        <v>4</v>
      </c>
      <c r="M5" s="28">
        <v>3</v>
      </c>
      <c r="N5" s="27">
        <f t="shared" si="0"/>
        <v>0</v>
      </c>
      <c r="O5" s="8"/>
      <c r="P5" s="13"/>
      <c r="Q5" s="13"/>
      <c r="R5" s="13"/>
      <c r="S5" s="13"/>
      <c r="T5" s="13"/>
    </row>
    <row r="6" spans="1:20" ht="18" x14ac:dyDescent="0.35">
      <c r="A6" s="30" t="str">
        <f>IF(NOT(ISBLANK(Curs!B10)),Curs!B10,"")</f>
        <v/>
      </c>
      <c r="B6" s="31" t="str">
        <f>IF(NOT(ISBLANK(Curs!C10)),Curs!C10,"")</f>
        <v/>
      </c>
      <c r="C6" s="10"/>
      <c r="D6" s="10"/>
      <c r="E6" s="10"/>
      <c r="F6" s="10"/>
      <c r="G6" s="10"/>
      <c r="H6" s="24" t="str">
        <f>IF(NOT(ISBLANK(Curs!C10)),ROUND(SUM(C6:G6),0),"")</f>
        <v/>
      </c>
      <c r="I6" s="23" t="str">
        <f>IF(NOT(ISBLANK(Curs!C10)),
IF(H6=0,"n/p",
IF(AND(H6&gt;=$J$3,H6&lt;=$K$3),$L$3,
IF(AND(H6&gt;=$J$4,H6&lt;=$K$4),$L$4,
IF(AND(H6&gt;=$J$5,H6&lt;=$K$5),$L$5,
IF(AND(H6&gt;=$J$6,H6&lt;=$K$6),$L$6,
IF(AND(H6&gt;=$J$7,H6&lt;=$K$7),$L$7,
IF(AND(H6&gt;=$J$8,H6&lt;=$K$8),$L$8,
IF(AND(H6&gt;=$J$9,H6&lt;=$K$9),$L$9,
IF(AND(H6&gt;=$J$10,H6&lt;=$K$10),$L$10,
IF(AND(H6&gt;=$J$11,H6&lt;=$K$11),$L$11)))))))))),
"")</f>
        <v/>
      </c>
      <c r="J6" s="22">
        <v>13</v>
      </c>
      <c r="K6" s="22">
        <v>15</v>
      </c>
      <c r="L6" s="12">
        <v>5</v>
      </c>
      <c r="M6" s="29">
        <v>4</v>
      </c>
      <c r="N6" s="27">
        <f t="shared" si="0"/>
        <v>0</v>
      </c>
      <c r="O6" s="8"/>
      <c r="P6" s="13"/>
      <c r="Q6" s="13"/>
      <c r="R6" s="13"/>
      <c r="S6" s="13"/>
      <c r="T6" s="13"/>
    </row>
    <row r="7" spans="1:20" ht="18" x14ac:dyDescent="0.35">
      <c r="A7" s="30" t="str">
        <f>IF(NOT(ISBLANK(Curs!B11)),Curs!B11,"")</f>
        <v/>
      </c>
      <c r="B7" s="31" t="str">
        <f>IF(NOT(ISBLANK(Curs!C11)),Curs!C11,"")</f>
        <v/>
      </c>
      <c r="C7" s="10"/>
      <c r="D7" s="10"/>
      <c r="E7" s="10"/>
      <c r="F7" s="10"/>
      <c r="G7" s="10"/>
      <c r="H7" s="24" t="str">
        <f>IF(NOT(ISBLANK(Curs!C11)),ROUND(SUM(C7:G7),0),"")</f>
        <v/>
      </c>
      <c r="I7" s="23" t="str">
        <f>IF(NOT(ISBLANK(Curs!C11)),
IF(H7=0,"n/p",
IF(AND(H7&gt;=$J$3,H7&lt;=$K$3),$L$3,
IF(AND(H7&gt;=$J$4,H7&lt;=$K$4),$L$4,
IF(AND(H7&gt;=$J$5,H7&lt;=$K$5),$L$5,
IF(AND(H7&gt;=$J$6,H7&lt;=$K$6),$L$6,
IF(AND(H7&gt;=$J$7,H7&lt;=$K$7),$L$7,
IF(AND(H7&gt;=$J$8,H7&lt;=$K$8),$L$8,
IF(AND(H7&gt;=$J$9,H7&lt;=$K$9),$L$9,
IF(AND(H7&gt;=$J$10,H7&lt;=$K$10),$L$10,
IF(AND(H7&gt;=$J$11,H7&lt;=$K$11),$L$11)))))))))),
"")</f>
        <v/>
      </c>
      <c r="J7" s="22">
        <v>16</v>
      </c>
      <c r="K7" s="22">
        <v>18</v>
      </c>
      <c r="L7" s="12">
        <v>6</v>
      </c>
      <c r="M7" s="29">
        <v>5</v>
      </c>
      <c r="N7" s="27">
        <f t="shared" si="0"/>
        <v>0</v>
      </c>
      <c r="O7" s="8"/>
      <c r="P7" s="13"/>
      <c r="Q7" s="13"/>
      <c r="R7" s="13"/>
      <c r="S7" s="13"/>
      <c r="T7" s="13"/>
    </row>
    <row r="8" spans="1:20" ht="18" x14ac:dyDescent="0.35">
      <c r="A8" s="30" t="str">
        <f>IF(NOT(ISBLANK(Curs!B12)),Curs!B12,"")</f>
        <v/>
      </c>
      <c r="B8" s="31" t="str">
        <f>IF(NOT(ISBLANK(Curs!C12)),Curs!C12,"")</f>
        <v/>
      </c>
      <c r="C8" s="10"/>
      <c r="D8" s="10"/>
      <c r="E8" s="10"/>
      <c r="F8" s="10"/>
      <c r="G8" s="10"/>
      <c r="H8" s="24" t="str">
        <f>IF(NOT(ISBLANK(Curs!C12)),ROUND(SUM(C8:G8),0),"")</f>
        <v/>
      </c>
      <c r="I8" s="23" t="str">
        <f>IF(NOT(ISBLANK(Curs!C12)),
IF(H8=0,"n/p",
IF(AND(H8&gt;=$J$3,H8&lt;=$K$3),$L$3,
IF(AND(H8&gt;=$J$4,H8&lt;=$K$4),$L$4,
IF(AND(H8&gt;=$J$5,H8&lt;=$K$5),$L$5,
IF(AND(H8&gt;=$J$6,H8&lt;=$K$6),$L$6,
IF(AND(H8&gt;=$J$7,H8&lt;=$K$7),$L$7,
IF(AND(H8&gt;=$J$8,H8&lt;=$K$8),$L$8,
IF(AND(H8&gt;=$J$9,H8&lt;=$K$9),$L$9,
IF(AND(H8&gt;=$J$10,H8&lt;=$K$10),$L$10,
IF(AND(H8&gt;=$J$11,H8&lt;=$K$11),$L$11)))))))))),
"")</f>
        <v/>
      </c>
      <c r="J8" s="22">
        <v>19</v>
      </c>
      <c r="K8" s="22">
        <v>21</v>
      </c>
      <c r="L8" s="12">
        <v>7</v>
      </c>
      <c r="M8" s="29">
        <v>6</v>
      </c>
      <c r="N8" s="27">
        <f t="shared" si="0"/>
        <v>0</v>
      </c>
      <c r="O8" s="8"/>
      <c r="P8" s="13"/>
      <c r="Q8" s="13"/>
      <c r="R8" s="13"/>
      <c r="S8" s="13"/>
      <c r="T8" s="13"/>
    </row>
    <row r="9" spans="1:20" ht="18" x14ac:dyDescent="0.35">
      <c r="A9" s="30" t="str">
        <f>IF(NOT(ISBLANK(Curs!B13)),Curs!B13,"")</f>
        <v/>
      </c>
      <c r="B9" s="31" t="str">
        <f>IF(NOT(ISBLANK(Curs!C13)),Curs!C13,"")</f>
        <v/>
      </c>
      <c r="C9" s="10"/>
      <c r="D9" s="10"/>
      <c r="E9" s="10"/>
      <c r="F9" s="10"/>
      <c r="G9" s="10"/>
      <c r="H9" s="24" t="str">
        <f>IF(NOT(ISBLANK(Curs!C13)),ROUND(SUM(C9:G9),0),"")</f>
        <v/>
      </c>
      <c r="I9" s="23" t="str">
        <f>IF(NOT(ISBLANK(Curs!C13)),
IF(H9=0,"n/p",
IF(AND(H9&gt;=$J$3,H9&lt;=$K$3),$L$3,
IF(AND(H9&gt;=$J$4,H9&lt;=$K$4),$L$4,
IF(AND(H9&gt;=$J$5,H9&lt;=$K$5),$L$5,
IF(AND(H9&gt;=$J$6,H9&lt;=$K$6),$L$6,
IF(AND(H9&gt;=$J$7,H9&lt;=$K$7),$L$7,
IF(AND(H9&gt;=$J$8,H9&lt;=$K$8),$L$8,
IF(AND(H9&gt;=$J$9,H9&lt;=$K$9),$L$9,
IF(AND(H9&gt;=$J$10,H9&lt;=$K$10),$L$10,
IF(AND(H9&gt;=$J$11,H9&lt;=$K$11),$L$11)))))))))),
"")</f>
        <v/>
      </c>
      <c r="J9" s="22">
        <v>22</v>
      </c>
      <c r="K9" s="22">
        <v>24</v>
      </c>
      <c r="L9" s="12">
        <v>8</v>
      </c>
      <c r="M9" s="29">
        <v>7</v>
      </c>
      <c r="N9" s="27">
        <f t="shared" si="0"/>
        <v>0</v>
      </c>
      <c r="O9" s="8"/>
      <c r="P9" s="13"/>
      <c r="Q9" s="13"/>
      <c r="R9" s="13"/>
      <c r="S9" s="13"/>
      <c r="T9" s="13"/>
    </row>
    <row r="10" spans="1:20" ht="18" x14ac:dyDescent="0.35">
      <c r="A10" s="30" t="str">
        <f>IF(NOT(ISBLANK(Curs!B14)),Curs!B14,"")</f>
        <v/>
      </c>
      <c r="B10" s="31" t="str">
        <f>IF(NOT(ISBLANK(Curs!C14)),Curs!C14,"")</f>
        <v/>
      </c>
      <c r="C10" s="10"/>
      <c r="D10" s="10"/>
      <c r="E10" s="10"/>
      <c r="F10" s="10"/>
      <c r="G10" s="10"/>
      <c r="H10" s="24" t="str">
        <f>IF(NOT(ISBLANK(Curs!C14)),ROUND(SUM(C10:G10),0),"")</f>
        <v/>
      </c>
      <c r="I10" s="23" t="str">
        <f>IF(NOT(ISBLANK(Curs!C14)),
IF(H10=0,"n/p",
IF(AND(H10&gt;=$J$3,H10&lt;=$K$3),$L$3,
IF(AND(H10&gt;=$J$4,H10&lt;=$K$4),$L$4,
IF(AND(H10&gt;=$J$5,H10&lt;=$K$5),$L$5,
IF(AND(H10&gt;=$J$6,H10&lt;=$K$6),$L$6,
IF(AND(H10&gt;=$J$7,H10&lt;=$K$7),$L$7,
IF(AND(H10&gt;=$J$8,H10&lt;=$K$8),$L$8,
IF(AND(H10&gt;=$J$9,H10&lt;=$K$9),$L$9,
IF(AND(H10&gt;=$J$10,H10&lt;=$K$10),$L$10,
IF(AND(H10&gt;=$J$11,H10&lt;=$K$11),$L$11)))))))))),
"")</f>
        <v/>
      </c>
      <c r="J10" s="22">
        <v>25</v>
      </c>
      <c r="K10" s="22">
        <v>27</v>
      </c>
      <c r="L10" s="12">
        <v>9</v>
      </c>
      <c r="M10" s="29">
        <v>8</v>
      </c>
      <c r="N10" s="27">
        <f t="shared" si="0"/>
        <v>0</v>
      </c>
      <c r="O10" s="8"/>
      <c r="P10" s="13"/>
      <c r="Q10" s="13"/>
      <c r="R10" s="13"/>
      <c r="S10" s="13"/>
      <c r="T10" s="13"/>
    </row>
    <row r="11" spans="1:20" ht="18" x14ac:dyDescent="0.35">
      <c r="A11" s="30" t="str">
        <f>IF(NOT(ISBLANK(Curs!B15)),Curs!B15,"")</f>
        <v/>
      </c>
      <c r="B11" s="31" t="str">
        <f>IF(NOT(ISBLANK(Curs!C15)),Curs!C15,"")</f>
        <v/>
      </c>
      <c r="C11" s="10"/>
      <c r="D11" s="10"/>
      <c r="E11" s="10"/>
      <c r="F11" s="10"/>
      <c r="G11" s="10"/>
      <c r="H11" s="24" t="str">
        <f>IF(NOT(ISBLANK(Curs!C15)),ROUND(SUM(C11:G11),0),"")</f>
        <v/>
      </c>
      <c r="I11" s="23" t="str">
        <f>IF(NOT(ISBLANK(Curs!C15)),
IF(H11=0,"n/p",
IF(AND(H11&gt;=$J$3,H11&lt;=$K$3),$L$3,
IF(AND(H11&gt;=$J$4,H11&lt;=$K$4),$L$4,
IF(AND(H11&gt;=$J$5,H11&lt;=$K$5),$L$5,
IF(AND(H11&gt;=$J$6,H11&lt;=$K$6),$L$6,
IF(AND(H11&gt;=$J$7,H11&lt;=$K$7),$L$7,
IF(AND(H11&gt;=$J$8,H11&lt;=$K$8),$L$8,
IF(AND(H11&gt;=$J$9,H11&lt;=$K$9),$L$9,
IF(AND(H11&gt;=$J$10,H11&lt;=$K$10),$L$10,
IF(AND(H11&gt;=$J$11,H11&lt;=$K$11),$L$11)))))))))),
"")</f>
        <v/>
      </c>
      <c r="J11" s="22">
        <v>28</v>
      </c>
      <c r="K11" s="22">
        <v>30</v>
      </c>
      <c r="L11" s="12">
        <v>10</v>
      </c>
      <c r="M11" s="29">
        <v>9</v>
      </c>
      <c r="N11" s="27">
        <f t="shared" si="0"/>
        <v>0</v>
      </c>
      <c r="O11" s="8"/>
      <c r="P11" s="13"/>
      <c r="Q11" s="13"/>
      <c r="R11" s="13"/>
      <c r="S11" s="13"/>
      <c r="T11" s="13"/>
    </row>
    <row r="12" spans="1:20" ht="18" x14ac:dyDescent="0.35">
      <c r="A12" s="30" t="str">
        <f>IF(NOT(ISBLANK(Curs!B16)),Curs!B16,"")</f>
        <v/>
      </c>
      <c r="B12" s="31" t="str">
        <f>IF(NOT(ISBLANK(Curs!C16)),Curs!C16,"")</f>
        <v/>
      </c>
      <c r="C12" s="10"/>
      <c r="D12" s="10"/>
      <c r="E12" s="10"/>
      <c r="F12" s="10"/>
      <c r="G12" s="10"/>
      <c r="H12" s="24" t="str">
        <f>IF(NOT(ISBLANK(Curs!C16)),ROUND(SUM(C12:G12),0),"")</f>
        <v/>
      </c>
      <c r="I12" s="23" t="str">
        <f>IF(NOT(ISBLANK(Curs!C16)),
IF(H12=0,"n/p",
IF(AND(H12&gt;=$J$3,H12&lt;=$K$3),$L$3,
IF(AND(H12&gt;=$J$4,H12&lt;=$K$4),$L$4,
IF(AND(H12&gt;=$J$5,H12&lt;=$K$5),$L$5,
IF(AND(H12&gt;=$J$6,H12&lt;=$K$6),$L$6,
IF(AND(H12&gt;=$J$7,H12&lt;=$K$7),$L$7,
IF(AND(H12&gt;=$J$8,H12&lt;=$K$8),$L$8,
IF(AND(H12&gt;=$J$9,H12&lt;=$K$9),$L$9,
IF(AND(H12&gt;=$J$10,H12&lt;=$K$10),$L$10,
IF(AND(H12&gt;=$J$11,H12&lt;=$K$11),$L$11)))))))))),
"")</f>
        <v/>
      </c>
      <c r="J12" s="22"/>
      <c r="K12" s="22"/>
      <c r="L12" s="12"/>
      <c r="M12" s="29">
        <v>10</v>
      </c>
      <c r="N12" s="27">
        <f t="shared" si="0"/>
        <v>0</v>
      </c>
      <c r="O12" s="8"/>
      <c r="P12" s="13"/>
      <c r="Q12" s="13"/>
      <c r="R12" s="13"/>
      <c r="S12" s="13"/>
      <c r="T12" s="13"/>
    </row>
    <row r="13" spans="1:20" ht="18" x14ac:dyDescent="0.35">
      <c r="A13" s="30" t="str">
        <f>IF(NOT(ISBLANK(Curs!B17)),Curs!B17,"")</f>
        <v/>
      </c>
      <c r="B13" s="31" t="str">
        <f>IF(NOT(ISBLANK(Curs!C17)),Curs!C17,"")</f>
        <v/>
      </c>
      <c r="C13" s="10"/>
      <c r="D13" s="10"/>
      <c r="E13" s="10"/>
      <c r="F13" s="10"/>
      <c r="G13" s="10"/>
      <c r="H13" s="24" t="str">
        <f>IF(NOT(ISBLANK(Curs!C17)),ROUND(SUM(C13:G13),0),"")</f>
        <v/>
      </c>
      <c r="I13" s="23" t="str">
        <f>IF(NOT(ISBLANK(Curs!C17)),
IF(H13=0,"n/p",
IF(AND(H13&gt;=$J$3,H13&lt;=$K$3),$L$3,
IF(AND(H13&gt;=$J$4,H13&lt;=$K$4),$L$4,
IF(AND(H13&gt;=$J$5,H13&lt;=$K$5),$L$5,
IF(AND(H13&gt;=$J$6,H13&lt;=$K$6),$L$6,
IF(AND(H13&gt;=$J$7,H13&lt;=$K$7),$L$7,
IF(AND(H13&gt;=$J$8,H13&lt;=$K$8),$L$8,
IF(AND(H13&gt;=$J$9,H13&lt;=$K$9),$L$9,
IF(AND(H13&gt;=$J$10,H13&lt;=$K$10),$L$10,
IF(AND(H13&gt;=$J$11,H13&lt;=$K$11),$L$11)))))))))),
"")</f>
        <v/>
      </c>
      <c r="J13" s="22"/>
      <c r="K13" s="22"/>
      <c r="L13" s="12"/>
      <c r="M13" s="29" t="s">
        <v>12</v>
      </c>
      <c r="N13" s="27">
        <f t="shared" si="0"/>
        <v>1</v>
      </c>
      <c r="O13" s="8"/>
      <c r="P13" s="13"/>
      <c r="Q13" s="16"/>
      <c r="R13" s="13"/>
      <c r="S13" s="16"/>
      <c r="T13" s="13"/>
    </row>
    <row r="14" spans="1:20" ht="18" x14ac:dyDescent="0.35">
      <c r="A14" s="30" t="str">
        <f>IF(NOT(ISBLANK(Curs!B18)),Curs!B18,"")</f>
        <v/>
      </c>
      <c r="B14" s="31" t="str">
        <f>IF(NOT(ISBLANK(Curs!C18)),Curs!C18,"")</f>
        <v/>
      </c>
      <c r="C14" s="10"/>
      <c r="D14" s="10"/>
      <c r="E14" s="10"/>
      <c r="F14" s="10"/>
      <c r="G14" s="10"/>
      <c r="H14" s="24" t="str">
        <f>IF(NOT(ISBLANK(Curs!C18)),ROUND(SUM(C14:G14),0),"")</f>
        <v/>
      </c>
      <c r="I14" s="23" t="str">
        <f>IF(NOT(ISBLANK(Curs!C18)),
IF(H14=0,"n/p",
IF(AND(H14&gt;=$J$3,H14&lt;=$K$3),$L$3,
IF(AND(H14&gt;=$J$4,H14&lt;=$K$4),$L$4,
IF(AND(H14&gt;=$J$5,H14&lt;=$K$5),$L$5,
IF(AND(H14&gt;=$J$6,H14&lt;=$K$6),$L$6,
IF(AND(H14&gt;=$J$7,H14&lt;=$K$7),$L$7,
IF(AND(H14&gt;=$J$8,H14&lt;=$K$8),$L$8,
IF(AND(H14&gt;=$J$9,H14&lt;=$K$9),$L$9,
IF(AND(H14&gt;=$J$10,H14&lt;=$K$10),$L$10,
IF(AND(H14&gt;=$J$11,H14&lt;=$K$11),$L$11)))))))))),
"")</f>
        <v/>
      </c>
      <c r="J14" s="7"/>
      <c r="K14" s="14"/>
      <c r="L14" s="7"/>
      <c r="P14" s="15"/>
      <c r="Q14" s="13"/>
      <c r="R14" s="16"/>
      <c r="S14" s="13"/>
      <c r="T14" s="16"/>
    </row>
    <row r="15" spans="1:20" ht="18" x14ac:dyDescent="0.35">
      <c r="A15" s="30" t="str">
        <f>IF(NOT(ISBLANK(Curs!B19)),Curs!B19,"")</f>
        <v/>
      </c>
      <c r="B15" s="31" t="str">
        <f>IF(NOT(ISBLANK(Curs!C19)),Curs!C19,"")</f>
        <v/>
      </c>
      <c r="C15" s="10"/>
      <c r="D15" s="10"/>
      <c r="E15" s="10"/>
      <c r="F15" s="10"/>
      <c r="G15" s="10"/>
      <c r="H15" s="24" t="str">
        <f>IF(NOT(ISBLANK(Curs!C19)),ROUND(SUM(C15:G15),0),"")</f>
        <v/>
      </c>
      <c r="I15" s="23" t="str">
        <f>IF(NOT(ISBLANK(Curs!C19)),
IF(H15=0,"n/p",
IF(AND(H15&gt;=$J$3,H15&lt;=$K$3),$L$3,
IF(AND(H15&gt;=$J$4,H15&lt;=$K$4),$L$4,
IF(AND(H15&gt;=$J$5,H15&lt;=$K$5),$L$5,
IF(AND(H15&gt;=$J$6,H15&lt;=$K$6),$L$6,
IF(AND(H15&gt;=$J$7,H15&lt;=$K$7),$L$7,
IF(AND(H15&gt;=$J$8,H15&lt;=$K$8),$L$8,
IF(AND(H15&gt;=$J$9,H15&lt;=$K$9),$L$9,
IF(AND(H15&gt;=$J$10,H15&lt;=$K$10),$L$10,
IF(AND(H15&gt;=$J$11,H15&lt;=$K$11),$L$11)))))))))),
"")</f>
        <v/>
      </c>
      <c r="J15" s="7"/>
      <c r="K15" s="14"/>
      <c r="L15" s="7"/>
      <c r="M15" s="1"/>
      <c r="P15" s="17"/>
    </row>
    <row r="16" spans="1:20" ht="18" x14ac:dyDescent="0.35">
      <c r="A16" s="30" t="str">
        <f>IF(NOT(ISBLANK(Curs!B20)),Curs!B20,"")</f>
        <v/>
      </c>
      <c r="B16" s="31" t="str">
        <f>IF(NOT(ISBLANK(Curs!C20)),Curs!C20,"")</f>
        <v/>
      </c>
      <c r="C16" s="10"/>
      <c r="D16" s="10"/>
      <c r="E16" s="10"/>
      <c r="F16" s="10"/>
      <c r="G16" s="10"/>
      <c r="H16" s="24" t="str">
        <f>IF(NOT(ISBLANK(Curs!C20)),ROUND(SUM(C16:G16),0),"")</f>
        <v/>
      </c>
      <c r="I16" s="23" t="str">
        <f>IF(NOT(ISBLANK(Curs!C20)),
IF(H16=0,"n/p",
IF(AND(H16&gt;=$J$3,H16&lt;=$K$3),$L$3,
IF(AND(H16&gt;=$J$4,H16&lt;=$K$4),$L$4,
IF(AND(H16&gt;=$J$5,H16&lt;=$K$5),$L$5,
IF(AND(H16&gt;=$J$6,H16&lt;=$K$6),$L$6,
IF(AND(H16&gt;=$J$7,H16&lt;=$K$7),$L$7,
IF(AND(H16&gt;=$J$8,H16&lt;=$K$8),$L$8,
IF(AND(H16&gt;=$J$9,H16&lt;=$K$9),$L$9,
IF(AND(H16&gt;=$J$10,H16&lt;=$K$10),$L$10,
IF(AND(H16&gt;=$J$11,H16&lt;=$K$11),$L$11)))))))))),
"")</f>
        <v/>
      </c>
      <c r="J16" s="7"/>
      <c r="K16" s="14"/>
      <c r="L16" s="7"/>
      <c r="M16" s="1"/>
      <c r="P16" s="17"/>
    </row>
    <row r="17" spans="1:18" ht="18" x14ac:dyDescent="0.35">
      <c r="A17" s="30" t="str">
        <f>IF(NOT(ISBLANK(Curs!B21)),Curs!B21,"")</f>
        <v/>
      </c>
      <c r="B17" s="31" t="str">
        <f>IF(NOT(ISBLANK(Curs!C21)),Curs!C21,"")</f>
        <v/>
      </c>
      <c r="C17" s="10"/>
      <c r="D17" s="10"/>
      <c r="E17" s="10"/>
      <c r="F17" s="10"/>
      <c r="G17" s="10"/>
      <c r="H17" s="24" t="str">
        <f>IF(NOT(ISBLANK(Curs!C21)),ROUND(SUM(C17:G17),0),"")</f>
        <v/>
      </c>
      <c r="I17" s="23" t="str">
        <f>IF(NOT(ISBLANK(Curs!C21)),
IF(H17=0,"n/p",
IF(AND(H17&gt;=$J$3,H17&lt;=$K$3),$L$3,
IF(AND(H17&gt;=$J$4,H17&lt;=$K$4),$L$4,
IF(AND(H17&gt;=$J$5,H17&lt;=$K$5),$L$5,
IF(AND(H17&gt;=$J$6,H17&lt;=$K$6),$L$6,
IF(AND(H17&gt;=$J$7,H17&lt;=$K$7),$L$7,
IF(AND(H17&gt;=$J$8,H17&lt;=$K$8),$L$8,
IF(AND(H17&gt;=$J$9,H17&lt;=$K$9),$L$9,
IF(AND(H17&gt;=$J$10,H17&lt;=$K$10),$L$10,
IF(AND(H17&gt;=$J$11,H17&lt;=$K$11),$L$11)))))))))),
"")</f>
        <v/>
      </c>
      <c r="J17" s="7"/>
      <c r="K17" s="14"/>
      <c r="L17" s="7"/>
      <c r="M17" s="1"/>
      <c r="P17" s="17"/>
    </row>
    <row r="18" spans="1:18" ht="18" x14ac:dyDescent="0.35">
      <c r="A18" s="30" t="str">
        <f>IF(NOT(ISBLANK(Curs!B22)),Curs!B22,"")</f>
        <v/>
      </c>
      <c r="B18" s="31" t="str">
        <f>IF(NOT(ISBLANK(Curs!C22)),Curs!C22,"")</f>
        <v/>
      </c>
      <c r="C18" s="10"/>
      <c r="D18" s="10"/>
      <c r="E18" s="10"/>
      <c r="F18" s="10"/>
      <c r="G18" s="10"/>
      <c r="H18" s="24" t="str">
        <f>IF(NOT(ISBLANK(Curs!C22)),ROUND(SUM(C18:G18),0),"")</f>
        <v/>
      </c>
      <c r="I18" s="23" t="str">
        <f>IF(NOT(ISBLANK(Curs!C22)),
IF(H18=0,"n/p",
IF(AND(H18&gt;=$J$3,H18&lt;=$K$3),$L$3,
IF(AND(H18&gt;=$J$4,H18&lt;=$K$4),$L$4,
IF(AND(H18&gt;=$J$5,H18&lt;=$K$5),$L$5,
IF(AND(H18&gt;=$J$6,H18&lt;=$K$6),$L$6,
IF(AND(H18&gt;=$J$7,H18&lt;=$K$7),$L$7,
IF(AND(H18&gt;=$J$8,H18&lt;=$K$8),$L$8,
IF(AND(H18&gt;=$J$9,H18&lt;=$K$9),$L$9,
IF(AND(H18&gt;=$J$10,H18&lt;=$K$10),$L$10,
IF(AND(H18&gt;=$J$11,H18&lt;=$K$11),$L$11)))))))))),
"")</f>
        <v/>
      </c>
      <c r="J18" s="7"/>
      <c r="K18" s="14"/>
      <c r="L18" s="7"/>
      <c r="M18" s="1"/>
      <c r="P18" s="17"/>
    </row>
    <row r="19" spans="1:18" ht="18" x14ac:dyDescent="0.35">
      <c r="A19" s="30" t="str">
        <f>IF(NOT(ISBLANK(Curs!B23)),Curs!B23,"")</f>
        <v/>
      </c>
      <c r="B19" s="31" t="str">
        <f>IF(NOT(ISBLANK(Curs!C23)),Curs!C23,"")</f>
        <v/>
      </c>
      <c r="C19" s="10"/>
      <c r="D19" s="10"/>
      <c r="E19" s="10"/>
      <c r="F19" s="10"/>
      <c r="G19" s="10"/>
      <c r="H19" s="24" t="str">
        <f>IF(NOT(ISBLANK(Curs!C23)),ROUND(SUM(C19:G19),0),"")</f>
        <v/>
      </c>
      <c r="I19" s="23" t="str">
        <f>IF(NOT(ISBLANK(Curs!C23)),
IF(H19=0,"n/p",
IF(AND(H19&gt;=$J$3,H19&lt;=$K$3),$L$3,
IF(AND(H19&gt;=$J$4,H19&lt;=$K$4),$L$4,
IF(AND(H19&gt;=$J$5,H19&lt;=$K$5),$L$5,
IF(AND(H19&gt;=$J$6,H19&lt;=$K$6),$L$6,
IF(AND(H19&gt;=$J$7,H19&lt;=$K$7),$L$7,
IF(AND(H19&gt;=$J$8,H19&lt;=$K$8),$L$8,
IF(AND(H19&gt;=$J$9,H19&lt;=$K$9),$L$9,
IF(AND(H19&gt;=$J$10,H19&lt;=$K$10),$L$10,
IF(AND(H19&gt;=$J$11,H19&lt;=$K$11),$L$11)))))))))),
"")</f>
        <v/>
      </c>
      <c r="J19" s="7"/>
      <c r="K19" s="14"/>
      <c r="L19" s="7"/>
      <c r="M19" s="1"/>
      <c r="P19" s="17"/>
    </row>
    <row r="20" spans="1:18" ht="18" x14ac:dyDescent="0.35">
      <c r="A20" s="30" t="str">
        <f>IF(NOT(ISBLANK(Curs!B24)),Curs!B24,"")</f>
        <v/>
      </c>
      <c r="B20" s="31" t="str">
        <f>IF(NOT(ISBLANK(Curs!C24)),Curs!C24,"")</f>
        <v/>
      </c>
      <c r="C20" s="10"/>
      <c r="D20" s="10"/>
      <c r="E20" s="10"/>
      <c r="F20" s="10"/>
      <c r="G20" s="10"/>
      <c r="H20" s="24" t="str">
        <f>IF(NOT(ISBLANK(Curs!C24)),ROUND(SUM(C20:G20),0),"")</f>
        <v/>
      </c>
      <c r="I20" s="23" t="str">
        <f>IF(NOT(ISBLANK(Curs!C24)),
IF(H20=0,"n/p",
IF(AND(H20&gt;=$J$3,H20&lt;=$K$3),$L$3,
IF(AND(H20&gt;=$J$4,H20&lt;=$K$4),$L$4,
IF(AND(H20&gt;=$J$5,H20&lt;=$K$5),$L$5,
IF(AND(H20&gt;=$J$6,H20&lt;=$K$6),$L$6,
IF(AND(H20&gt;=$J$7,H20&lt;=$K$7),$L$7,
IF(AND(H20&gt;=$J$8,H20&lt;=$K$8),$L$8,
IF(AND(H20&gt;=$J$9,H20&lt;=$K$9),$L$9,
IF(AND(H20&gt;=$J$10,H20&lt;=$K$10),$L$10,
IF(AND(H20&gt;=$J$11,H20&lt;=$K$11),$L$11)))))))))),
"")</f>
        <v/>
      </c>
      <c r="J20" s="7"/>
      <c r="K20" s="14"/>
      <c r="L20" s="7"/>
      <c r="M20" s="1"/>
      <c r="P20" s="17"/>
    </row>
    <row r="21" spans="1:18" ht="18" x14ac:dyDescent="0.35">
      <c r="A21" s="30" t="str">
        <f>IF(NOT(ISBLANK(Curs!B25)),Curs!B25,"")</f>
        <v/>
      </c>
      <c r="B21" s="31" t="str">
        <f>IF(NOT(ISBLANK(Curs!C25)),Curs!C25,"")</f>
        <v/>
      </c>
      <c r="C21" s="10"/>
      <c r="D21" s="10"/>
      <c r="E21" s="10"/>
      <c r="F21" s="10"/>
      <c r="G21" s="10"/>
      <c r="H21" s="24" t="str">
        <f>IF(NOT(ISBLANK(Curs!C25)),ROUND(SUM(C21:G21),0),"")</f>
        <v/>
      </c>
      <c r="I21" s="23" t="str">
        <f>IF(NOT(ISBLANK(Curs!C25)),
IF(H21=0,"n/p",
IF(AND(H21&gt;=$J$3,H21&lt;=$K$3),$L$3,
IF(AND(H21&gt;=$J$4,H21&lt;=$K$4),$L$4,
IF(AND(H21&gt;=$J$5,H21&lt;=$K$5),$L$5,
IF(AND(H21&gt;=$J$6,H21&lt;=$K$6),$L$6,
IF(AND(H21&gt;=$J$7,H21&lt;=$K$7),$L$7,
IF(AND(H21&gt;=$J$8,H21&lt;=$K$8),$L$8,
IF(AND(H21&gt;=$J$9,H21&lt;=$K$9),$L$9,
IF(AND(H21&gt;=$J$10,H21&lt;=$K$10),$L$10,
IF(AND(H21&gt;=$J$11,H21&lt;=$K$11),$L$11)))))))))),
"")</f>
        <v/>
      </c>
      <c r="J21" s="7"/>
      <c r="K21" s="14"/>
      <c r="L21" s="7"/>
      <c r="M21" s="1"/>
      <c r="P21" s="17"/>
    </row>
    <row r="22" spans="1:18" ht="18" x14ac:dyDescent="0.35">
      <c r="A22" s="30" t="str">
        <f>IF(NOT(ISBLANK(Curs!B26)),Curs!B26,"")</f>
        <v/>
      </c>
      <c r="B22" s="31" t="str">
        <f>IF(NOT(ISBLANK(Curs!C26)),Curs!C26,"")</f>
        <v/>
      </c>
      <c r="C22" s="10"/>
      <c r="D22" s="10"/>
      <c r="E22" s="10"/>
      <c r="F22" s="10"/>
      <c r="G22" s="10"/>
      <c r="H22" s="24" t="str">
        <f>IF(NOT(ISBLANK(Curs!C26)),ROUND(SUM(C22:G22),0),"")</f>
        <v/>
      </c>
      <c r="I22" s="23" t="str">
        <f>IF(NOT(ISBLANK(Curs!C26)),
IF(H22=0,"n/p",
IF(AND(H22&gt;=$J$3,H22&lt;=$K$3),$L$3,
IF(AND(H22&gt;=$J$4,H22&lt;=$K$4),$L$4,
IF(AND(H22&gt;=$J$5,H22&lt;=$K$5),$L$5,
IF(AND(H22&gt;=$J$6,H22&lt;=$K$6),$L$6,
IF(AND(H22&gt;=$J$7,H22&lt;=$K$7),$L$7,
IF(AND(H22&gt;=$J$8,H22&lt;=$K$8),$L$8,
IF(AND(H22&gt;=$J$9,H22&lt;=$K$9),$L$9,
IF(AND(H22&gt;=$J$10,H22&lt;=$K$10),$L$10,
IF(AND(H22&gt;=$J$11,H22&lt;=$K$11),$L$11)))))))))),
"")</f>
        <v/>
      </c>
      <c r="J22" s="7"/>
      <c r="K22" s="14"/>
      <c r="L22" s="7"/>
      <c r="M22" s="1"/>
      <c r="P22" s="17"/>
    </row>
    <row r="23" spans="1:18" ht="18" x14ac:dyDescent="0.35">
      <c r="A23" s="30" t="str">
        <f>IF(NOT(ISBLANK(Curs!B27)),Curs!B27,"")</f>
        <v/>
      </c>
      <c r="B23" s="31" t="str">
        <f>IF(NOT(ISBLANK(Curs!C27)),Curs!C27,"")</f>
        <v/>
      </c>
      <c r="C23" s="10"/>
      <c r="D23" s="10"/>
      <c r="E23" s="10"/>
      <c r="F23" s="10"/>
      <c r="G23" s="10"/>
      <c r="H23" s="24" t="str">
        <f>IF(NOT(ISBLANK(Curs!C27)),ROUND(SUM(C23:G23),0),"")</f>
        <v/>
      </c>
      <c r="I23" s="23" t="str">
        <f>IF(NOT(ISBLANK(Curs!C27)),
IF(H23=0,"n/p",
IF(AND(H23&gt;=$J$3,H23&lt;=$K$3),$L$3,
IF(AND(H23&gt;=$J$4,H23&lt;=$K$4),$L$4,
IF(AND(H23&gt;=$J$5,H23&lt;=$K$5),$L$5,
IF(AND(H23&gt;=$J$6,H23&lt;=$K$6),$L$6,
IF(AND(H23&gt;=$J$7,H23&lt;=$K$7),$L$7,
IF(AND(H23&gt;=$J$8,H23&lt;=$K$8),$L$8,
IF(AND(H23&gt;=$J$9,H23&lt;=$K$9),$L$9,
IF(AND(H23&gt;=$J$10,H23&lt;=$K$10),$L$10,
IF(AND(H23&gt;=$J$11,H23&lt;=$K$11),$L$11)))))))))),
"")</f>
        <v/>
      </c>
      <c r="J23" s="7"/>
      <c r="K23" s="14"/>
      <c r="L23" s="7"/>
      <c r="M23" s="1"/>
      <c r="P23" s="17"/>
    </row>
    <row r="24" spans="1:18" ht="18" x14ac:dyDescent="0.35">
      <c r="A24" s="30" t="str">
        <f>IF(NOT(ISBLANK(Curs!B28)),Curs!B28,"")</f>
        <v/>
      </c>
      <c r="B24" s="31" t="str">
        <f>IF(NOT(ISBLANK(Curs!C28)),Curs!C28,"")</f>
        <v/>
      </c>
      <c r="C24" s="10"/>
      <c r="D24" s="10"/>
      <c r="E24" s="10"/>
      <c r="F24" s="10"/>
      <c r="G24" s="10"/>
      <c r="H24" s="24" t="str">
        <f>IF(NOT(ISBLANK(Curs!C28)),ROUND(SUM(C24:G24),0),"")</f>
        <v/>
      </c>
      <c r="I24" s="23" t="str">
        <f>IF(NOT(ISBLANK(Curs!C28)),
IF(H24=0,"n/p",
IF(AND(H24&gt;=$J$3,H24&lt;=$K$3),$L$3,
IF(AND(H24&gt;=$J$4,H24&lt;=$K$4),$L$4,
IF(AND(H24&gt;=$J$5,H24&lt;=$K$5),$L$5,
IF(AND(H24&gt;=$J$6,H24&lt;=$K$6),$L$6,
IF(AND(H24&gt;=$J$7,H24&lt;=$K$7),$L$7,
IF(AND(H24&gt;=$J$8,H24&lt;=$K$8),$L$8,
IF(AND(H24&gt;=$J$9,H24&lt;=$K$9),$L$9,
IF(AND(H24&gt;=$J$10,H24&lt;=$K$10),$L$10,
IF(AND(H24&gt;=$J$11,H24&lt;=$K$11),$L$11)))))))))),
"")</f>
        <v/>
      </c>
      <c r="J24" s="7"/>
      <c r="K24" s="14"/>
      <c r="L24" s="7"/>
      <c r="M24" s="1"/>
      <c r="P24" s="17"/>
    </row>
    <row r="25" spans="1:18" ht="18" x14ac:dyDescent="0.35">
      <c r="A25" s="30" t="str">
        <f>IF(NOT(ISBLANK(Curs!B29)),Curs!B29,"")</f>
        <v/>
      </c>
      <c r="B25" s="31" t="str">
        <f>IF(NOT(ISBLANK(Curs!C29)),Curs!C29,"")</f>
        <v/>
      </c>
      <c r="C25" s="10"/>
      <c r="D25" s="10"/>
      <c r="E25" s="10"/>
      <c r="F25" s="10"/>
      <c r="G25" s="10"/>
      <c r="H25" s="24" t="str">
        <f>IF(NOT(ISBLANK(Curs!C29)),ROUND(SUM(C25:G25),0),"")</f>
        <v/>
      </c>
      <c r="I25" s="23" t="str">
        <f>IF(NOT(ISBLANK(Curs!C29)),
IF(H25=0,"n/p",
IF(AND(H25&gt;=$J$3,H25&lt;=$K$3),$L$3,
IF(AND(H25&gt;=$J$4,H25&lt;=$K$4),$L$4,
IF(AND(H25&gt;=$J$5,H25&lt;=$K$5),$L$5,
IF(AND(H25&gt;=$J$6,H25&lt;=$K$6),$L$6,
IF(AND(H25&gt;=$J$7,H25&lt;=$K$7),$L$7,
IF(AND(H25&gt;=$J$8,H25&lt;=$K$8),$L$8,
IF(AND(H25&gt;=$J$9,H25&lt;=$K$9),$L$9,
IF(AND(H25&gt;=$J$10,H25&lt;=$K$10),$L$10,
IF(AND(H25&gt;=$J$11,H25&lt;=$K$11),$L$11)))))))))),
"")</f>
        <v/>
      </c>
      <c r="J25" s="7"/>
      <c r="K25" s="14"/>
      <c r="L25" s="7"/>
      <c r="M25" s="1"/>
      <c r="P25" s="17"/>
    </row>
    <row r="26" spans="1:18" ht="18" x14ac:dyDescent="0.35">
      <c r="A26" s="30" t="str">
        <f>IF(NOT(ISBLANK(Curs!B30)),Curs!B30,"")</f>
        <v/>
      </c>
      <c r="B26" s="31" t="str">
        <f>IF(NOT(ISBLANK(Curs!C30)),Curs!C30,"")</f>
        <v/>
      </c>
      <c r="C26" s="10"/>
      <c r="D26" s="10"/>
      <c r="E26" s="10"/>
      <c r="F26" s="10"/>
      <c r="G26" s="10"/>
      <c r="H26" s="24" t="str">
        <f>IF(NOT(ISBLANK(Curs!C30)),ROUND(SUM(C26:G26),0),"")</f>
        <v/>
      </c>
      <c r="I26" s="23" t="str">
        <f>IF(NOT(ISBLANK(Curs!C30)),
IF(H26=0,"n/p",
IF(AND(H26&gt;=$J$3,H26&lt;=$K$3),$L$3,
IF(AND(H26&gt;=$J$4,H26&lt;=$K$4),$L$4,
IF(AND(H26&gt;=$J$5,H26&lt;=$K$5),$L$5,
IF(AND(H26&gt;=$J$6,H26&lt;=$K$6),$L$6,
IF(AND(H26&gt;=$J$7,H26&lt;=$K$7),$L$7,
IF(AND(H26&gt;=$J$8,H26&lt;=$K$8),$L$8,
IF(AND(H26&gt;=$J$9,H26&lt;=$K$9),$L$9,
IF(AND(H26&gt;=$J$10,H26&lt;=$K$10),$L$10,
IF(AND(H26&gt;=$J$11,H26&lt;=$K$11),$L$11)))))))))),
"")</f>
        <v/>
      </c>
      <c r="J26" s="7"/>
      <c r="K26" s="14"/>
      <c r="L26" s="7"/>
      <c r="M26" s="1"/>
      <c r="P26" s="17"/>
    </row>
    <row r="27" spans="1:18" ht="18" x14ac:dyDescent="0.35">
      <c r="A27" s="30" t="str">
        <f>IF(NOT(ISBLANK(Curs!B31)),Curs!B31,"")</f>
        <v/>
      </c>
      <c r="B27" s="31" t="str">
        <f>IF(NOT(ISBLANK(Curs!C31)),Curs!C31,"")</f>
        <v/>
      </c>
      <c r="C27" s="10"/>
      <c r="D27" s="10"/>
      <c r="E27" s="10"/>
      <c r="F27" s="10"/>
      <c r="G27" s="10"/>
      <c r="H27" s="24" t="str">
        <f>IF(NOT(ISBLANK(Curs!C31)),ROUND(SUM(C27:G27),0),"")</f>
        <v/>
      </c>
      <c r="I27" s="23" t="str">
        <f>IF(NOT(ISBLANK(Curs!C31)),
IF(H27=0,"n/p",
IF(AND(H27&gt;=$J$3,H27&lt;=$K$3),$L$3,
IF(AND(H27&gt;=$J$4,H27&lt;=$K$4),$L$4,
IF(AND(H27&gt;=$J$5,H27&lt;=$K$5),$L$5,
IF(AND(H27&gt;=$J$6,H27&lt;=$K$6),$L$6,
IF(AND(H27&gt;=$J$7,H27&lt;=$K$7),$L$7,
IF(AND(H27&gt;=$J$8,H27&lt;=$K$8),$L$8,
IF(AND(H27&gt;=$J$9,H27&lt;=$K$9),$L$9,
IF(AND(H27&gt;=$J$10,H27&lt;=$K$10),$L$10,
IF(AND(H27&gt;=$J$11,H27&lt;=$K$11),$L$11)))))))))),
"")</f>
        <v/>
      </c>
      <c r="J27" s="10"/>
      <c r="K27" s="10"/>
      <c r="L27" s="10"/>
      <c r="M27" s="11"/>
      <c r="N27" s="23"/>
      <c r="O27" s="7"/>
      <c r="P27" s="14"/>
      <c r="Q27" s="7"/>
      <c r="R27" s="1"/>
    </row>
    <row r="28" spans="1:18" ht="18" x14ac:dyDescent="0.35">
      <c r="A28" s="30" t="str">
        <f>IF(NOT(ISBLANK(Curs!B32)),Curs!B32,"")</f>
        <v/>
      </c>
      <c r="B28" s="31" t="str">
        <f>IF(NOT(ISBLANK(Curs!C32)),Curs!C32,"")</f>
        <v/>
      </c>
      <c r="C28" s="10"/>
      <c r="D28" s="10"/>
      <c r="E28" s="10"/>
      <c r="F28" s="10"/>
      <c r="G28" s="10"/>
      <c r="H28" s="24" t="str">
        <f>IF(NOT(ISBLANK(Curs!C32)),ROUND(SUM(C28:G28),0),"")</f>
        <v/>
      </c>
      <c r="I28" s="23" t="str">
        <f>IF(NOT(ISBLANK(Curs!C32)),
IF(H28=0,"n/p",
IF(AND(H28&gt;=$J$3,H28&lt;=$K$3),$L$3,
IF(AND(H28&gt;=$J$4,H28&lt;=$K$4),$L$4,
IF(AND(H28&gt;=$J$5,H28&lt;=$K$5),$L$5,
IF(AND(H28&gt;=$J$6,H28&lt;=$K$6),$L$6,
IF(AND(H28&gt;=$J$7,H28&lt;=$K$7),$L$7,
IF(AND(H28&gt;=$J$8,H28&lt;=$K$8),$L$8,
IF(AND(H28&gt;=$J$9,H28&lt;=$K$9),$L$9,
IF(AND(H28&gt;=$J$10,H28&lt;=$K$10),$L$10,
IF(AND(H28&gt;=$J$11,H28&lt;=$K$11),$L$11)))))))))),
"")</f>
        <v/>
      </c>
    </row>
    <row r="29" spans="1:18" ht="18" x14ac:dyDescent="0.35">
      <c r="A29" s="30" t="str">
        <f>IF(NOT(ISBLANK(Curs!B33)),Curs!B33,"")</f>
        <v/>
      </c>
      <c r="B29" s="31" t="str">
        <f>IF(NOT(ISBLANK(Curs!C33)),Curs!C33,"")</f>
        <v/>
      </c>
      <c r="C29" s="10"/>
      <c r="D29" s="10"/>
      <c r="E29" s="10"/>
      <c r="F29" s="10"/>
      <c r="G29" s="10"/>
      <c r="H29" s="24" t="str">
        <f>IF(NOT(ISBLANK(Curs!C33)),ROUND(SUM(C29:G29),0),"")</f>
        <v/>
      </c>
      <c r="I29" s="23" t="str">
        <f>IF(NOT(ISBLANK(Curs!C33)),
IF(H29=0,"n/p",
IF(AND(H29&gt;=$J$3,H29&lt;=$K$3),$L$3,
IF(AND(H29&gt;=$J$4,H29&lt;=$K$4),$L$4,
IF(AND(H29&gt;=$J$5,H29&lt;=$K$5),$L$5,
IF(AND(H29&gt;=$J$6,H29&lt;=$K$6),$L$6,
IF(AND(H29&gt;=$J$7,H29&lt;=$K$7),$L$7,
IF(AND(H29&gt;=$J$8,H29&lt;=$K$8),$L$8,
IF(AND(H29&gt;=$J$9,H29&lt;=$K$9),$L$9,
IF(AND(H29&gt;=$J$10,H29&lt;=$K$10),$L$10,
IF(AND(H29&gt;=$J$11,H29&lt;=$K$11),$L$11)))))))))),
"")</f>
        <v/>
      </c>
    </row>
    <row r="30" spans="1:18" ht="18" x14ac:dyDescent="0.35">
      <c r="A30" s="30" t="str">
        <f>IF(NOT(ISBLANK(Curs!B34)),Curs!B34,"")</f>
        <v/>
      </c>
      <c r="B30" s="31" t="str">
        <f>IF(NOT(ISBLANK(Curs!C34)),Curs!C34,"")</f>
        <v/>
      </c>
      <c r="C30" s="10"/>
      <c r="D30" s="10"/>
      <c r="E30" s="10"/>
      <c r="F30" s="10"/>
      <c r="G30" s="10"/>
      <c r="H30" s="24" t="str">
        <f>IF(NOT(ISBLANK(Curs!C34)),ROUND(SUM(C30:G30),0),"")</f>
        <v/>
      </c>
      <c r="I30" s="23" t="str">
        <f>IF(NOT(ISBLANK(Curs!C34)),
IF(H30=0,"n/p",
IF(AND(H30&gt;=$J$3,H30&lt;=$K$3),$L$3,
IF(AND(H30&gt;=$J$4,H30&lt;=$K$4),$L$4,
IF(AND(H30&gt;=$J$5,H30&lt;=$K$5),$L$5,
IF(AND(H30&gt;=$J$6,H30&lt;=$K$6),$L$6,
IF(AND(H30&gt;=$J$7,H30&lt;=$K$7),$L$7,
IF(AND(H30&gt;=$J$8,H30&lt;=$K$8),$L$8,
IF(AND(H30&gt;=$J$9,H30&lt;=$K$9),$L$9,
IF(AND(H30&gt;=$J$10,H30&lt;=$K$10),$L$10,
IF(AND(H30&gt;=$J$11,H30&lt;=$K$11),$L$11)))))))))),
"")</f>
        <v/>
      </c>
    </row>
    <row r="31" spans="1:18" ht="18" x14ac:dyDescent="0.35">
      <c r="A31" s="30" t="str">
        <f>IF(NOT(ISBLANK(Curs!B35)),Curs!B35,"")</f>
        <v/>
      </c>
      <c r="B31" s="31" t="str">
        <f>IF(NOT(ISBLANK(Curs!C35)),Curs!C35,"")</f>
        <v/>
      </c>
      <c r="C31" s="10"/>
      <c r="D31" s="10"/>
      <c r="E31" s="10"/>
      <c r="F31" s="10"/>
      <c r="G31" s="10"/>
      <c r="H31" s="24" t="str">
        <f>IF(NOT(ISBLANK(Curs!C35)),ROUND(SUM(C31:G31),0),"")</f>
        <v/>
      </c>
      <c r="I31" s="23" t="str">
        <f>IF(NOT(ISBLANK(Curs!C35)),
IF(H31=0,"n/p",
IF(AND(H31&gt;=$J$3,H31&lt;=$K$3),$L$3,
IF(AND(H31&gt;=$J$4,H31&lt;=$K$4),$L$4,
IF(AND(H31&gt;=$J$5,H31&lt;=$K$5),$L$5,
IF(AND(H31&gt;=$J$6,H31&lt;=$K$6),$L$6,
IF(AND(H31&gt;=$J$7,H31&lt;=$K$7),$L$7,
IF(AND(H31&gt;=$J$8,H31&lt;=$K$8),$L$8,
IF(AND(H31&gt;=$J$9,H31&lt;=$K$9),$L$9,
IF(AND(H31&gt;=$J$10,H31&lt;=$K$10),$L$10,
IF(AND(H31&gt;=$J$11,H31&lt;=$K$11),$L$11)))))))))),
"")</f>
        <v/>
      </c>
    </row>
    <row r="32" spans="1:18" ht="18" x14ac:dyDescent="0.35">
      <c r="A32" s="30" t="str">
        <f>IF(NOT(ISBLANK(Curs!B36)),Curs!B36,"")</f>
        <v/>
      </c>
      <c r="B32" s="31" t="str">
        <f>IF(NOT(ISBLANK(Curs!C36)),Curs!C36,"")</f>
        <v/>
      </c>
      <c r="C32" s="10"/>
      <c r="D32" s="10"/>
      <c r="E32" s="10"/>
      <c r="F32" s="10"/>
      <c r="G32" s="10"/>
      <c r="H32" s="24" t="str">
        <f>IF(NOT(ISBLANK(Curs!C36)),ROUND(SUM(C32:G32),0),"")</f>
        <v/>
      </c>
      <c r="I32" s="23" t="str">
        <f>IF(NOT(ISBLANK(Curs!C36)),
IF(H32=0,"n/p",
IF(AND(H32&gt;=$J$3,H32&lt;=$K$3),$L$3,
IF(AND(H32&gt;=$J$4,H32&lt;=$K$4),$L$4,
IF(AND(H32&gt;=$J$5,H32&lt;=$K$5),$L$5,
IF(AND(H32&gt;=$J$6,H32&lt;=$K$6),$L$6,
IF(AND(H32&gt;=$J$7,H32&lt;=$K$7),$L$7,
IF(AND(H32&gt;=$J$8,H32&lt;=$K$8),$L$8,
IF(AND(H32&gt;=$J$9,H32&lt;=$K$9),$L$9,
IF(AND(H32&gt;=$J$10,H32&lt;=$K$10),$L$10,
IF(AND(H32&gt;=$J$11,H32&lt;=$K$11),$L$11)))))))))),
"")</f>
        <v/>
      </c>
    </row>
    <row r="33" spans="1:9" ht="18" x14ac:dyDescent="0.35">
      <c r="A33" s="30" t="str">
        <f>IF(NOT(ISBLANK(Curs!B37)),Curs!B37,"")</f>
        <v/>
      </c>
      <c r="B33" s="31" t="str">
        <f>IF(NOT(ISBLANK(Curs!C37)),Curs!C37,"")</f>
        <v/>
      </c>
      <c r="C33" s="10"/>
      <c r="D33" s="10"/>
      <c r="E33" s="10"/>
      <c r="F33" s="10"/>
      <c r="G33" s="10"/>
      <c r="H33" s="24" t="str">
        <f>IF(NOT(ISBLANK(Curs!C37)),ROUND(SUM(C33:G33),0),"")</f>
        <v/>
      </c>
      <c r="I33" s="23" t="str">
        <f>IF(NOT(ISBLANK(Curs!C37)),
IF(H33=0,"n/p",
IF(AND(H33&gt;=$J$3,H33&lt;=$K$3),$L$3,
IF(AND(H33&gt;=$J$4,H33&lt;=$K$4),$L$4,
IF(AND(H33&gt;=$J$5,H33&lt;=$K$5),$L$5,
IF(AND(H33&gt;=$J$6,H33&lt;=$K$6),$L$6,
IF(AND(H33&gt;=$J$7,H33&lt;=$K$7),$L$7,
IF(AND(H33&gt;=$J$8,H33&lt;=$K$8),$L$8,
IF(AND(H33&gt;=$J$9,H33&lt;=$K$9),$L$9,
IF(AND(H33&gt;=$J$10,H33&lt;=$K$10),$L$10,
IF(AND(H33&gt;=$J$11,H33&lt;=$K$11),$L$11)))))))))),
"")</f>
        <v/>
      </c>
    </row>
    <row r="34" spans="1:9" ht="18" x14ac:dyDescent="0.35">
      <c r="A34" s="30" t="str">
        <f>IF(NOT(ISBLANK(Curs!B38)),Curs!B38,"")</f>
        <v/>
      </c>
      <c r="B34" s="31" t="str">
        <f>IF(NOT(ISBLANK(Curs!C38)),Curs!C38,"")</f>
        <v/>
      </c>
      <c r="C34" s="10"/>
      <c r="D34" s="10"/>
      <c r="E34" s="10"/>
      <c r="F34" s="10"/>
      <c r="G34" s="10"/>
      <c r="H34" s="24" t="str">
        <f>IF(NOT(ISBLANK(Curs!C38)),ROUND(SUM(C34:G34),0),"")</f>
        <v/>
      </c>
      <c r="I34" s="23" t="str">
        <f>IF(NOT(ISBLANK(Curs!C38)),
IF(H34=0,"n/p",
IF(AND(H34&gt;=$J$3,H34&lt;=$K$3),$L$3,
IF(AND(H34&gt;=$J$4,H34&lt;=$K$4),$L$4,
IF(AND(H34&gt;=$J$5,H34&lt;=$K$5),$L$5,
IF(AND(H34&gt;=$J$6,H34&lt;=$K$6),$L$6,
IF(AND(H34&gt;=$J$7,H34&lt;=$K$7),$L$7,
IF(AND(H34&gt;=$J$8,H34&lt;=$K$8),$L$8,
IF(AND(H34&gt;=$J$9,H34&lt;=$K$9),$L$9,
IF(AND(H34&gt;=$J$10,H34&lt;=$K$10),$L$10,
IF(AND(H34&gt;=$J$11,H34&lt;=$K$11),$L$11)))))))))),
"")</f>
        <v/>
      </c>
    </row>
    <row r="35" spans="1:9" ht="18" x14ac:dyDescent="0.35">
      <c r="A35" s="30" t="str">
        <f>IF(NOT(ISBLANK(Curs!B39)),Curs!B39,"")</f>
        <v/>
      </c>
      <c r="B35" s="31" t="str">
        <f>IF(NOT(ISBLANK(Curs!C39)),Curs!C39,"")</f>
        <v/>
      </c>
      <c r="C35" s="10"/>
      <c r="D35" s="10"/>
      <c r="E35" s="10"/>
      <c r="F35" s="10"/>
      <c r="G35" s="10"/>
      <c r="H35" s="24" t="str">
        <f>IF(NOT(ISBLANK(Curs!C39)),ROUND(SUM(C35:G35),0),"")</f>
        <v/>
      </c>
      <c r="I35" s="23" t="str">
        <f>IF(NOT(ISBLANK(Curs!C39)),
IF(H35=0,"n/p",
IF(AND(H35&gt;=$J$3,H35&lt;=$K$3),$L$3,
IF(AND(H35&gt;=$J$4,H35&lt;=$K$4),$L$4,
IF(AND(H35&gt;=$J$5,H35&lt;=$K$5),$L$5,
IF(AND(H35&gt;=$J$6,H35&lt;=$K$6),$L$6,
IF(AND(H35&gt;=$J$7,H35&lt;=$K$7),$L$7,
IF(AND(H35&gt;=$J$8,H35&lt;=$K$8),$L$8,
IF(AND(H35&gt;=$J$9,H35&lt;=$K$9),$L$9,
IF(AND(H35&gt;=$J$10,H35&lt;=$K$10),$L$10,
IF(AND(H35&gt;=$J$11,H35&lt;=$K$11),$L$11)))))))))),
"")</f>
        <v/>
      </c>
    </row>
    <row r="36" spans="1:9" ht="18" x14ac:dyDescent="0.35">
      <c r="A36" s="30" t="str">
        <f>IF(NOT(ISBLANK(Curs!B40)),Curs!B40,"")</f>
        <v/>
      </c>
      <c r="B36" s="31" t="str">
        <f>IF(NOT(ISBLANK(Curs!C40)),Curs!C40,"")</f>
        <v/>
      </c>
      <c r="C36" s="10"/>
      <c r="D36" s="10"/>
      <c r="E36" s="10"/>
      <c r="F36" s="10"/>
      <c r="G36" s="10"/>
      <c r="H36" s="24" t="str">
        <f>IF(NOT(ISBLANK(Curs!C40)),ROUND(SUM(C36:G36),0),"")</f>
        <v/>
      </c>
      <c r="I36" s="23" t="str">
        <f>IF(NOT(ISBLANK(Curs!C40)),
IF(H36=0,"n/p",
IF(AND(H36&gt;=$J$3,H36&lt;=$K$3),$L$3,
IF(AND(H36&gt;=$J$4,H36&lt;=$K$4),$L$4,
IF(AND(H36&gt;=$J$5,H36&lt;=$K$5),$L$5,
IF(AND(H36&gt;=$J$6,H36&lt;=$K$6),$L$6,
IF(AND(H36&gt;=$J$7,H36&lt;=$K$7),$L$7,
IF(AND(H36&gt;=$J$8,H36&lt;=$K$8),$L$8,
IF(AND(H36&gt;=$J$9,H36&lt;=$K$9),$L$9,
IF(AND(H36&gt;=$J$10,H36&lt;=$K$10),$L$10,
IF(AND(H36&gt;=$J$11,H36&lt;=$K$11),$L$11)))))))))),
"")</f>
        <v/>
      </c>
    </row>
    <row r="37" spans="1:9" ht="18" x14ac:dyDescent="0.35">
      <c r="A37" s="30" t="str">
        <f>IF(NOT(ISBLANK(Curs!B41)),Curs!B41,"")</f>
        <v/>
      </c>
      <c r="B37" s="31" t="str">
        <f>IF(NOT(ISBLANK(Curs!C41)),Curs!C41,"")</f>
        <v/>
      </c>
      <c r="C37" s="10"/>
      <c r="D37" s="10"/>
      <c r="E37" s="10"/>
      <c r="F37" s="10"/>
      <c r="G37" s="10"/>
      <c r="H37" s="24" t="str">
        <f>IF(NOT(ISBLANK(Curs!C41)),ROUND(SUM(C37:G37),0),"")</f>
        <v/>
      </c>
      <c r="I37" s="23" t="str">
        <f>IF(NOT(ISBLANK(Curs!C41)),
IF(H37=0,"n/p",
IF(AND(H37&gt;=$J$3,H37&lt;=$K$3),$L$3,
IF(AND(H37&gt;=$J$4,H37&lt;=$K$4),$L$4,
IF(AND(H37&gt;=$J$5,H37&lt;=$K$5),$L$5,
IF(AND(H37&gt;=$J$6,H37&lt;=$K$6),$L$6,
IF(AND(H37&gt;=$J$7,H37&lt;=$K$7),$L$7,
IF(AND(H37&gt;=$J$8,H37&lt;=$K$8),$L$8,
IF(AND(H37&gt;=$J$9,H37&lt;=$K$9),$L$9,
IF(AND(H37&gt;=$J$10,H37&lt;=$K$10),$L$10,
IF(AND(H37&gt;=$J$11,H37&lt;=$K$11),$L$11)))))))))),
"")</f>
        <v/>
      </c>
    </row>
    <row r="38" spans="1:9" ht="18" x14ac:dyDescent="0.35">
      <c r="A38" s="30" t="str">
        <f>IF(NOT(ISBLANK(Curs!B42)),Curs!B42,"")</f>
        <v/>
      </c>
      <c r="B38" s="31" t="str">
        <f>IF(NOT(ISBLANK(Curs!C42)),Curs!C42,"")</f>
        <v/>
      </c>
      <c r="C38" s="10"/>
      <c r="D38" s="10"/>
      <c r="E38" s="10"/>
      <c r="F38" s="10"/>
      <c r="G38" s="10"/>
      <c r="H38" s="24" t="str">
        <f>IF(NOT(ISBLANK(Curs!C42)),ROUND(SUM(C38:G38),0),"")</f>
        <v/>
      </c>
      <c r="I38" s="23" t="str">
        <f>IF(NOT(ISBLANK(Curs!C42)),
IF(H38=0,"n/p",
IF(AND(H38&gt;=$J$3,H38&lt;=$K$3),$L$3,
IF(AND(H38&gt;=$J$4,H38&lt;=$K$4),$L$4,
IF(AND(H38&gt;=$J$5,H38&lt;=$K$5),$L$5,
IF(AND(H38&gt;=$J$6,H38&lt;=$K$6),$L$6,
IF(AND(H38&gt;=$J$7,H38&lt;=$K$7),$L$7,
IF(AND(H38&gt;=$J$8,H38&lt;=$K$8),$L$8,
IF(AND(H38&gt;=$J$9,H38&lt;=$K$9),$L$9,
IF(AND(H38&gt;=$J$10,H38&lt;=$K$10),$L$10,
IF(AND(H38&gt;=$J$11,H38&lt;=$K$11),$L$11)))))))))),
"")</f>
        <v/>
      </c>
    </row>
    <row r="39" spans="1:9" ht="18" x14ac:dyDescent="0.35">
      <c r="A39" s="30" t="str">
        <f>IF(NOT(ISBLANK(Curs!B43)),Curs!B43,"")</f>
        <v/>
      </c>
      <c r="B39" s="31" t="str">
        <f>IF(NOT(ISBLANK(Curs!C43)),Curs!C43,"")</f>
        <v/>
      </c>
      <c r="C39" s="10"/>
      <c r="D39" s="10"/>
      <c r="E39" s="10"/>
      <c r="F39" s="10"/>
      <c r="G39" s="10"/>
      <c r="H39" s="24" t="str">
        <f>IF(NOT(ISBLANK(Curs!C43)),ROUND(SUM(C39:G39),0),"")</f>
        <v/>
      </c>
      <c r="I39" s="23" t="str">
        <f>IF(NOT(ISBLANK(Curs!C43)),
IF(H39=0,"n/p",
IF(AND(H39&gt;=$J$3,H39&lt;=$K$3),$L$3,
IF(AND(H39&gt;=$J$4,H39&lt;=$K$4),$L$4,
IF(AND(H39&gt;=$J$5,H39&lt;=$K$5),$L$5,
IF(AND(H39&gt;=$J$6,H39&lt;=$K$6),$L$6,
IF(AND(H39&gt;=$J$7,H39&lt;=$K$7),$L$7,
IF(AND(H39&gt;=$J$8,H39&lt;=$K$8),$L$8,
IF(AND(H39&gt;=$J$9,H39&lt;=$K$9),$L$9,
IF(AND(H39&gt;=$J$10,H39&lt;=$K$10),$L$10,
IF(AND(H39&gt;=$J$11,H39&lt;=$K$11),$L$11)))))))))),
"")</f>
        <v/>
      </c>
    </row>
    <row r="40" spans="1:9" ht="18" x14ac:dyDescent="0.35">
      <c r="A40" s="30" t="str">
        <f>IF(NOT(ISBLANK(Curs!B44)),Curs!B44,"")</f>
        <v/>
      </c>
      <c r="B40" s="31" t="str">
        <f>IF(NOT(ISBLANK(Curs!C44)),Curs!C44,"")</f>
        <v/>
      </c>
      <c r="C40" s="10"/>
      <c r="D40" s="10"/>
      <c r="E40" s="10"/>
      <c r="F40" s="10"/>
      <c r="G40" s="10"/>
      <c r="H40" s="24" t="str">
        <f>IF(NOT(ISBLANK(Curs!C44)),ROUND(SUM(C40:G40),0),"")</f>
        <v/>
      </c>
      <c r="I40" s="23" t="str">
        <f>IF(NOT(ISBLANK(Curs!C44)),
IF(H40=0,"n/p",
IF(AND(H40&gt;=$J$3,H40&lt;=$K$3),$L$3,
IF(AND(H40&gt;=$J$4,H40&lt;=$K$4),$L$4,
IF(AND(H40&gt;=$J$5,H40&lt;=$K$5),$L$5,
IF(AND(H40&gt;=$J$6,H40&lt;=$K$6),$L$6,
IF(AND(H40&gt;=$J$7,H40&lt;=$K$7),$L$7,
IF(AND(H40&gt;=$J$8,H40&lt;=$K$8),$L$8,
IF(AND(H40&gt;=$J$9,H40&lt;=$K$9),$L$9,
IF(AND(H40&gt;=$J$10,H40&lt;=$K$10),$L$10,
IF(AND(H40&gt;=$J$11,H40&lt;=$K$11),$L$11)))))))))),
"")</f>
        <v/>
      </c>
    </row>
    <row r="41" spans="1:9" ht="18" x14ac:dyDescent="0.35">
      <c r="A41" s="30" t="str">
        <f>IF(NOT(ISBLANK(Curs!B45)),Curs!B45,"")</f>
        <v/>
      </c>
      <c r="B41" s="31" t="str">
        <f>IF(NOT(ISBLANK(Curs!C45)),Curs!C45,"")</f>
        <v/>
      </c>
      <c r="C41" s="10"/>
      <c r="D41" s="10"/>
      <c r="E41" s="10"/>
      <c r="F41" s="10"/>
      <c r="G41" s="10"/>
      <c r="H41" s="24" t="str">
        <f>IF(NOT(ISBLANK(Curs!C45)),ROUND(SUM(C41:G41),0),"")</f>
        <v/>
      </c>
      <c r="I41" s="23" t="str">
        <f>IF(NOT(ISBLANK(Curs!C45)),
IF(H41=0,"n/p",
IF(AND(H41&gt;=$J$3,H41&lt;=$K$3),$L$3,
IF(AND(H41&gt;=$J$4,H41&lt;=$K$4),$L$4,
IF(AND(H41&gt;=$J$5,H41&lt;=$K$5),$L$5,
IF(AND(H41&gt;=$J$6,H41&lt;=$K$6),$L$6,
IF(AND(H41&gt;=$J$7,H41&lt;=$K$7),$L$7,
IF(AND(H41&gt;=$J$8,H41&lt;=$K$8),$L$8,
IF(AND(H41&gt;=$J$9,H41&lt;=$K$9),$L$9,
IF(AND(H41&gt;=$J$10,H41&lt;=$K$10),$L$10,
IF(AND(H41&gt;=$J$11,H41&lt;=$K$11),$L$11)))))))))),
"")</f>
        <v/>
      </c>
    </row>
    <row r="42" spans="1:9" ht="18" x14ac:dyDescent="0.35">
      <c r="A42" s="30" t="str">
        <f>IF(NOT(ISBLANK(Curs!B46)),Curs!B46,"")</f>
        <v/>
      </c>
      <c r="B42" s="31" t="str">
        <f>IF(NOT(ISBLANK(Curs!C46)),Curs!C46,"")</f>
        <v/>
      </c>
      <c r="C42" s="10"/>
      <c r="D42" s="10"/>
      <c r="E42" s="10"/>
      <c r="F42" s="10"/>
      <c r="G42" s="10"/>
      <c r="H42" s="24" t="str">
        <f>IF(NOT(ISBLANK(Curs!C46)),ROUND(SUM(C42:G42),0),"")</f>
        <v/>
      </c>
      <c r="I42" s="23" t="str">
        <f>IF(NOT(ISBLANK(Curs!C46)),
IF(H42=0,"n/p",
IF(AND(H42&gt;=$J$3,H42&lt;=$K$3),$L$3,
IF(AND(H42&gt;=$J$4,H42&lt;=$K$4),$L$4,
IF(AND(H42&gt;=$J$5,H42&lt;=$K$5),$L$5,
IF(AND(H42&gt;=$J$6,H42&lt;=$K$6),$L$6,
IF(AND(H42&gt;=$J$7,H42&lt;=$K$7),$L$7,
IF(AND(H42&gt;=$J$8,H42&lt;=$K$8),$L$8,
IF(AND(H42&gt;=$J$9,H42&lt;=$K$9),$L$9,
IF(AND(H42&gt;=$J$10,H42&lt;=$K$10),$L$10,
IF(AND(H42&gt;=$J$11,H42&lt;=$K$11),$L$11)))))))))),
"")</f>
        <v/>
      </c>
    </row>
    <row r="43" spans="1:9" ht="18" x14ac:dyDescent="0.35">
      <c r="A43" s="30" t="str">
        <f>IF(NOT(ISBLANK(Curs!B47)),Curs!B47,"")</f>
        <v/>
      </c>
      <c r="B43" s="31" t="str">
        <f>IF(NOT(ISBLANK(Curs!C47)),Curs!C47,"")</f>
        <v/>
      </c>
      <c r="C43" s="10"/>
      <c r="D43" s="10"/>
      <c r="E43" s="10"/>
      <c r="F43" s="10"/>
      <c r="G43" s="10"/>
      <c r="H43" s="24" t="str">
        <f>IF(NOT(ISBLANK(Curs!C47)),ROUND(SUM(C43:G43),0),"")</f>
        <v/>
      </c>
      <c r="I43" s="23" t="str">
        <f>IF(NOT(ISBLANK(Curs!C47)),
IF(H43=0,"n/p",
IF(AND(H43&gt;=$J$3,H43&lt;=$K$3),$L$3,
IF(AND(H43&gt;=$J$4,H43&lt;=$K$4),$L$4,
IF(AND(H43&gt;=$J$5,H43&lt;=$K$5),$L$5,
IF(AND(H43&gt;=$J$6,H43&lt;=$K$6),$L$6,
IF(AND(H43&gt;=$J$7,H43&lt;=$K$7),$L$7,
IF(AND(H43&gt;=$J$8,H43&lt;=$K$8),$L$8,
IF(AND(H43&gt;=$J$9,H43&lt;=$K$9),$L$9,
IF(AND(H43&gt;=$J$10,H43&lt;=$K$10),$L$10,
IF(AND(H43&gt;=$J$11,H43&lt;=$K$11),$L$11)))))))))),
"")</f>
        <v/>
      </c>
    </row>
    <row r="44" spans="1:9" ht="18" x14ac:dyDescent="0.35">
      <c r="A44" s="30" t="str">
        <f>IF(NOT(ISBLANK(Curs!B48)),Curs!B48,"")</f>
        <v/>
      </c>
      <c r="B44" s="31" t="str">
        <f>IF(NOT(ISBLANK(Curs!C48)),Curs!C48,"")</f>
        <v/>
      </c>
      <c r="C44" s="10"/>
      <c r="D44" s="10"/>
      <c r="E44" s="10"/>
      <c r="F44" s="10"/>
      <c r="G44" s="10"/>
      <c r="H44" s="24" t="str">
        <f>IF(NOT(ISBLANK(Curs!C48)),ROUND(SUM(C44:G44),0),"")</f>
        <v/>
      </c>
      <c r="I44" s="23" t="str">
        <f>IF(NOT(ISBLANK(Curs!C48)),
IF(H44=0,"n/p",
IF(AND(H44&gt;=$J$3,H44&lt;=$K$3),$L$3,
IF(AND(H44&gt;=$J$4,H44&lt;=$K$4),$L$4,
IF(AND(H44&gt;=$J$5,H44&lt;=$K$5),$L$5,
IF(AND(H44&gt;=$J$6,H44&lt;=$K$6),$L$6,
IF(AND(H44&gt;=$J$7,H44&lt;=$K$7),$L$7,
IF(AND(H44&gt;=$J$8,H44&lt;=$K$8),$L$8,
IF(AND(H44&gt;=$J$9,H44&lt;=$K$9),$L$9,
IF(AND(H44&gt;=$J$10,H44&lt;=$K$10),$L$10,
IF(AND(H44&gt;=$J$11,H44&lt;=$K$11),$L$11)))))))))),
"")</f>
        <v/>
      </c>
    </row>
    <row r="45" spans="1:9" ht="18" x14ac:dyDescent="0.35">
      <c r="A45" s="30" t="str">
        <f>IF(NOT(ISBLANK(Curs!B49)),Curs!B49,"")</f>
        <v/>
      </c>
      <c r="B45" s="31" t="str">
        <f>IF(NOT(ISBLANK(Curs!C49)),Curs!C49,"")</f>
        <v/>
      </c>
      <c r="C45" s="10"/>
      <c r="D45" s="10"/>
      <c r="E45" s="10"/>
      <c r="F45" s="10"/>
      <c r="G45" s="10"/>
      <c r="H45" s="24" t="str">
        <f>IF(NOT(ISBLANK(Curs!C49)),ROUND(SUM(C45:G45),0),"")</f>
        <v/>
      </c>
      <c r="I45" s="23" t="str">
        <f>IF(NOT(ISBLANK(Curs!C49)),
IF(H45=0,"n/p",
IF(AND(H45&gt;=$J$3,H45&lt;=$K$3),$L$3,
IF(AND(H45&gt;=$J$4,H45&lt;=$K$4),$L$4,
IF(AND(H45&gt;=$J$5,H45&lt;=$K$5),$L$5,
IF(AND(H45&gt;=$J$6,H45&lt;=$K$6),$L$6,
IF(AND(H45&gt;=$J$7,H45&lt;=$K$7),$L$7,
IF(AND(H45&gt;=$J$8,H45&lt;=$K$8),$L$8,
IF(AND(H45&gt;=$J$9,H45&lt;=$K$9),$L$9,
IF(AND(H45&gt;=$J$10,H45&lt;=$K$10),$L$10,
IF(AND(H45&gt;=$J$11,H45&lt;=$K$11),$L$11)))))))))),
"")</f>
        <v/>
      </c>
    </row>
    <row r="46" spans="1:9" ht="18" x14ac:dyDescent="0.35">
      <c r="A46" s="30" t="str">
        <f>IF(NOT(ISBLANK(Curs!B50)),Curs!B50,"")</f>
        <v/>
      </c>
      <c r="B46" s="31" t="str">
        <f>IF(NOT(ISBLANK(Curs!C50)),Curs!C50,"")</f>
        <v/>
      </c>
      <c r="C46" s="10"/>
      <c r="D46" s="10"/>
      <c r="E46" s="10"/>
      <c r="F46" s="10"/>
      <c r="G46" s="10"/>
      <c r="H46" s="24" t="str">
        <f>IF(NOT(ISBLANK(Curs!C50)),ROUND(SUM(C46:G46),0),"")</f>
        <v/>
      </c>
      <c r="I46" s="23" t="str">
        <f>IF(NOT(ISBLANK(Curs!C50)),
IF(H46=0,"n/p",
IF(AND(H46&gt;=$J$3,H46&lt;=$K$3),$L$3,
IF(AND(H46&gt;=$J$4,H46&lt;=$K$4),$L$4,
IF(AND(H46&gt;=$J$5,H46&lt;=$K$5),$L$5,
IF(AND(H46&gt;=$J$6,H46&lt;=$K$6),$L$6,
IF(AND(H46&gt;=$J$7,H46&lt;=$K$7),$L$7,
IF(AND(H46&gt;=$J$8,H46&lt;=$K$8),$L$8,
IF(AND(H46&gt;=$J$9,H46&lt;=$K$9),$L$9,
IF(AND(H46&gt;=$J$10,H46&lt;=$K$10),$L$10,
IF(AND(H46&gt;=$J$11,H46&lt;=$K$11),$L$11)))))))))),
"")</f>
        <v/>
      </c>
    </row>
    <row r="47" spans="1:9" ht="18" x14ac:dyDescent="0.35">
      <c r="A47" s="30" t="str">
        <f>IF(NOT(ISBLANK(Curs!B51)),Curs!B51,"")</f>
        <v/>
      </c>
      <c r="B47" s="31" t="str">
        <f>IF(NOT(ISBLANK(Curs!C51)),Curs!C51,"")</f>
        <v/>
      </c>
      <c r="C47" s="10"/>
      <c r="D47" s="10"/>
      <c r="E47" s="10"/>
      <c r="F47" s="10"/>
      <c r="G47" s="10"/>
      <c r="H47" s="24" t="str">
        <f>IF(NOT(ISBLANK(Curs!C51)),ROUND(SUM(C47:G47),0),"")</f>
        <v/>
      </c>
      <c r="I47" s="23" t="str">
        <f>IF(NOT(ISBLANK(Curs!C51)),
IF(H47=0,"n/p",
IF(AND(H47&gt;=$J$3,H47&lt;=$K$3),$L$3,
IF(AND(H47&gt;=$J$4,H47&lt;=$K$4),$L$4,
IF(AND(H47&gt;=$J$5,H47&lt;=$K$5),$L$5,
IF(AND(H47&gt;=$J$6,H47&lt;=$K$6),$L$6,
IF(AND(H47&gt;=$J$7,H47&lt;=$K$7),$L$7,
IF(AND(H47&gt;=$J$8,H47&lt;=$K$8),$L$8,
IF(AND(H47&gt;=$J$9,H47&lt;=$K$9),$L$9,
IF(AND(H47&gt;=$J$10,H47&lt;=$K$10),$L$10,
IF(AND(H47&gt;=$J$11,H47&lt;=$K$11),$L$11)))))))))),
"")</f>
        <v/>
      </c>
    </row>
    <row r="48" spans="1:9" ht="18" x14ac:dyDescent="0.35">
      <c r="A48" s="30" t="str">
        <f>IF(NOT(ISBLANK(Curs!B52)),Curs!B52,"")</f>
        <v/>
      </c>
      <c r="B48" s="31" t="str">
        <f>IF(NOT(ISBLANK(Curs!C52)),Curs!C52,"")</f>
        <v/>
      </c>
      <c r="C48" s="10"/>
      <c r="D48" s="10"/>
      <c r="E48" s="10"/>
      <c r="F48" s="10"/>
      <c r="G48" s="10"/>
      <c r="H48" s="24" t="str">
        <f>IF(NOT(ISBLANK(Curs!C52)),ROUND(SUM(C48:G48),0),"")</f>
        <v/>
      </c>
      <c r="I48" s="23" t="str">
        <f>IF(NOT(ISBLANK(Curs!C52)),
IF(H48=0,"n/p",
IF(AND(H48&gt;=$J$3,H48&lt;=$K$3),$L$3,
IF(AND(H48&gt;=$J$4,H48&lt;=$K$4),$L$4,
IF(AND(H48&gt;=$J$5,H48&lt;=$K$5),$L$5,
IF(AND(H48&gt;=$J$6,H48&lt;=$K$6),$L$6,
IF(AND(H48&gt;=$J$7,H48&lt;=$K$7),$L$7,
IF(AND(H48&gt;=$J$8,H48&lt;=$K$8),$L$8,
IF(AND(H48&gt;=$J$9,H48&lt;=$K$9),$L$9,
IF(AND(H48&gt;=$J$10,H48&lt;=$K$10),$L$10,
IF(AND(H48&gt;=$J$11,H48&lt;=$K$11),$L$11)))))))))),
"")</f>
        <v/>
      </c>
    </row>
    <row r="49" spans="1:9" ht="18" x14ac:dyDescent="0.35">
      <c r="A49" s="30" t="str">
        <f>IF(NOT(ISBLANK(Curs!B53)),Curs!B53,"")</f>
        <v/>
      </c>
      <c r="B49" s="31" t="str">
        <f>IF(NOT(ISBLANK(Curs!C53)),Curs!C53,"")</f>
        <v/>
      </c>
      <c r="C49" s="10"/>
      <c r="D49" s="10"/>
      <c r="E49" s="10"/>
      <c r="F49" s="10"/>
      <c r="G49" s="10"/>
      <c r="H49" s="24" t="str">
        <f>IF(NOT(ISBLANK(Curs!C53)),ROUND(SUM(C49:G49),0),"")</f>
        <v/>
      </c>
      <c r="I49" s="23" t="str">
        <f>IF(NOT(ISBLANK(Curs!C53)),
IF(H49=0,"n/p",
IF(AND(H49&gt;=$J$3,H49&lt;=$K$3),$L$3,
IF(AND(H49&gt;=$J$4,H49&lt;=$K$4),$L$4,
IF(AND(H49&gt;=$J$5,H49&lt;=$K$5),$L$5,
IF(AND(H49&gt;=$J$6,H49&lt;=$K$6),$L$6,
IF(AND(H49&gt;=$J$7,H49&lt;=$K$7),$L$7,
IF(AND(H49&gt;=$J$8,H49&lt;=$K$8),$L$8,
IF(AND(H49&gt;=$J$9,H49&lt;=$K$9),$L$9,
IF(AND(H49&gt;=$J$10,H49&lt;=$K$10),$L$10,
IF(AND(H49&gt;=$J$11,H49&lt;=$K$11),$L$11)))))))))),
"")</f>
        <v/>
      </c>
    </row>
    <row r="50" spans="1:9" ht="18" x14ac:dyDescent="0.35">
      <c r="A50" s="30" t="str">
        <f>IF(NOT(ISBLANK(Curs!B54)),Curs!B54,"")</f>
        <v/>
      </c>
      <c r="B50" s="31" t="str">
        <f>IF(NOT(ISBLANK(Curs!C54)),Curs!C54,"")</f>
        <v/>
      </c>
      <c r="C50" s="10"/>
      <c r="D50" s="10"/>
      <c r="E50" s="10"/>
      <c r="F50" s="10"/>
      <c r="G50" s="10"/>
      <c r="H50" s="24" t="str">
        <f>IF(NOT(ISBLANK(Curs!C54)),ROUND(SUM(C50:G50),0),"")</f>
        <v/>
      </c>
      <c r="I50" s="23" t="str">
        <f>IF(NOT(ISBLANK(Curs!C54)),
IF(H50=0,"n/p",
IF(AND(H50&gt;=$J$3,H50&lt;=$K$3),$L$3,
IF(AND(H50&gt;=$J$4,H50&lt;=$K$4),$L$4,
IF(AND(H50&gt;=$J$5,H50&lt;=$K$5),$L$5,
IF(AND(H50&gt;=$J$6,H50&lt;=$K$6),$L$6,
IF(AND(H50&gt;=$J$7,H50&lt;=$K$7),$L$7,
IF(AND(H50&gt;=$J$8,H50&lt;=$K$8),$L$8,
IF(AND(H50&gt;=$J$9,H50&lt;=$K$9),$L$9,
IF(AND(H50&gt;=$J$10,H50&lt;=$K$10),$L$10,
IF(AND(H50&gt;=$J$11,H50&lt;=$K$11),$L$11)))))))))),
"")</f>
        <v/>
      </c>
    </row>
    <row r="51" spans="1:9" ht="18" x14ac:dyDescent="0.35">
      <c r="A51" s="30" t="str">
        <f>IF(NOT(ISBLANK(Curs!B55)),Curs!B55,"")</f>
        <v/>
      </c>
      <c r="B51" s="31" t="str">
        <f>IF(NOT(ISBLANK(Curs!C55)),Curs!C55,"")</f>
        <v/>
      </c>
      <c r="C51" s="10"/>
      <c r="D51" s="10"/>
      <c r="E51" s="10"/>
      <c r="F51" s="10"/>
      <c r="G51" s="10"/>
      <c r="H51" s="24" t="str">
        <f>IF(NOT(ISBLANK(Curs!C55)),ROUND(SUM(C51:G51),0),"")</f>
        <v/>
      </c>
      <c r="I51" s="23" t="str">
        <f>IF(NOT(ISBLANK(Curs!C55)),
IF(H51=0,"n/p",
IF(AND(H51&gt;=$J$3,H51&lt;=$K$3),$L$3,
IF(AND(H51&gt;=$J$4,H51&lt;=$K$4),$L$4,
IF(AND(H51&gt;=$J$5,H51&lt;=$K$5),$L$5,
IF(AND(H51&gt;=$J$6,H51&lt;=$K$6),$L$6,
IF(AND(H51&gt;=$J$7,H51&lt;=$K$7),$L$7,
IF(AND(H51&gt;=$J$8,H51&lt;=$K$8),$L$8,
IF(AND(H51&gt;=$J$9,H51&lt;=$K$9),$L$9,
IF(AND(H51&gt;=$J$10,H51&lt;=$K$10),$L$10,
IF(AND(H51&gt;=$J$11,H51&lt;=$K$11),$L$11)))))))))),
"")</f>
        <v/>
      </c>
    </row>
    <row r="52" spans="1:9" ht="18" x14ac:dyDescent="0.35">
      <c r="A52" s="30" t="str">
        <f>IF(NOT(ISBLANK(Curs!B56)),Curs!B56,"")</f>
        <v/>
      </c>
      <c r="B52" s="31" t="str">
        <f>IF(NOT(ISBLANK(Curs!C56)),Curs!C56,"")</f>
        <v/>
      </c>
      <c r="C52" s="10"/>
      <c r="D52" s="10"/>
      <c r="E52" s="10"/>
      <c r="F52" s="10"/>
      <c r="G52" s="10"/>
      <c r="H52" s="24" t="str">
        <f>IF(NOT(ISBLANK(Curs!C56)),ROUND(SUM(C52:G52),0),"")</f>
        <v/>
      </c>
      <c r="I52" s="23" t="str">
        <f>IF(NOT(ISBLANK(Curs!C56)),
IF(H52=0,"n/p",
IF(AND(H52&gt;=$J$3,H52&lt;=$K$3),$L$3,
IF(AND(H52&gt;=$J$4,H52&lt;=$K$4),$L$4,
IF(AND(H52&gt;=$J$5,H52&lt;=$K$5),$L$5,
IF(AND(H52&gt;=$J$6,H52&lt;=$K$6),$L$6,
IF(AND(H52&gt;=$J$7,H52&lt;=$K$7),$L$7,
IF(AND(H52&gt;=$J$8,H52&lt;=$K$8),$L$8,
IF(AND(H52&gt;=$J$9,H52&lt;=$K$9),$L$9,
IF(AND(H52&gt;=$J$10,H52&lt;=$K$10),$L$10,
IF(AND(H52&gt;=$J$11,H52&lt;=$K$11),$L$11)))))))))),
"")</f>
        <v/>
      </c>
    </row>
    <row r="53" spans="1:9" ht="18" x14ac:dyDescent="0.35">
      <c r="A53" s="30" t="str">
        <f>IF(NOT(ISBLANK(Curs!B57)),Curs!B57,"")</f>
        <v/>
      </c>
      <c r="B53" s="31" t="str">
        <f>IF(NOT(ISBLANK(Curs!C57)),Curs!C57,"")</f>
        <v/>
      </c>
      <c r="C53" s="10"/>
      <c r="D53" s="10"/>
      <c r="E53" s="10"/>
      <c r="F53" s="10"/>
      <c r="G53" s="10"/>
      <c r="H53" s="24" t="str">
        <f>IF(NOT(ISBLANK(Curs!C57)),ROUND(SUM(C53:G53),0),"")</f>
        <v/>
      </c>
      <c r="I53" s="23" t="str">
        <f>IF(NOT(ISBLANK(Curs!C57)),
IF(H53=0,"n/p",
IF(AND(H53&gt;=$J$3,H53&lt;=$K$3),$L$3,
IF(AND(H53&gt;=$J$4,H53&lt;=$K$4),$L$4,
IF(AND(H53&gt;=$J$5,H53&lt;=$K$5),$L$5,
IF(AND(H53&gt;=$J$6,H53&lt;=$K$6),$L$6,
IF(AND(H53&gt;=$J$7,H53&lt;=$K$7),$L$7,
IF(AND(H53&gt;=$J$8,H53&lt;=$K$8),$L$8,
IF(AND(H53&gt;=$J$9,H53&lt;=$K$9),$L$9,
IF(AND(H53&gt;=$J$10,H53&lt;=$K$10),$L$10,
IF(AND(H53&gt;=$J$11,H53&lt;=$K$11),$L$11)))))))))),
"")</f>
        <v/>
      </c>
    </row>
    <row r="54" spans="1:9" ht="18" x14ac:dyDescent="0.35">
      <c r="A54" s="30" t="str">
        <f>IF(NOT(ISBLANK(Curs!B58)),Curs!B58,"")</f>
        <v/>
      </c>
      <c r="B54" s="31" t="str">
        <f>IF(NOT(ISBLANK(Curs!C58)),Curs!C58,"")</f>
        <v/>
      </c>
      <c r="C54" s="10"/>
      <c r="D54" s="10"/>
      <c r="E54" s="10"/>
      <c r="F54" s="10"/>
      <c r="G54" s="10"/>
      <c r="H54" s="24" t="str">
        <f>IF(NOT(ISBLANK(Curs!C58)),ROUND(SUM(C54:G54),0),"")</f>
        <v/>
      </c>
      <c r="I54" s="23" t="str">
        <f>IF(NOT(ISBLANK(Curs!C58)),
IF(H54=0,"n/p",
IF(AND(H54&gt;=$J$3,H54&lt;=$K$3),$L$3,
IF(AND(H54&gt;=$J$4,H54&lt;=$K$4),$L$4,
IF(AND(H54&gt;=$J$5,H54&lt;=$K$5),$L$5,
IF(AND(H54&gt;=$J$6,H54&lt;=$K$6),$L$6,
IF(AND(H54&gt;=$J$7,H54&lt;=$K$7),$L$7,
IF(AND(H54&gt;=$J$8,H54&lt;=$K$8),$L$8,
IF(AND(H54&gt;=$J$9,H54&lt;=$K$9),$L$9,
IF(AND(H54&gt;=$J$10,H54&lt;=$K$10),$L$10,
IF(AND(H54&gt;=$J$11,H54&lt;=$K$11),$L$11)))))))))),
"")</f>
        <v/>
      </c>
    </row>
    <row r="55" spans="1:9" ht="18" x14ac:dyDescent="0.35">
      <c r="A55" s="30" t="str">
        <f>IF(NOT(ISBLANK(Curs!B59)),Curs!B59,"")</f>
        <v/>
      </c>
      <c r="B55" s="31" t="str">
        <f>IF(NOT(ISBLANK(Curs!C59)),Curs!C59,"")</f>
        <v/>
      </c>
      <c r="C55" s="10"/>
      <c r="D55" s="10"/>
      <c r="E55" s="10"/>
      <c r="F55" s="10"/>
      <c r="G55" s="10"/>
      <c r="H55" s="24" t="str">
        <f>IF(NOT(ISBLANK(Curs!C59)),ROUND(SUM(C55:G55),0),"")</f>
        <v/>
      </c>
      <c r="I55" s="23" t="str">
        <f>IF(NOT(ISBLANK(Curs!C59)),
IF(H55=0,"n/p",
IF(AND(H55&gt;=$J$3,H55&lt;=$K$3),$L$3,
IF(AND(H55&gt;=$J$4,H55&lt;=$K$4),$L$4,
IF(AND(H55&gt;=$J$5,H55&lt;=$K$5),$L$5,
IF(AND(H55&gt;=$J$6,H55&lt;=$K$6),$L$6,
IF(AND(H55&gt;=$J$7,H55&lt;=$K$7),$L$7,
IF(AND(H55&gt;=$J$8,H55&lt;=$K$8),$L$8,
IF(AND(H55&gt;=$J$9,H55&lt;=$K$9),$L$9,
IF(AND(H55&gt;=$J$10,H55&lt;=$K$10),$L$10,
IF(AND(H55&gt;=$J$11,H55&lt;=$K$11),$L$11)))))))))),
"")</f>
        <v/>
      </c>
    </row>
    <row r="56" spans="1:9" ht="18" x14ac:dyDescent="0.35">
      <c r="A56" s="30" t="str">
        <f>IF(NOT(ISBLANK(Curs!B60)),Curs!B60,"")</f>
        <v/>
      </c>
      <c r="B56" s="31" t="str">
        <f>IF(NOT(ISBLANK(Curs!C60)),Curs!C60,"")</f>
        <v/>
      </c>
      <c r="C56" s="10"/>
      <c r="D56" s="10"/>
      <c r="E56" s="10"/>
      <c r="F56" s="10"/>
      <c r="G56" s="10"/>
      <c r="H56" s="24" t="str">
        <f>IF(NOT(ISBLANK(Curs!C60)),ROUND(SUM(C56:G56),0),"")</f>
        <v/>
      </c>
      <c r="I56" s="23" t="str">
        <f>IF(NOT(ISBLANK(Curs!C60)),
IF(H56=0,"n/p",
IF(AND(H56&gt;=$J$3,H56&lt;=$K$3),$L$3,
IF(AND(H56&gt;=$J$4,H56&lt;=$K$4),$L$4,
IF(AND(H56&gt;=$J$5,H56&lt;=$K$5),$L$5,
IF(AND(H56&gt;=$J$6,H56&lt;=$K$6),$L$6,
IF(AND(H56&gt;=$J$7,H56&lt;=$K$7),$L$7,
IF(AND(H56&gt;=$J$8,H56&lt;=$K$8),$L$8,
IF(AND(H56&gt;=$J$9,H56&lt;=$K$9),$L$9,
IF(AND(H56&gt;=$J$10,H56&lt;=$K$10),$L$10,
IF(AND(H56&gt;=$J$11,H56&lt;=$K$11),$L$11)))))))))),
"")</f>
        <v/>
      </c>
    </row>
    <row r="57" spans="1:9" ht="18" x14ac:dyDescent="0.35">
      <c r="A57" s="30" t="str">
        <f>IF(NOT(ISBLANK(Curs!B61)),Curs!B61,"")</f>
        <v/>
      </c>
      <c r="B57" s="31" t="str">
        <f>IF(NOT(ISBLANK(Curs!C61)),Curs!C61,"")</f>
        <v/>
      </c>
      <c r="C57" s="10"/>
      <c r="D57" s="10"/>
      <c r="E57" s="10"/>
      <c r="F57" s="10"/>
      <c r="G57" s="10"/>
      <c r="H57" s="24" t="str">
        <f>IF(NOT(ISBLANK(Curs!C61)),ROUND(SUM(C57:G57),0),"")</f>
        <v/>
      </c>
      <c r="I57" s="23" t="str">
        <f>IF(NOT(ISBLANK(Curs!C61)),
IF(H57=0,"n/p",
IF(AND(H57&gt;=$J$3,H57&lt;=$K$3),$L$3,
IF(AND(H57&gt;=$J$4,H57&lt;=$K$4),$L$4,
IF(AND(H57&gt;=$J$5,H57&lt;=$K$5),$L$5,
IF(AND(H57&gt;=$J$6,H57&lt;=$K$6),$L$6,
IF(AND(H57&gt;=$J$7,H57&lt;=$K$7),$L$7,
IF(AND(H57&gt;=$J$8,H57&lt;=$K$8),$L$8,
IF(AND(H57&gt;=$J$9,H57&lt;=$K$9),$L$9,
IF(AND(H57&gt;=$J$10,H57&lt;=$K$10),$L$10,
IF(AND(H57&gt;=$J$11,H57&lt;=$K$11),$L$11)))))))))),
"")</f>
        <v/>
      </c>
    </row>
    <row r="58" spans="1:9" ht="18" x14ac:dyDescent="0.35">
      <c r="A58" s="30" t="str">
        <f>IF(NOT(ISBLANK(Curs!B62)),Curs!B62,"")</f>
        <v/>
      </c>
      <c r="B58" s="31" t="str">
        <f>IF(NOT(ISBLANK(Curs!C62)),Curs!C62,"")</f>
        <v/>
      </c>
      <c r="C58" s="10"/>
      <c r="D58" s="10"/>
      <c r="E58" s="10"/>
      <c r="F58" s="10"/>
      <c r="G58" s="10"/>
      <c r="H58" s="24" t="str">
        <f>IF(NOT(ISBLANK(Curs!C62)),ROUND(SUM(C58:G58),0),"")</f>
        <v/>
      </c>
      <c r="I58" s="23" t="str">
        <f>IF(NOT(ISBLANK(Curs!C62)),
IF(H58=0,"n/p",
IF(AND(H58&gt;=$J$3,H58&lt;=$K$3),$L$3,
IF(AND(H58&gt;=$J$4,H58&lt;=$K$4),$L$4,
IF(AND(H58&gt;=$J$5,H58&lt;=$K$5),$L$5,
IF(AND(H58&gt;=$J$6,H58&lt;=$K$6),$L$6,
IF(AND(H58&gt;=$J$7,H58&lt;=$K$7),$L$7,
IF(AND(H58&gt;=$J$8,H58&lt;=$K$8),$L$8,
IF(AND(H58&gt;=$J$9,H58&lt;=$K$9),$L$9,
IF(AND(H58&gt;=$J$10,H58&lt;=$K$10),$L$10,
IF(AND(H58&gt;=$J$11,H58&lt;=$K$11),$L$11)))))))))),
"")</f>
        <v/>
      </c>
    </row>
    <row r="59" spans="1:9" ht="18" x14ac:dyDescent="0.35">
      <c r="A59" s="30" t="str">
        <f>IF(NOT(ISBLANK(Curs!B63)),Curs!B63,"")</f>
        <v/>
      </c>
      <c r="B59" s="31" t="str">
        <f>IF(NOT(ISBLANK(Curs!C63)),Curs!C63,"")</f>
        <v/>
      </c>
      <c r="C59" s="10"/>
      <c r="D59" s="10"/>
      <c r="E59" s="10"/>
      <c r="F59" s="10"/>
      <c r="G59" s="10"/>
      <c r="H59" s="24" t="str">
        <f>IF(NOT(ISBLANK(Curs!C63)),ROUND(SUM(C59:G59),0),"")</f>
        <v/>
      </c>
      <c r="I59" s="23" t="str">
        <f>IF(NOT(ISBLANK(Curs!C63)),
IF(H59=0,"n/p",
IF(AND(H59&gt;=$J$3,H59&lt;=$K$3),$L$3,
IF(AND(H59&gt;=$J$4,H59&lt;=$K$4),$L$4,
IF(AND(H59&gt;=$J$5,H59&lt;=$K$5),$L$5,
IF(AND(H59&gt;=$J$6,H59&lt;=$K$6),$L$6,
IF(AND(H59&gt;=$J$7,H59&lt;=$K$7),$L$7,
IF(AND(H59&gt;=$J$8,H59&lt;=$K$8),$L$8,
IF(AND(H59&gt;=$J$9,H59&lt;=$K$9),$L$9,
IF(AND(H59&gt;=$J$10,H59&lt;=$K$10),$L$10,
IF(AND(H59&gt;=$J$11,H59&lt;=$K$11),$L$11)))))))))),
"")</f>
        <v/>
      </c>
    </row>
    <row r="60" spans="1:9" ht="18" x14ac:dyDescent="0.35">
      <c r="A60" s="30" t="str">
        <f>IF(NOT(ISBLANK(Curs!B64)),Curs!B64,"")</f>
        <v/>
      </c>
      <c r="B60" s="31" t="str">
        <f>IF(NOT(ISBLANK(Curs!C64)),Curs!C64,"")</f>
        <v/>
      </c>
      <c r="C60" s="10"/>
      <c r="D60" s="10"/>
      <c r="E60" s="10"/>
      <c r="F60" s="10"/>
      <c r="G60" s="10"/>
      <c r="H60" s="24" t="str">
        <f>IF(NOT(ISBLANK(Curs!C64)),ROUND(SUM(C60:G60),0),"")</f>
        <v/>
      </c>
      <c r="I60" s="23" t="str">
        <f>IF(NOT(ISBLANK(Curs!C64)),
IF(H60=0,"n/p",
IF(AND(H60&gt;=$J$3,H60&lt;=$K$3),$L$3,
IF(AND(H60&gt;=$J$4,H60&lt;=$K$4),$L$4,
IF(AND(H60&gt;=$J$5,H60&lt;=$K$5),$L$5,
IF(AND(H60&gt;=$J$6,H60&lt;=$K$6),$L$6,
IF(AND(H60&gt;=$J$7,H60&lt;=$K$7),$L$7,
IF(AND(H60&gt;=$J$8,H60&lt;=$K$8),$L$8,
IF(AND(H60&gt;=$J$9,H60&lt;=$K$9),$L$9,
IF(AND(H60&gt;=$J$10,H60&lt;=$K$10),$L$10,
IF(AND(H60&gt;=$J$11,H60&lt;=$K$11),$L$11)))))))))),
"")</f>
        <v/>
      </c>
    </row>
    <row r="61" spans="1:9" ht="18" x14ac:dyDescent="0.35">
      <c r="A61" s="30" t="str">
        <f>IF(NOT(ISBLANK(Curs!B65)),Curs!B65,"")</f>
        <v/>
      </c>
      <c r="B61" s="31" t="str">
        <f>IF(NOT(ISBLANK(Curs!C65)),Curs!C65,"")</f>
        <v/>
      </c>
      <c r="C61" s="10"/>
      <c r="D61" s="10"/>
      <c r="E61" s="10"/>
      <c r="F61" s="10"/>
      <c r="G61" s="10"/>
      <c r="H61" s="24" t="str">
        <f>IF(NOT(ISBLANK(Curs!C65)),ROUND(SUM(C61:G61),0),"")</f>
        <v/>
      </c>
      <c r="I61" s="23" t="str">
        <f>IF(NOT(ISBLANK(Curs!C65)),
IF(H61=0,"n/p",
IF(AND(H61&gt;=$J$3,H61&lt;=$K$3),$L$3,
IF(AND(H61&gt;=$J$4,H61&lt;=$K$4),$L$4,
IF(AND(H61&gt;=$J$5,H61&lt;=$K$5),$L$5,
IF(AND(H61&gt;=$J$6,H61&lt;=$K$6),$L$6,
IF(AND(H61&gt;=$J$7,H61&lt;=$K$7),$L$7,
IF(AND(H61&gt;=$J$8,H61&lt;=$K$8),$L$8,
IF(AND(H61&gt;=$J$9,H61&lt;=$K$9),$L$9,
IF(AND(H61&gt;=$J$10,H61&lt;=$K$10),$L$10,
IF(AND(H61&gt;=$J$11,H61&lt;=$K$11),$L$11)))))))))),
"")</f>
        <v/>
      </c>
    </row>
    <row r="62" spans="1:9" ht="18" x14ac:dyDescent="0.35">
      <c r="A62" s="30" t="str">
        <f>IF(NOT(ISBLANK(Curs!B66)),Curs!B66,"")</f>
        <v/>
      </c>
      <c r="B62" s="31" t="str">
        <f>IF(NOT(ISBLANK(Curs!C66)),Curs!C66,"")</f>
        <v/>
      </c>
      <c r="C62" s="10"/>
      <c r="D62" s="10"/>
      <c r="E62" s="10"/>
      <c r="F62" s="10"/>
      <c r="G62" s="10"/>
      <c r="H62" s="24" t="str">
        <f>IF(NOT(ISBLANK(Curs!C66)),ROUND(SUM(C62:G62),0),"")</f>
        <v/>
      </c>
      <c r="I62" s="23" t="str">
        <f>IF(NOT(ISBLANK(Curs!C66)),
IF(H62=0,"n/p",
IF(AND(H62&gt;=$J$3,H62&lt;=$K$3),$L$3,
IF(AND(H62&gt;=$J$4,H62&lt;=$K$4),$L$4,
IF(AND(H62&gt;=$J$5,H62&lt;=$K$5),$L$5,
IF(AND(H62&gt;=$J$6,H62&lt;=$K$6),$L$6,
IF(AND(H62&gt;=$J$7,H62&lt;=$K$7),$L$7,
IF(AND(H62&gt;=$J$8,H62&lt;=$K$8),$L$8,
IF(AND(H62&gt;=$J$9,H62&lt;=$K$9),$L$9,
IF(AND(H62&gt;=$J$10,H62&lt;=$K$10),$L$10,
IF(AND(H62&gt;=$J$11,H62&lt;=$K$11),$L$11)))))))))),
"")</f>
        <v/>
      </c>
    </row>
    <row r="63" spans="1:9" ht="18" x14ac:dyDescent="0.35">
      <c r="A63" s="30" t="str">
        <f>IF(NOT(ISBLANK(Curs!B67)),Curs!B67,"")</f>
        <v/>
      </c>
      <c r="B63" s="31" t="str">
        <f>IF(NOT(ISBLANK(Curs!C67)),Curs!C67,"")</f>
        <v/>
      </c>
      <c r="C63" s="10"/>
      <c r="D63" s="10"/>
      <c r="E63" s="10"/>
      <c r="F63" s="10"/>
      <c r="G63" s="10"/>
      <c r="H63" s="24" t="str">
        <f>IF(NOT(ISBLANK(Curs!C67)),ROUND(SUM(C63:G63),0),"")</f>
        <v/>
      </c>
      <c r="I63" s="23" t="str">
        <f>IF(NOT(ISBLANK(Curs!C67)),
IF(H63=0,"n/p",
IF(AND(H63&gt;=$J$3,H63&lt;=$K$3),$L$3,
IF(AND(H63&gt;=$J$4,H63&lt;=$K$4),$L$4,
IF(AND(H63&gt;=$J$5,H63&lt;=$K$5),$L$5,
IF(AND(H63&gt;=$J$6,H63&lt;=$K$6),$L$6,
IF(AND(H63&gt;=$J$7,H63&lt;=$K$7),$L$7,
IF(AND(H63&gt;=$J$8,H63&lt;=$K$8),$L$8,
IF(AND(H63&gt;=$J$9,H63&lt;=$K$9),$L$9,
IF(AND(H63&gt;=$J$10,H63&lt;=$K$10),$L$10,
IF(AND(H63&gt;=$J$11,H63&lt;=$K$11),$L$11)))))))))),
"")</f>
        <v/>
      </c>
    </row>
    <row r="64" spans="1:9" ht="18" x14ac:dyDescent="0.35">
      <c r="A64" s="30" t="str">
        <f>IF(NOT(ISBLANK(Curs!B68)),Curs!B68,"")</f>
        <v/>
      </c>
      <c r="B64" s="31" t="str">
        <f>IF(NOT(ISBLANK(Curs!C68)),Curs!C68,"")</f>
        <v/>
      </c>
      <c r="C64" s="10"/>
      <c r="D64" s="10"/>
      <c r="E64" s="10"/>
      <c r="F64" s="10"/>
      <c r="G64" s="10"/>
      <c r="H64" s="24" t="str">
        <f>IF(NOT(ISBLANK(Curs!C68)),ROUND(SUM(C64:G64),0),"")</f>
        <v/>
      </c>
      <c r="I64" s="23" t="str">
        <f>IF(NOT(ISBLANK(Curs!C68)),
IF(H64=0,"n/p",
IF(AND(H64&gt;=$J$3,H64&lt;=$K$3),$L$3,
IF(AND(H64&gt;=$J$4,H64&lt;=$K$4),$L$4,
IF(AND(H64&gt;=$J$5,H64&lt;=$K$5),$L$5,
IF(AND(H64&gt;=$J$6,H64&lt;=$K$6),$L$6,
IF(AND(H64&gt;=$J$7,H64&lt;=$K$7),$L$7,
IF(AND(H64&gt;=$J$8,H64&lt;=$K$8),$L$8,
IF(AND(H64&gt;=$J$9,H64&lt;=$K$9),$L$9,
IF(AND(H64&gt;=$J$10,H64&lt;=$K$10),$L$10,
IF(AND(H64&gt;=$J$11,H64&lt;=$K$11),$L$11)))))))))),
"")</f>
        <v/>
      </c>
    </row>
    <row r="65" spans="1:9" ht="18" x14ac:dyDescent="0.35">
      <c r="A65" s="30" t="str">
        <f>IF(NOT(ISBLANK(Curs!B69)),Curs!B69,"")</f>
        <v/>
      </c>
      <c r="B65" s="31" t="str">
        <f>IF(NOT(ISBLANK(Curs!C69)),Curs!C69,"")</f>
        <v/>
      </c>
      <c r="C65" s="10"/>
      <c r="D65" s="10"/>
      <c r="E65" s="10"/>
      <c r="F65" s="10"/>
      <c r="G65" s="10"/>
      <c r="H65" s="24" t="str">
        <f>IF(NOT(ISBLANK(Curs!C69)),ROUND(SUM(C65:G65),0),"")</f>
        <v/>
      </c>
      <c r="I65" s="23" t="str">
        <f>IF(NOT(ISBLANK(Curs!C69)),
IF(H65=0,"n/p",
IF(AND(H65&gt;=$J$3,H65&lt;=$K$3),$L$3,
IF(AND(H65&gt;=$J$4,H65&lt;=$K$4),$L$4,
IF(AND(H65&gt;=$J$5,H65&lt;=$K$5),$L$5,
IF(AND(H65&gt;=$J$6,H65&lt;=$K$6),$L$6,
IF(AND(H65&gt;=$J$7,H65&lt;=$K$7),$L$7,
IF(AND(H65&gt;=$J$8,H65&lt;=$K$8),$L$8,
IF(AND(H65&gt;=$J$9,H65&lt;=$K$9),$L$9,
IF(AND(H65&gt;=$J$10,H65&lt;=$K$10),$L$10,
IF(AND(H65&gt;=$J$11,H65&lt;=$K$11),$L$11)))))))))),
"")</f>
        <v/>
      </c>
    </row>
    <row r="66" spans="1:9" ht="18" x14ac:dyDescent="0.35">
      <c r="A66" s="30" t="str">
        <f>IF(NOT(ISBLANK(Curs!B70)),Curs!B70,"")</f>
        <v/>
      </c>
      <c r="B66" s="31" t="str">
        <f>IF(NOT(ISBLANK(Curs!C70)),Curs!C70,"")</f>
        <v/>
      </c>
      <c r="C66" s="10"/>
      <c r="D66" s="10"/>
      <c r="E66" s="10"/>
      <c r="F66" s="10"/>
      <c r="G66" s="10"/>
      <c r="H66" s="24" t="str">
        <f>IF(NOT(ISBLANK(Curs!C70)),ROUND(SUM(C66:G66),0),"")</f>
        <v/>
      </c>
      <c r="I66" s="23" t="str">
        <f>IF(NOT(ISBLANK(Curs!C70)),
IF(H66=0,"n/p",
IF(AND(H66&gt;=$J$3,H66&lt;=$K$3),$L$3,
IF(AND(H66&gt;=$J$4,H66&lt;=$K$4),$L$4,
IF(AND(H66&gt;=$J$5,H66&lt;=$K$5),$L$5,
IF(AND(H66&gt;=$J$6,H66&lt;=$K$6),$L$6,
IF(AND(H66&gt;=$J$7,H66&lt;=$K$7),$L$7,
IF(AND(H66&gt;=$J$8,H66&lt;=$K$8),$L$8,
IF(AND(H66&gt;=$J$9,H66&lt;=$K$9),$L$9,
IF(AND(H66&gt;=$J$10,H66&lt;=$K$10),$L$10,
IF(AND(H66&gt;=$J$11,H66&lt;=$K$11),$L$11)))))))))),
"")</f>
        <v/>
      </c>
    </row>
    <row r="67" spans="1:9" ht="18" x14ac:dyDescent="0.35">
      <c r="A67" s="30" t="str">
        <f>IF(NOT(ISBLANK(Curs!B71)),Curs!B71,"")</f>
        <v/>
      </c>
      <c r="B67" s="31" t="str">
        <f>IF(NOT(ISBLANK(Curs!C71)),Curs!C71,"")</f>
        <v/>
      </c>
      <c r="C67" s="10"/>
      <c r="D67" s="10"/>
      <c r="E67" s="10"/>
      <c r="F67" s="10"/>
      <c r="G67" s="10"/>
      <c r="H67" s="24" t="str">
        <f>IF(NOT(ISBLANK(Curs!C71)),ROUND(SUM(C67:G67),0),"")</f>
        <v/>
      </c>
      <c r="I67" s="23" t="str">
        <f>IF(NOT(ISBLANK(Curs!C71)),
IF(H67=0,"n/p",
IF(AND(H67&gt;=$J$3,H67&lt;=$K$3),$L$3,
IF(AND(H67&gt;=$J$4,H67&lt;=$K$4),$L$4,
IF(AND(H67&gt;=$J$5,H67&lt;=$K$5),$L$5,
IF(AND(H67&gt;=$J$6,H67&lt;=$K$6),$L$6,
IF(AND(H67&gt;=$J$7,H67&lt;=$K$7),$L$7,
IF(AND(H67&gt;=$J$8,H67&lt;=$K$8),$L$8,
IF(AND(H67&gt;=$J$9,H67&lt;=$K$9),$L$9,
IF(AND(H67&gt;=$J$10,H67&lt;=$K$10),$L$10,
IF(AND(H67&gt;=$J$11,H67&lt;=$K$11),$L$11)))))))))),
"")</f>
        <v/>
      </c>
    </row>
    <row r="68" spans="1:9" ht="18" x14ac:dyDescent="0.35">
      <c r="A68" s="30" t="str">
        <f>IF(NOT(ISBLANK(Curs!B72)),Curs!B72,"")</f>
        <v/>
      </c>
      <c r="B68" s="31" t="str">
        <f>IF(NOT(ISBLANK(Curs!C72)),Curs!C72,"")</f>
        <v/>
      </c>
      <c r="C68" s="10"/>
      <c r="D68" s="10"/>
      <c r="E68" s="10"/>
      <c r="F68" s="10"/>
      <c r="G68" s="10"/>
      <c r="H68" s="24" t="str">
        <f>IF(NOT(ISBLANK(Curs!C72)),ROUND(SUM(C68:G68),0),"")</f>
        <v/>
      </c>
      <c r="I68" s="23" t="str">
        <f>IF(NOT(ISBLANK(Curs!C72)),
IF(H68=0,"n/p",
IF(AND(H68&gt;=$J$3,H68&lt;=$K$3),$L$3,
IF(AND(H68&gt;=$J$4,H68&lt;=$K$4),$L$4,
IF(AND(H68&gt;=$J$5,H68&lt;=$K$5),$L$5,
IF(AND(H68&gt;=$J$6,H68&lt;=$K$6),$L$6,
IF(AND(H68&gt;=$J$7,H68&lt;=$K$7),$L$7,
IF(AND(H68&gt;=$J$8,H68&lt;=$K$8),$L$8,
IF(AND(H68&gt;=$J$9,H68&lt;=$K$9),$L$9,
IF(AND(H68&gt;=$J$10,H68&lt;=$K$10),$L$10,
IF(AND(H68&gt;=$J$11,H68&lt;=$K$11),$L$11)))))))))),
"")</f>
        <v/>
      </c>
    </row>
    <row r="69" spans="1:9" ht="18" x14ac:dyDescent="0.35">
      <c r="A69" s="30" t="str">
        <f>IF(NOT(ISBLANK(Curs!B73)),Curs!B73,"")</f>
        <v/>
      </c>
      <c r="B69" s="31" t="str">
        <f>IF(NOT(ISBLANK(Curs!C73)),Curs!C73,"")</f>
        <v/>
      </c>
      <c r="C69" s="10"/>
      <c r="D69" s="10"/>
      <c r="E69" s="10"/>
      <c r="F69" s="10"/>
      <c r="G69" s="10"/>
      <c r="H69" s="24" t="str">
        <f>IF(NOT(ISBLANK(Curs!C73)),ROUND(SUM(C69:G69),0),"")</f>
        <v/>
      </c>
      <c r="I69" s="23" t="str">
        <f>IF(NOT(ISBLANK(Curs!C73)),
IF(H69=0,"n/p",
IF(AND(H69&gt;=$J$3,H69&lt;=$K$3),$L$3,
IF(AND(H69&gt;=$J$4,H69&lt;=$K$4),$L$4,
IF(AND(H69&gt;=$J$5,H69&lt;=$K$5),$L$5,
IF(AND(H69&gt;=$J$6,H69&lt;=$K$6),$L$6,
IF(AND(H69&gt;=$J$7,H69&lt;=$K$7),$L$7,
IF(AND(H69&gt;=$J$8,H69&lt;=$K$8),$L$8,
IF(AND(H69&gt;=$J$9,H69&lt;=$K$9),$L$9,
IF(AND(H69&gt;=$J$10,H69&lt;=$K$10),$L$10,
IF(AND(H69&gt;=$J$11,H69&lt;=$K$11),$L$11)))))))))),
"")</f>
        <v/>
      </c>
    </row>
    <row r="70" spans="1:9" ht="18" x14ac:dyDescent="0.35">
      <c r="A70" s="30" t="str">
        <f>IF(NOT(ISBLANK(Curs!B74)),Curs!B74,"")</f>
        <v/>
      </c>
      <c r="B70" s="31" t="str">
        <f>IF(NOT(ISBLANK(Curs!C74)),Curs!C74,"")</f>
        <v/>
      </c>
      <c r="C70" s="10"/>
      <c r="D70" s="10"/>
      <c r="E70" s="10"/>
      <c r="F70" s="10"/>
      <c r="G70" s="10"/>
      <c r="H70" s="24" t="str">
        <f>IF(NOT(ISBLANK(Curs!C74)),ROUND(SUM(C70:G70),0),"")</f>
        <v/>
      </c>
      <c r="I70" s="23" t="str">
        <f>IF(NOT(ISBLANK(Curs!C74)),
IF(H70=0,"n/p",
IF(AND(H70&gt;=$J$3,H70&lt;=$K$3),$L$3,
IF(AND(H70&gt;=$J$4,H70&lt;=$K$4),$L$4,
IF(AND(H70&gt;=$J$5,H70&lt;=$K$5),$L$5,
IF(AND(H70&gt;=$J$6,H70&lt;=$K$6),$L$6,
IF(AND(H70&gt;=$J$7,H70&lt;=$K$7),$L$7,
IF(AND(H70&gt;=$J$8,H70&lt;=$K$8),$L$8,
IF(AND(H70&gt;=$J$9,H70&lt;=$K$9),$L$9,
IF(AND(H70&gt;=$J$10,H70&lt;=$K$10),$L$10,
IF(AND(H70&gt;=$J$11,H70&lt;=$K$11),$L$11)))))))))),
"")</f>
        <v/>
      </c>
    </row>
    <row r="71" spans="1:9" ht="18" x14ac:dyDescent="0.35">
      <c r="A71" s="30" t="str">
        <f>IF(NOT(ISBLANK(Curs!B75)),Curs!B75,"")</f>
        <v/>
      </c>
      <c r="B71" s="31" t="str">
        <f>IF(NOT(ISBLANK(Curs!C75)),Curs!C75,"")</f>
        <v/>
      </c>
      <c r="C71" s="10"/>
      <c r="D71" s="10"/>
      <c r="E71" s="10"/>
      <c r="F71" s="10"/>
      <c r="G71" s="10"/>
      <c r="H71" s="24" t="str">
        <f>IF(NOT(ISBLANK(Curs!C75)),ROUND(SUM(C71:G71),0),"")</f>
        <v/>
      </c>
      <c r="I71" s="23" t="str">
        <f>IF(NOT(ISBLANK(Curs!C75)),
IF(H71=0,"n/p",
IF(AND(H71&gt;=$J$3,H71&lt;=$K$3),$L$3,
IF(AND(H71&gt;=$J$4,H71&lt;=$K$4),$L$4,
IF(AND(H71&gt;=$J$5,H71&lt;=$K$5),$L$5,
IF(AND(H71&gt;=$J$6,H71&lt;=$K$6),$L$6,
IF(AND(H71&gt;=$J$7,H71&lt;=$K$7),$L$7,
IF(AND(H71&gt;=$J$8,H71&lt;=$K$8),$L$8,
IF(AND(H71&gt;=$J$9,H71&lt;=$K$9),$L$9,
IF(AND(H71&gt;=$J$10,H71&lt;=$K$10),$L$10,
IF(AND(H71&gt;=$J$11,H71&lt;=$K$11),$L$11)))))))))),
"")</f>
        <v/>
      </c>
    </row>
    <row r="72" spans="1:9" ht="18" x14ac:dyDescent="0.35">
      <c r="A72" s="30" t="str">
        <f>IF(NOT(ISBLANK(Curs!B76)),Curs!B76,"")</f>
        <v/>
      </c>
      <c r="B72" s="31" t="str">
        <f>IF(NOT(ISBLANK(Curs!C76)),Curs!C76,"")</f>
        <v/>
      </c>
      <c r="C72" s="10"/>
      <c r="D72" s="10"/>
      <c r="E72" s="10"/>
      <c r="F72" s="10"/>
      <c r="G72" s="10"/>
      <c r="H72" s="24" t="str">
        <f>IF(NOT(ISBLANK(Curs!C76)),ROUND(SUM(C72:G72),0),"")</f>
        <v/>
      </c>
      <c r="I72" s="23" t="str">
        <f>IF(NOT(ISBLANK(Curs!C76)),
IF(H72=0,"n/p",
IF(AND(H72&gt;=$J$3,H72&lt;=$K$3),$L$3,
IF(AND(H72&gt;=$J$4,H72&lt;=$K$4),$L$4,
IF(AND(H72&gt;=$J$5,H72&lt;=$K$5),$L$5,
IF(AND(H72&gt;=$J$6,H72&lt;=$K$6),$L$6,
IF(AND(H72&gt;=$J$7,H72&lt;=$K$7),$L$7,
IF(AND(H72&gt;=$J$8,H72&lt;=$K$8),$L$8,
IF(AND(H72&gt;=$J$9,H72&lt;=$K$9),$L$9,
IF(AND(H72&gt;=$J$10,H72&lt;=$K$10),$L$10,
IF(AND(H72&gt;=$J$11,H72&lt;=$K$11),$L$11)))))))))),
"")</f>
        <v/>
      </c>
    </row>
    <row r="73" spans="1:9" ht="18" x14ac:dyDescent="0.35">
      <c r="A73" s="30" t="str">
        <f>IF(NOT(ISBLANK(Curs!B77)),Curs!B77,"")</f>
        <v/>
      </c>
      <c r="B73" s="31" t="str">
        <f>IF(NOT(ISBLANK(Curs!C77)),Curs!C77,"")</f>
        <v/>
      </c>
      <c r="C73" s="10"/>
      <c r="D73" s="10"/>
      <c r="E73" s="10"/>
      <c r="F73" s="10"/>
      <c r="G73" s="10"/>
      <c r="H73" s="24" t="str">
        <f>IF(NOT(ISBLANK(Curs!C77)),ROUND(SUM(C73:G73),0),"")</f>
        <v/>
      </c>
      <c r="I73" s="23" t="str">
        <f>IF(NOT(ISBLANK(Curs!C77)),
IF(H73=0,"n/p",
IF(AND(H73&gt;=$J$3,H73&lt;=$K$3),$L$3,
IF(AND(H73&gt;=$J$4,H73&lt;=$K$4),$L$4,
IF(AND(H73&gt;=$J$5,H73&lt;=$K$5),$L$5,
IF(AND(H73&gt;=$J$6,H73&lt;=$K$6),$L$6,
IF(AND(H73&gt;=$J$7,H73&lt;=$K$7),$L$7,
IF(AND(H73&gt;=$J$8,H73&lt;=$K$8),$L$8,
IF(AND(H73&gt;=$J$9,H73&lt;=$K$9),$L$9,
IF(AND(H73&gt;=$J$10,H73&lt;=$K$10),$L$10,
IF(AND(H73&gt;=$J$11,H73&lt;=$K$11),$L$11)))))))))),
"")</f>
        <v/>
      </c>
    </row>
    <row r="74" spans="1:9" ht="18" x14ac:dyDescent="0.35">
      <c r="A74" s="30" t="str">
        <f>IF(NOT(ISBLANK(Curs!B78)),Curs!B78,"")</f>
        <v/>
      </c>
      <c r="B74" s="31" t="str">
        <f>IF(NOT(ISBLANK(Curs!C78)),Curs!C78,"")</f>
        <v/>
      </c>
      <c r="C74" s="10"/>
      <c r="D74" s="10"/>
      <c r="E74" s="10"/>
      <c r="F74" s="10"/>
      <c r="G74" s="10"/>
      <c r="H74" s="24" t="str">
        <f>IF(NOT(ISBLANK(Curs!C78)),ROUND(SUM(C74:G74),0),"")</f>
        <v/>
      </c>
      <c r="I74" s="23" t="str">
        <f>IF(NOT(ISBLANK(Curs!C78)),
IF(H74=0,"n/p",
IF(AND(H74&gt;=$J$3,H74&lt;=$K$3),$L$3,
IF(AND(H74&gt;=$J$4,H74&lt;=$K$4),$L$4,
IF(AND(H74&gt;=$J$5,H74&lt;=$K$5),$L$5,
IF(AND(H74&gt;=$J$6,H74&lt;=$K$6),$L$6,
IF(AND(H74&gt;=$J$7,H74&lt;=$K$7),$L$7,
IF(AND(H74&gt;=$J$8,H74&lt;=$K$8),$L$8,
IF(AND(H74&gt;=$J$9,H74&lt;=$K$9),$L$9,
IF(AND(H74&gt;=$J$10,H74&lt;=$K$10),$L$10,
IF(AND(H74&gt;=$J$11,H74&lt;=$K$11),$L$11)))))))))),
"")</f>
        <v/>
      </c>
    </row>
    <row r="75" spans="1:9" ht="18" x14ac:dyDescent="0.35">
      <c r="A75" s="30" t="str">
        <f>IF(NOT(ISBLANK(Curs!B79)),Curs!B79,"")</f>
        <v/>
      </c>
      <c r="B75" s="31" t="str">
        <f>IF(NOT(ISBLANK(Curs!C79)),Curs!C79,"")</f>
        <v/>
      </c>
      <c r="C75" s="10"/>
      <c r="D75" s="10"/>
      <c r="E75" s="10"/>
      <c r="F75" s="10"/>
      <c r="G75" s="10"/>
      <c r="H75" s="24" t="str">
        <f>IF(NOT(ISBLANK(Curs!C79)),ROUND(SUM(C75:G75),0),"")</f>
        <v/>
      </c>
      <c r="I75" s="23" t="str">
        <f>IF(NOT(ISBLANK(Curs!C79)),
IF(H75=0,"n/p",
IF(AND(H75&gt;=$J$3,H75&lt;=$K$3),$L$3,
IF(AND(H75&gt;=$J$4,H75&lt;=$K$4),$L$4,
IF(AND(H75&gt;=$J$5,H75&lt;=$K$5),$L$5,
IF(AND(H75&gt;=$J$6,H75&lt;=$K$6),$L$6,
IF(AND(H75&gt;=$J$7,H75&lt;=$K$7),$L$7,
IF(AND(H75&gt;=$J$8,H75&lt;=$K$8),$L$8,
IF(AND(H75&gt;=$J$9,H75&lt;=$K$9),$L$9,
IF(AND(H75&gt;=$J$10,H75&lt;=$K$10),$L$10,
IF(AND(H75&gt;=$J$11,H75&lt;=$K$11),$L$11)))))))))),
"")</f>
        <v/>
      </c>
    </row>
    <row r="76" spans="1:9" ht="18" x14ac:dyDescent="0.35">
      <c r="A76" s="30" t="str">
        <f>IF(NOT(ISBLANK(Curs!B80)),Curs!B80,"")</f>
        <v/>
      </c>
      <c r="B76" s="31" t="str">
        <f>IF(NOT(ISBLANK(Curs!C80)),Curs!C80,"")</f>
        <v/>
      </c>
      <c r="C76" s="10"/>
      <c r="D76" s="10"/>
      <c r="E76" s="10"/>
      <c r="F76" s="10"/>
      <c r="G76" s="10"/>
      <c r="H76" s="24" t="str">
        <f>IF(NOT(ISBLANK(Curs!C80)),ROUND(SUM(C76:G76),0),"")</f>
        <v/>
      </c>
      <c r="I76" s="23" t="str">
        <f>IF(NOT(ISBLANK(Curs!C80)),
IF(H76=0,"n/p",
IF(AND(H76&gt;=$J$3,H76&lt;=$K$3),$L$3,
IF(AND(H76&gt;=$J$4,H76&lt;=$K$4),$L$4,
IF(AND(H76&gt;=$J$5,H76&lt;=$K$5),$L$5,
IF(AND(H76&gt;=$J$6,H76&lt;=$K$6),$L$6,
IF(AND(H76&gt;=$J$7,H76&lt;=$K$7),$L$7,
IF(AND(H76&gt;=$J$8,H76&lt;=$K$8),$L$8,
IF(AND(H76&gt;=$J$9,H76&lt;=$K$9),$L$9,
IF(AND(H76&gt;=$J$10,H76&lt;=$K$10),$L$10,
IF(AND(H76&gt;=$J$11,H76&lt;=$K$11),$L$11)))))))))),
"")</f>
        <v/>
      </c>
    </row>
    <row r="77" spans="1:9" ht="18" x14ac:dyDescent="0.35">
      <c r="A77" s="30" t="str">
        <f>IF(NOT(ISBLANK(Curs!B81)),Curs!B81,"")</f>
        <v/>
      </c>
      <c r="B77" s="31" t="str">
        <f>IF(NOT(ISBLANK(Curs!C81)),Curs!C81,"")</f>
        <v/>
      </c>
      <c r="C77" s="10"/>
      <c r="D77" s="10"/>
      <c r="E77" s="10"/>
      <c r="F77" s="10"/>
      <c r="G77" s="10"/>
      <c r="H77" s="24" t="str">
        <f>IF(NOT(ISBLANK(Curs!C81)),ROUND(SUM(C77:G77),0),"")</f>
        <v/>
      </c>
      <c r="I77" s="23" t="str">
        <f>IF(NOT(ISBLANK(Curs!C81)),
IF(H77=0,"n/p",
IF(AND(H77&gt;=$J$3,H77&lt;=$K$3),$L$3,
IF(AND(H77&gt;=$J$4,H77&lt;=$K$4),$L$4,
IF(AND(H77&gt;=$J$5,H77&lt;=$K$5),$L$5,
IF(AND(H77&gt;=$J$6,H77&lt;=$K$6),$L$6,
IF(AND(H77&gt;=$J$7,H77&lt;=$K$7),$L$7,
IF(AND(H77&gt;=$J$8,H77&lt;=$K$8),$L$8,
IF(AND(H77&gt;=$J$9,H77&lt;=$K$9),$L$9,
IF(AND(H77&gt;=$J$10,H77&lt;=$K$10),$L$10,
IF(AND(H77&gt;=$J$11,H77&lt;=$K$11),$L$11)))))))))),
"")</f>
        <v/>
      </c>
    </row>
    <row r="78" spans="1:9" ht="18" x14ac:dyDescent="0.35">
      <c r="A78" s="30" t="str">
        <f>IF(NOT(ISBLANK(Curs!B82)),Curs!B82,"")</f>
        <v/>
      </c>
      <c r="B78" s="31" t="str">
        <f>IF(NOT(ISBLANK(Curs!C82)),Curs!C82,"")</f>
        <v/>
      </c>
      <c r="C78" s="10"/>
      <c r="D78" s="10"/>
      <c r="E78" s="10"/>
      <c r="F78" s="10"/>
      <c r="G78" s="10"/>
      <c r="H78" s="24" t="str">
        <f>IF(NOT(ISBLANK(Curs!C82)),ROUND(SUM(C78:G78),0),"")</f>
        <v/>
      </c>
      <c r="I78" s="23" t="str">
        <f>IF(NOT(ISBLANK(Curs!C82)),
IF(H78=0,"n/p",
IF(AND(H78&gt;=$J$3,H78&lt;=$K$3),$L$3,
IF(AND(H78&gt;=$J$4,H78&lt;=$K$4),$L$4,
IF(AND(H78&gt;=$J$5,H78&lt;=$K$5),$L$5,
IF(AND(H78&gt;=$J$6,H78&lt;=$K$6),$L$6,
IF(AND(H78&gt;=$J$7,H78&lt;=$K$7),$L$7,
IF(AND(H78&gt;=$J$8,H78&lt;=$K$8),$L$8,
IF(AND(H78&gt;=$J$9,H78&lt;=$K$9),$L$9,
IF(AND(H78&gt;=$J$10,H78&lt;=$K$10),$L$10,
IF(AND(H78&gt;=$J$11,H78&lt;=$K$11),$L$11)))))))))),
"")</f>
        <v/>
      </c>
    </row>
    <row r="79" spans="1:9" ht="18" x14ac:dyDescent="0.35">
      <c r="A79" s="30" t="str">
        <f>IF(NOT(ISBLANK(Curs!B83)),Curs!B83,"")</f>
        <v/>
      </c>
      <c r="B79" s="31" t="str">
        <f>IF(NOT(ISBLANK(Curs!C83)),Curs!C83,"")</f>
        <v/>
      </c>
      <c r="C79" s="10"/>
      <c r="D79" s="10"/>
      <c r="E79" s="10"/>
      <c r="F79" s="10"/>
      <c r="G79" s="10"/>
      <c r="H79" s="24" t="str">
        <f>IF(NOT(ISBLANK(Curs!C83)),ROUND(SUM(C79:G79),0),"")</f>
        <v/>
      </c>
      <c r="I79" s="23" t="str">
        <f>IF(NOT(ISBLANK(Curs!C83)),
IF(H79=0,"n/p",
IF(AND(H79&gt;=$J$3,H79&lt;=$K$3),$L$3,
IF(AND(H79&gt;=$J$4,H79&lt;=$K$4),$L$4,
IF(AND(H79&gt;=$J$5,H79&lt;=$K$5),$L$5,
IF(AND(H79&gt;=$J$6,H79&lt;=$K$6),$L$6,
IF(AND(H79&gt;=$J$7,H79&lt;=$K$7),$L$7,
IF(AND(H79&gt;=$J$8,H79&lt;=$K$8),$L$8,
IF(AND(H79&gt;=$J$9,H79&lt;=$K$9),$L$9,
IF(AND(H79&gt;=$J$10,H79&lt;=$K$10),$L$10,
IF(AND(H79&gt;=$J$11,H79&lt;=$K$11),$L$11)))))))))),
"")</f>
        <v/>
      </c>
    </row>
    <row r="80" spans="1:9" ht="18" x14ac:dyDescent="0.35">
      <c r="A80" s="30" t="str">
        <f>IF(NOT(ISBLANK(Curs!B84)),Curs!B84,"")</f>
        <v/>
      </c>
      <c r="B80" s="31" t="str">
        <f>IF(NOT(ISBLANK(Curs!C84)),Curs!C84,"")</f>
        <v/>
      </c>
      <c r="C80" s="10"/>
      <c r="D80" s="10"/>
      <c r="E80" s="10"/>
      <c r="F80" s="10"/>
      <c r="G80" s="10"/>
      <c r="H80" s="24" t="str">
        <f>IF(NOT(ISBLANK(Curs!C84)),ROUND(SUM(C80:G80),0),"")</f>
        <v/>
      </c>
      <c r="I80" s="23" t="str">
        <f>IF(NOT(ISBLANK(Curs!C84)),
IF(H80=0,"n/p",
IF(AND(H80&gt;=$J$3,H80&lt;=$K$3),$L$3,
IF(AND(H80&gt;=$J$4,H80&lt;=$K$4),$L$4,
IF(AND(H80&gt;=$J$5,H80&lt;=$K$5),$L$5,
IF(AND(H80&gt;=$J$6,H80&lt;=$K$6),$L$6,
IF(AND(H80&gt;=$J$7,H80&lt;=$K$7),$L$7,
IF(AND(H80&gt;=$J$8,H80&lt;=$K$8),$L$8,
IF(AND(H80&gt;=$J$9,H80&lt;=$K$9),$L$9,
IF(AND(H80&gt;=$J$10,H80&lt;=$K$10),$L$10,
IF(AND(H80&gt;=$J$11,H80&lt;=$K$11),$L$11)))))))))),
"")</f>
        <v/>
      </c>
    </row>
    <row r="81" spans="1:9" ht="18" x14ac:dyDescent="0.35">
      <c r="A81" s="30" t="str">
        <f>IF(NOT(ISBLANK(Curs!B85)),Curs!B85,"")</f>
        <v/>
      </c>
      <c r="B81" s="31" t="str">
        <f>IF(NOT(ISBLANK(Curs!C85)),Curs!C85,"")</f>
        <v/>
      </c>
      <c r="C81" s="10"/>
      <c r="D81" s="10"/>
      <c r="E81" s="10"/>
      <c r="F81" s="10"/>
      <c r="G81" s="10"/>
      <c r="H81" s="24" t="str">
        <f>IF(NOT(ISBLANK(Curs!C85)),ROUND(SUM(C81:G81),0),"")</f>
        <v/>
      </c>
      <c r="I81" s="23" t="str">
        <f>IF(NOT(ISBLANK(Curs!C85)),
IF(H81=0,"n/p",
IF(AND(H81&gt;=$J$3,H81&lt;=$K$3),$L$3,
IF(AND(H81&gt;=$J$4,H81&lt;=$K$4),$L$4,
IF(AND(H81&gt;=$J$5,H81&lt;=$K$5),$L$5,
IF(AND(H81&gt;=$J$6,H81&lt;=$K$6),$L$6,
IF(AND(H81&gt;=$J$7,H81&lt;=$K$7),$L$7,
IF(AND(H81&gt;=$J$8,H81&lt;=$K$8),$L$8,
IF(AND(H81&gt;=$J$9,H81&lt;=$K$9),$L$9,
IF(AND(H81&gt;=$J$10,H81&lt;=$K$10),$L$10,
IF(AND(H81&gt;=$J$11,H81&lt;=$K$11),$L$11)))))))))),
"")</f>
        <v/>
      </c>
    </row>
    <row r="82" spans="1:9" ht="18" x14ac:dyDescent="0.35">
      <c r="A82" s="30" t="str">
        <f>IF(NOT(ISBLANK(Curs!B86)),Curs!B86,"")</f>
        <v/>
      </c>
      <c r="B82" s="31" t="str">
        <f>IF(NOT(ISBLANK(Curs!C86)),Curs!C86,"")</f>
        <v/>
      </c>
      <c r="C82" s="10"/>
      <c r="D82" s="10"/>
      <c r="E82" s="10"/>
      <c r="F82" s="10"/>
      <c r="G82" s="10"/>
      <c r="H82" s="24" t="str">
        <f>IF(NOT(ISBLANK(Curs!C86)),ROUND(SUM(C82:G82),0),"")</f>
        <v/>
      </c>
      <c r="I82" s="23" t="str">
        <f>IF(NOT(ISBLANK(Curs!C86)),
IF(H82=0,"n/p",
IF(AND(H82&gt;=$J$3,H82&lt;=$K$3),$L$3,
IF(AND(H82&gt;=$J$4,H82&lt;=$K$4),$L$4,
IF(AND(H82&gt;=$J$5,H82&lt;=$K$5),$L$5,
IF(AND(H82&gt;=$J$6,H82&lt;=$K$6),$L$6,
IF(AND(H82&gt;=$J$7,H82&lt;=$K$7),$L$7,
IF(AND(H82&gt;=$J$8,H82&lt;=$K$8),$L$8,
IF(AND(H82&gt;=$J$9,H82&lt;=$K$9),$L$9,
IF(AND(H82&gt;=$J$10,H82&lt;=$K$10),$L$10,
IF(AND(H82&gt;=$J$11,H82&lt;=$K$11),$L$11)))))))))),
"")</f>
        <v/>
      </c>
    </row>
    <row r="83" spans="1:9" ht="18" x14ac:dyDescent="0.35">
      <c r="A83" s="30" t="str">
        <f>IF(NOT(ISBLANK(Curs!B87)),Curs!B87,"")</f>
        <v/>
      </c>
      <c r="B83" s="31" t="str">
        <f>IF(NOT(ISBLANK(Curs!C87)),Curs!C87,"")</f>
        <v/>
      </c>
      <c r="C83" s="10"/>
      <c r="D83" s="10"/>
      <c r="E83" s="10"/>
      <c r="F83" s="10"/>
      <c r="G83" s="10"/>
      <c r="H83" s="24" t="str">
        <f>IF(NOT(ISBLANK(Curs!C87)),ROUND(SUM(C83:G83),0),"")</f>
        <v/>
      </c>
      <c r="I83" s="23" t="str">
        <f>IF(NOT(ISBLANK(Curs!C87)),
IF(H83=0,"n/p",
IF(AND(H83&gt;=$J$3,H83&lt;=$K$3),$L$3,
IF(AND(H83&gt;=$J$4,H83&lt;=$K$4),$L$4,
IF(AND(H83&gt;=$J$5,H83&lt;=$K$5),$L$5,
IF(AND(H83&gt;=$J$6,H83&lt;=$K$6),$L$6,
IF(AND(H83&gt;=$J$7,H83&lt;=$K$7),$L$7,
IF(AND(H83&gt;=$J$8,H83&lt;=$K$8),$L$8,
IF(AND(H83&gt;=$J$9,H83&lt;=$K$9),$L$9,
IF(AND(H83&gt;=$J$10,H83&lt;=$K$10),$L$10,
IF(AND(H83&gt;=$J$11,H83&lt;=$K$11),$L$11)))))))))),
"")</f>
        <v/>
      </c>
    </row>
    <row r="84" spans="1:9" ht="18" x14ac:dyDescent="0.35">
      <c r="A84" s="30" t="str">
        <f>IF(NOT(ISBLANK(Curs!B88)),Curs!B88,"")</f>
        <v/>
      </c>
      <c r="B84" s="31" t="str">
        <f>IF(NOT(ISBLANK(Curs!C88)),Curs!C88,"")</f>
        <v/>
      </c>
      <c r="C84" s="10"/>
      <c r="D84" s="10"/>
      <c r="E84" s="10"/>
      <c r="F84" s="10"/>
      <c r="G84" s="10"/>
      <c r="H84" s="24" t="str">
        <f>IF(NOT(ISBLANK(Curs!C88)),ROUND(SUM(C84:G84),0),"")</f>
        <v/>
      </c>
      <c r="I84" s="23" t="str">
        <f>IF(NOT(ISBLANK(Curs!C88)),
IF(H84=0,"n/p",
IF(AND(H84&gt;=$J$3,H84&lt;=$K$3),$L$3,
IF(AND(H84&gt;=$J$4,H84&lt;=$K$4),$L$4,
IF(AND(H84&gt;=$J$5,H84&lt;=$K$5),$L$5,
IF(AND(H84&gt;=$J$6,H84&lt;=$K$6),$L$6,
IF(AND(H84&gt;=$J$7,H84&lt;=$K$7),$L$7,
IF(AND(H84&gt;=$J$8,H84&lt;=$K$8),$L$8,
IF(AND(H84&gt;=$J$9,H84&lt;=$K$9),$L$9,
IF(AND(H84&gt;=$J$10,H84&lt;=$K$10),$L$10,
IF(AND(H84&gt;=$J$11,H84&lt;=$K$11),$L$11)))))))))),
"")</f>
        <v/>
      </c>
    </row>
    <row r="85" spans="1:9" ht="18" x14ac:dyDescent="0.35">
      <c r="A85" s="30" t="str">
        <f>IF(NOT(ISBLANK(Curs!B89)),Curs!B89,"")</f>
        <v/>
      </c>
      <c r="B85" s="31" t="str">
        <f>IF(NOT(ISBLANK(Curs!C89)),Curs!C89,"")</f>
        <v/>
      </c>
      <c r="C85" s="10"/>
      <c r="D85" s="10"/>
      <c r="E85" s="10"/>
      <c r="F85" s="10"/>
      <c r="G85" s="10"/>
      <c r="H85" s="24" t="str">
        <f>IF(NOT(ISBLANK(Curs!C89)),ROUND(SUM(C85:G85),0),"")</f>
        <v/>
      </c>
      <c r="I85" s="23" t="str">
        <f>IF(NOT(ISBLANK(Curs!C89)),
IF(H85=0,"n/p",
IF(AND(H85&gt;=$J$3,H85&lt;=$K$3),$L$3,
IF(AND(H85&gt;=$J$4,H85&lt;=$K$4),$L$4,
IF(AND(H85&gt;=$J$5,H85&lt;=$K$5),$L$5,
IF(AND(H85&gt;=$J$6,H85&lt;=$K$6),$L$6,
IF(AND(H85&gt;=$J$7,H85&lt;=$K$7),$L$7,
IF(AND(H85&gt;=$J$8,H85&lt;=$K$8),$L$8,
IF(AND(H85&gt;=$J$9,H85&lt;=$K$9),$L$9,
IF(AND(H85&gt;=$J$10,H85&lt;=$K$10),$L$10,
IF(AND(H85&gt;=$J$11,H85&lt;=$K$11),$L$11)))))))))),
"")</f>
        <v/>
      </c>
    </row>
    <row r="86" spans="1:9" ht="18" x14ac:dyDescent="0.35">
      <c r="A86" s="30" t="str">
        <f>IF(NOT(ISBLANK(Curs!B90)),Curs!B90,"")</f>
        <v/>
      </c>
      <c r="B86" s="31" t="str">
        <f>IF(NOT(ISBLANK(Curs!C90)),Curs!C90,"")</f>
        <v/>
      </c>
      <c r="C86" s="10"/>
      <c r="D86" s="10"/>
      <c r="E86" s="10"/>
      <c r="F86" s="10"/>
      <c r="G86" s="10"/>
      <c r="H86" s="24" t="str">
        <f>IF(NOT(ISBLANK(Curs!C90)),ROUND(SUM(C86:G86),0),"")</f>
        <v/>
      </c>
      <c r="I86" s="23" t="str">
        <f>IF(NOT(ISBLANK(Curs!C90)),
IF(H86=0,"n/p",
IF(AND(H86&gt;=$J$3,H86&lt;=$K$3),$L$3,
IF(AND(H86&gt;=$J$4,H86&lt;=$K$4),$L$4,
IF(AND(H86&gt;=$J$5,H86&lt;=$K$5),$L$5,
IF(AND(H86&gt;=$J$6,H86&lt;=$K$6),$L$6,
IF(AND(H86&gt;=$J$7,H86&lt;=$K$7),$L$7,
IF(AND(H86&gt;=$J$8,H86&lt;=$K$8),$L$8,
IF(AND(H86&gt;=$J$9,H86&lt;=$K$9),$L$9,
IF(AND(H86&gt;=$J$10,H86&lt;=$K$10),$L$10,
IF(AND(H86&gt;=$J$11,H86&lt;=$K$11),$L$11)))))))))),
"")</f>
        <v/>
      </c>
    </row>
    <row r="87" spans="1:9" ht="18" x14ac:dyDescent="0.35">
      <c r="A87" s="30" t="str">
        <f>IF(NOT(ISBLANK(Curs!B91)),Curs!B91,"")</f>
        <v/>
      </c>
      <c r="B87" s="31" t="str">
        <f>IF(NOT(ISBLANK(Curs!C91)),Curs!C91,"")</f>
        <v/>
      </c>
      <c r="C87" s="10"/>
      <c r="D87" s="10"/>
      <c r="E87" s="10"/>
      <c r="F87" s="10"/>
      <c r="G87" s="10"/>
      <c r="H87" s="24" t="str">
        <f>IF(NOT(ISBLANK(Curs!C91)),ROUND(SUM(C87:G87),0),"")</f>
        <v/>
      </c>
      <c r="I87" s="23" t="str">
        <f>IF(NOT(ISBLANK(Curs!C91)),
IF(H87=0,"n/p",
IF(AND(H87&gt;=$J$3,H87&lt;=$K$3),$L$3,
IF(AND(H87&gt;=$J$4,H87&lt;=$K$4),$L$4,
IF(AND(H87&gt;=$J$5,H87&lt;=$K$5),$L$5,
IF(AND(H87&gt;=$J$6,H87&lt;=$K$6),$L$6,
IF(AND(H87&gt;=$J$7,H87&lt;=$K$7),$L$7,
IF(AND(H87&gt;=$J$8,H87&lt;=$K$8),$L$8,
IF(AND(H87&gt;=$J$9,H87&lt;=$K$9),$L$9,
IF(AND(H87&gt;=$J$10,H87&lt;=$K$10),$L$10,
IF(AND(H87&gt;=$J$11,H87&lt;=$K$11),$L$11)))))))))),
"")</f>
        <v/>
      </c>
    </row>
    <row r="88" spans="1:9" ht="18" x14ac:dyDescent="0.35">
      <c r="A88" s="30" t="str">
        <f>IF(NOT(ISBLANK(Curs!B92)),Curs!B92,"")</f>
        <v/>
      </c>
      <c r="B88" s="31" t="str">
        <f>IF(NOT(ISBLANK(Curs!C92)),Curs!C92,"")</f>
        <v/>
      </c>
      <c r="C88" s="10"/>
      <c r="D88" s="10"/>
      <c r="E88" s="10"/>
      <c r="F88" s="10"/>
      <c r="G88" s="10"/>
      <c r="H88" s="24" t="str">
        <f>IF(NOT(ISBLANK(Curs!C92)),ROUND(SUM(C88:G88),0),"")</f>
        <v/>
      </c>
      <c r="I88" s="23" t="str">
        <f>IF(NOT(ISBLANK(Curs!C92)),
IF(H88=0,"n/p",
IF(AND(H88&gt;=$J$3,H88&lt;=$K$3),$L$3,
IF(AND(H88&gt;=$J$4,H88&lt;=$K$4),$L$4,
IF(AND(H88&gt;=$J$5,H88&lt;=$K$5),$L$5,
IF(AND(H88&gt;=$J$6,H88&lt;=$K$6),$L$6,
IF(AND(H88&gt;=$J$7,H88&lt;=$K$7),$L$7,
IF(AND(H88&gt;=$J$8,H88&lt;=$K$8),$L$8,
IF(AND(H88&gt;=$J$9,H88&lt;=$K$9),$L$9,
IF(AND(H88&gt;=$J$10,H88&lt;=$K$10),$L$10,
IF(AND(H88&gt;=$J$11,H88&lt;=$K$11),$L$11)))))))))),
"")</f>
        <v/>
      </c>
    </row>
    <row r="89" spans="1:9" ht="18" x14ac:dyDescent="0.35">
      <c r="A89" s="30" t="str">
        <f>IF(NOT(ISBLANK(Curs!B93)),Curs!B93,"")</f>
        <v/>
      </c>
      <c r="B89" s="31" t="str">
        <f>IF(NOT(ISBLANK(Curs!C93)),Curs!C93,"")</f>
        <v/>
      </c>
      <c r="C89" s="10"/>
      <c r="D89" s="10"/>
      <c r="E89" s="10"/>
      <c r="F89" s="10"/>
      <c r="G89" s="10"/>
      <c r="H89" s="24" t="str">
        <f>IF(NOT(ISBLANK(Curs!C93)),ROUND(SUM(C89:G89),0),"")</f>
        <v/>
      </c>
      <c r="I89" s="23" t="str">
        <f>IF(NOT(ISBLANK(Curs!C93)),
IF(H89=0,"n/p",
IF(AND(H89&gt;=$J$3,H89&lt;=$K$3),$L$3,
IF(AND(H89&gt;=$J$4,H89&lt;=$K$4),$L$4,
IF(AND(H89&gt;=$J$5,H89&lt;=$K$5),$L$5,
IF(AND(H89&gt;=$J$6,H89&lt;=$K$6),$L$6,
IF(AND(H89&gt;=$J$7,H89&lt;=$K$7),$L$7,
IF(AND(H89&gt;=$J$8,H89&lt;=$K$8),$L$8,
IF(AND(H89&gt;=$J$9,H89&lt;=$K$9),$L$9,
IF(AND(H89&gt;=$J$10,H89&lt;=$K$10),$L$10,
IF(AND(H89&gt;=$J$11,H89&lt;=$K$11),$L$11)))))))))),
"")</f>
        <v/>
      </c>
    </row>
    <row r="90" spans="1:9" ht="18" x14ac:dyDescent="0.35">
      <c r="A90" s="30" t="str">
        <f>IF(NOT(ISBLANK(Curs!B94)),Curs!B94,"")</f>
        <v/>
      </c>
      <c r="B90" s="31" t="str">
        <f>IF(NOT(ISBLANK(Curs!C94)),Curs!C94,"")</f>
        <v/>
      </c>
      <c r="C90" s="10"/>
      <c r="D90" s="10"/>
      <c r="E90" s="10"/>
      <c r="F90" s="10"/>
      <c r="G90" s="10"/>
      <c r="H90" s="24" t="str">
        <f>IF(NOT(ISBLANK(Curs!C94)),ROUND(SUM(C90:G90),0),"")</f>
        <v/>
      </c>
      <c r="I90" s="23" t="str">
        <f>IF(NOT(ISBLANK(Curs!C94)),
IF(H90=0,"n/p",
IF(AND(H90&gt;=$J$3,H90&lt;=$K$3),$L$3,
IF(AND(H90&gt;=$J$4,H90&lt;=$K$4),$L$4,
IF(AND(H90&gt;=$J$5,H90&lt;=$K$5),$L$5,
IF(AND(H90&gt;=$J$6,H90&lt;=$K$6),$L$6,
IF(AND(H90&gt;=$J$7,H90&lt;=$K$7),$L$7,
IF(AND(H90&gt;=$J$8,H90&lt;=$K$8),$L$8,
IF(AND(H90&gt;=$J$9,H90&lt;=$K$9),$L$9,
IF(AND(H90&gt;=$J$10,H90&lt;=$K$10),$L$10,
IF(AND(H90&gt;=$J$11,H90&lt;=$K$11),$L$11)))))))))),
"")</f>
        <v/>
      </c>
    </row>
    <row r="91" spans="1:9" ht="18" x14ac:dyDescent="0.35">
      <c r="A91" s="30" t="str">
        <f>IF(NOT(ISBLANK(Curs!B95)),Curs!B95,"")</f>
        <v/>
      </c>
      <c r="B91" s="31" t="str">
        <f>IF(NOT(ISBLANK(Curs!C95)),Curs!C95,"")</f>
        <v/>
      </c>
      <c r="C91" s="10"/>
      <c r="D91" s="10"/>
      <c r="E91" s="10"/>
      <c r="F91" s="10"/>
      <c r="G91" s="10"/>
      <c r="H91" s="24" t="str">
        <f>IF(NOT(ISBLANK(Curs!C95)),ROUND(SUM(C91:G91),0),"")</f>
        <v/>
      </c>
      <c r="I91" s="23" t="str">
        <f>IF(NOT(ISBLANK(Curs!C95)),
IF(H91=0,"n/p",
IF(AND(H91&gt;=$J$3,H91&lt;=$K$3),$L$3,
IF(AND(H91&gt;=$J$4,H91&lt;=$K$4),$L$4,
IF(AND(H91&gt;=$J$5,H91&lt;=$K$5),$L$5,
IF(AND(H91&gt;=$J$6,H91&lt;=$K$6),$L$6,
IF(AND(H91&gt;=$J$7,H91&lt;=$K$7),$L$7,
IF(AND(H91&gt;=$J$8,H91&lt;=$K$8),$L$8,
IF(AND(H91&gt;=$J$9,H91&lt;=$K$9),$L$9,
IF(AND(H91&gt;=$J$10,H91&lt;=$K$10),$L$10,
IF(AND(H91&gt;=$J$11,H91&lt;=$K$11),$L$11)))))))))),
"")</f>
        <v/>
      </c>
    </row>
    <row r="92" spans="1:9" ht="18" x14ac:dyDescent="0.35">
      <c r="A92" s="30" t="str">
        <f>IF(NOT(ISBLANK(Curs!B96)),Curs!B96,"")</f>
        <v/>
      </c>
      <c r="B92" s="31" t="str">
        <f>IF(NOT(ISBLANK(Curs!C96)),Curs!C96,"")</f>
        <v/>
      </c>
      <c r="C92" s="10"/>
      <c r="D92" s="10"/>
      <c r="E92" s="10"/>
      <c r="F92" s="10"/>
      <c r="G92" s="10"/>
      <c r="H92" s="24" t="str">
        <f>IF(NOT(ISBLANK(Curs!C96)),ROUND(SUM(C92:G92),0),"")</f>
        <v/>
      </c>
      <c r="I92" s="23" t="str">
        <f>IF(NOT(ISBLANK(Curs!C96)),
IF(H92=0,"n/p",
IF(AND(H92&gt;=$J$3,H92&lt;=$K$3),$L$3,
IF(AND(H92&gt;=$J$4,H92&lt;=$K$4),$L$4,
IF(AND(H92&gt;=$J$5,H92&lt;=$K$5),$L$5,
IF(AND(H92&gt;=$J$6,H92&lt;=$K$6),$L$6,
IF(AND(H92&gt;=$J$7,H92&lt;=$K$7),$L$7,
IF(AND(H92&gt;=$J$8,H92&lt;=$K$8),$L$8,
IF(AND(H92&gt;=$J$9,H92&lt;=$K$9),$L$9,
IF(AND(H92&gt;=$J$10,H92&lt;=$K$10),$L$10,
IF(AND(H92&gt;=$J$11,H92&lt;=$K$11),$L$11)))))))))),
"")</f>
        <v/>
      </c>
    </row>
    <row r="93" spans="1:9" ht="18" x14ac:dyDescent="0.35">
      <c r="A93" s="30" t="str">
        <f>IF(NOT(ISBLANK(Curs!B97)),Curs!B97,"")</f>
        <v/>
      </c>
      <c r="B93" s="31" t="str">
        <f>IF(NOT(ISBLANK(Curs!C97)),Curs!C97,"")</f>
        <v/>
      </c>
      <c r="C93" s="10"/>
      <c r="D93" s="10"/>
      <c r="E93" s="10"/>
      <c r="F93" s="10"/>
      <c r="G93" s="10"/>
      <c r="H93" s="24" t="str">
        <f>IF(NOT(ISBLANK(Curs!C97)),ROUND(SUM(C93:G93),0),"")</f>
        <v/>
      </c>
      <c r="I93" s="23" t="str">
        <f>IF(NOT(ISBLANK(Curs!C97)),
IF(H93=0,"n/p",
IF(AND(H93&gt;=$J$3,H93&lt;=$K$3),$L$3,
IF(AND(H93&gt;=$J$4,H93&lt;=$K$4),$L$4,
IF(AND(H93&gt;=$J$5,H93&lt;=$K$5),$L$5,
IF(AND(H93&gt;=$J$6,H93&lt;=$K$6),$L$6,
IF(AND(H93&gt;=$J$7,H93&lt;=$K$7),$L$7,
IF(AND(H93&gt;=$J$8,H93&lt;=$K$8),$L$8,
IF(AND(H93&gt;=$J$9,H93&lt;=$K$9),$L$9,
IF(AND(H93&gt;=$J$10,H93&lt;=$K$10),$L$10,
IF(AND(H93&gt;=$J$11,H93&lt;=$K$11),$L$11)))))))))),
"")</f>
        <v/>
      </c>
    </row>
    <row r="94" spans="1:9" ht="18" x14ac:dyDescent="0.35">
      <c r="A94" s="30" t="str">
        <f>IF(NOT(ISBLANK(Curs!B98)),Curs!B98,"")</f>
        <v/>
      </c>
      <c r="B94" s="31" t="str">
        <f>IF(NOT(ISBLANK(Curs!C98)),Curs!C98,"")</f>
        <v/>
      </c>
      <c r="C94" s="10"/>
      <c r="D94" s="10"/>
      <c r="E94" s="10"/>
      <c r="F94" s="10"/>
      <c r="G94" s="10"/>
      <c r="H94" s="24" t="str">
        <f>IF(NOT(ISBLANK(Curs!C98)),ROUND(SUM(C94:G94),0),"")</f>
        <v/>
      </c>
      <c r="I94" s="23" t="str">
        <f>IF(NOT(ISBLANK(Curs!C98)),
IF(H94=0,"n/p",
IF(AND(H94&gt;=$J$3,H94&lt;=$K$3),$L$3,
IF(AND(H94&gt;=$J$4,H94&lt;=$K$4),$L$4,
IF(AND(H94&gt;=$J$5,H94&lt;=$K$5),$L$5,
IF(AND(H94&gt;=$J$6,H94&lt;=$K$6),$L$6,
IF(AND(H94&gt;=$J$7,H94&lt;=$K$7),$L$7,
IF(AND(H94&gt;=$J$8,H94&lt;=$K$8),$L$8,
IF(AND(H94&gt;=$J$9,H94&lt;=$K$9),$L$9,
IF(AND(H94&gt;=$J$10,H94&lt;=$K$10),$L$10,
IF(AND(H94&gt;=$J$11,H94&lt;=$K$11),$L$11)))))))))),
"")</f>
        <v/>
      </c>
    </row>
    <row r="95" spans="1:9" ht="18" x14ac:dyDescent="0.35">
      <c r="A95" s="30" t="str">
        <f>IF(NOT(ISBLANK(Curs!B99)),Curs!B99,"")</f>
        <v/>
      </c>
      <c r="B95" s="31" t="str">
        <f>IF(NOT(ISBLANK(Curs!C99)),Curs!C99,"")</f>
        <v/>
      </c>
      <c r="C95" s="10"/>
      <c r="D95" s="10"/>
      <c r="E95" s="10"/>
      <c r="F95" s="10"/>
      <c r="G95" s="10"/>
      <c r="H95" s="24" t="str">
        <f>IF(NOT(ISBLANK(Curs!C99)),ROUND(SUM(C95:G95),0),"")</f>
        <v/>
      </c>
      <c r="I95" s="23" t="str">
        <f>IF(NOT(ISBLANK(Curs!C99)),
IF(H95=0,"n/p",
IF(AND(H95&gt;=$J$3,H95&lt;=$K$3),$L$3,
IF(AND(H95&gt;=$J$4,H95&lt;=$K$4),$L$4,
IF(AND(H95&gt;=$J$5,H95&lt;=$K$5),$L$5,
IF(AND(H95&gt;=$J$6,H95&lt;=$K$6),$L$6,
IF(AND(H95&gt;=$J$7,H95&lt;=$K$7),$L$7,
IF(AND(H95&gt;=$J$8,H95&lt;=$K$8),$L$8,
IF(AND(H95&gt;=$J$9,H95&lt;=$K$9),$L$9,
IF(AND(H95&gt;=$J$10,H95&lt;=$K$10),$L$10,
IF(AND(H95&gt;=$J$11,H95&lt;=$K$11),$L$11)))))))))),
"")</f>
        <v/>
      </c>
    </row>
    <row r="96" spans="1:9" ht="18" x14ac:dyDescent="0.35">
      <c r="A96" s="30" t="str">
        <f>IF(NOT(ISBLANK(Curs!B100)),Curs!B100,"")</f>
        <v/>
      </c>
      <c r="B96" s="31" t="str">
        <f>IF(NOT(ISBLANK(Curs!C100)),Curs!C100,"")</f>
        <v/>
      </c>
      <c r="C96" s="10"/>
      <c r="D96" s="10"/>
      <c r="E96" s="10"/>
      <c r="F96" s="10"/>
      <c r="G96" s="10"/>
      <c r="H96" s="24" t="str">
        <f>IF(NOT(ISBLANK(Curs!C100)),ROUND(SUM(C96:G96),0),"")</f>
        <v/>
      </c>
      <c r="I96" s="23" t="str">
        <f>IF(NOT(ISBLANK(Curs!C100)),
IF(H96=0,"n/p",
IF(AND(H96&gt;=$J$3,H96&lt;=$K$3),$L$3,
IF(AND(H96&gt;=$J$4,H96&lt;=$K$4),$L$4,
IF(AND(H96&gt;=$J$5,H96&lt;=$K$5),$L$5,
IF(AND(H96&gt;=$J$6,H96&lt;=$K$6),$L$6,
IF(AND(H96&gt;=$J$7,H96&lt;=$K$7),$L$7,
IF(AND(H96&gt;=$J$8,H96&lt;=$K$8),$L$8,
IF(AND(H96&gt;=$J$9,H96&lt;=$K$9),$L$9,
IF(AND(H96&gt;=$J$10,H96&lt;=$K$10),$L$10,
IF(AND(H96&gt;=$J$11,H96&lt;=$K$11),$L$11)))))))))),
"")</f>
        <v/>
      </c>
    </row>
    <row r="97" spans="1:9" ht="18" x14ac:dyDescent="0.35">
      <c r="A97" s="30" t="str">
        <f>IF(NOT(ISBLANK(Curs!B101)),Curs!B101,"")</f>
        <v/>
      </c>
      <c r="B97" s="31" t="str">
        <f>IF(NOT(ISBLANK(Curs!C101)),Curs!C101,"")</f>
        <v/>
      </c>
      <c r="C97" s="10"/>
      <c r="D97" s="10"/>
      <c r="E97" s="10"/>
      <c r="F97" s="10"/>
      <c r="G97" s="10"/>
      <c r="H97" s="24" t="str">
        <f>IF(NOT(ISBLANK(Curs!C101)),ROUND(SUM(C97:G97),0),"")</f>
        <v/>
      </c>
      <c r="I97" s="23" t="str">
        <f>IF(NOT(ISBLANK(Curs!C101)),
IF(H97=0,"n/p",
IF(AND(H97&gt;=$J$3,H97&lt;=$K$3),$L$3,
IF(AND(H97&gt;=$J$4,H97&lt;=$K$4),$L$4,
IF(AND(H97&gt;=$J$5,H97&lt;=$K$5),$L$5,
IF(AND(H97&gt;=$J$6,H97&lt;=$K$6),$L$6,
IF(AND(H97&gt;=$J$7,H97&lt;=$K$7),$L$7,
IF(AND(H97&gt;=$J$8,H97&lt;=$K$8),$L$8,
IF(AND(H97&gt;=$J$9,H97&lt;=$K$9),$L$9,
IF(AND(H97&gt;=$J$10,H97&lt;=$K$10),$L$10,
IF(AND(H97&gt;=$J$11,H97&lt;=$K$11),$L$11)))))))))),
"")</f>
        <v/>
      </c>
    </row>
    <row r="98" spans="1:9" ht="18" x14ac:dyDescent="0.35">
      <c r="A98" s="30" t="str">
        <f>IF(NOT(ISBLANK(Curs!B102)),Curs!B102,"")</f>
        <v/>
      </c>
      <c r="B98" s="31" t="str">
        <f>IF(NOT(ISBLANK(Curs!C102)),Curs!C102,"")</f>
        <v/>
      </c>
      <c r="C98" s="10"/>
      <c r="D98" s="10"/>
      <c r="E98" s="10"/>
      <c r="F98" s="10"/>
      <c r="G98" s="10"/>
      <c r="H98" s="24" t="str">
        <f>IF(NOT(ISBLANK(Curs!C102)),ROUND(SUM(C98:G98),0),"")</f>
        <v/>
      </c>
      <c r="I98" s="23" t="str">
        <f>IF(NOT(ISBLANK(Curs!C102)),
IF(H98=0,"n/p",
IF(AND(H98&gt;=$J$3,H98&lt;=$K$3),$L$3,
IF(AND(H98&gt;=$J$4,H98&lt;=$K$4),$L$4,
IF(AND(H98&gt;=$J$5,H98&lt;=$K$5),$L$5,
IF(AND(H98&gt;=$J$6,H98&lt;=$K$6),$L$6,
IF(AND(H98&gt;=$J$7,H98&lt;=$K$7),$L$7,
IF(AND(H98&gt;=$J$8,H98&lt;=$K$8),$L$8,
IF(AND(H98&gt;=$J$9,H98&lt;=$K$9),$L$9,
IF(AND(H98&gt;=$J$10,H98&lt;=$K$10),$L$10,
IF(AND(H98&gt;=$J$11,H98&lt;=$K$11),$L$11)))))))))),
"")</f>
        <v/>
      </c>
    </row>
    <row r="99" spans="1:9" ht="18" x14ac:dyDescent="0.35">
      <c r="A99" s="30" t="str">
        <f>IF(NOT(ISBLANK(Curs!B103)),Curs!B103,"")</f>
        <v/>
      </c>
      <c r="B99" s="31" t="str">
        <f>IF(NOT(ISBLANK(Curs!C103)),Curs!C103,"")</f>
        <v/>
      </c>
      <c r="C99" s="10"/>
      <c r="D99" s="10"/>
      <c r="E99" s="10"/>
      <c r="F99" s="10"/>
      <c r="G99" s="10"/>
      <c r="H99" s="24" t="str">
        <f>IF(NOT(ISBLANK(Curs!C103)),ROUND(SUM(C99:G99),0),"")</f>
        <v/>
      </c>
      <c r="I99" s="23" t="str">
        <f>IF(NOT(ISBLANK(Curs!C103)),
IF(H99=0,"n/p",
IF(AND(H99&gt;=$J$3,H99&lt;=$K$3),$L$3,
IF(AND(H99&gt;=$J$4,H99&lt;=$K$4),$L$4,
IF(AND(H99&gt;=$J$5,H99&lt;=$K$5),$L$5,
IF(AND(H99&gt;=$J$6,H99&lt;=$K$6),$L$6,
IF(AND(H99&gt;=$J$7,H99&lt;=$K$7),$L$7,
IF(AND(H99&gt;=$J$8,H99&lt;=$K$8),$L$8,
IF(AND(H99&gt;=$J$9,H99&lt;=$K$9),$L$9,
IF(AND(H99&gt;=$J$10,H99&lt;=$K$10),$L$10,
IF(AND(H99&gt;=$J$11,H99&lt;=$K$11),$L$11)))))))))),
"")</f>
        <v/>
      </c>
    </row>
    <row r="100" spans="1:9" ht="18" x14ac:dyDescent="0.35">
      <c r="A100" s="30" t="str">
        <f>IF(NOT(ISBLANK(Curs!B104)),Curs!B104,"")</f>
        <v/>
      </c>
      <c r="B100" s="31" t="str">
        <f>IF(NOT(ISBLANK(Curs!C104)),Curs!C104,"")</f>
        <v/>
      </c>
      <c r="C100" s="10"/>
      <c r="D100" s="10"/>
      <c r="E100" s="10"/>
      <c r="F100" s="10"/>
      <c r="G100" s="10"/>
      <c r="H100" s="24" t="str">
        <f>IF(NOT(ISBLANK(Curs!C104)),ROUND(SUM(C100:G100),0),"")</f>
        <v/>
      </c>
      <c r="I100" s="23" t="str">
        <f>IF(NOT(ISBLANK(Curs!C104)),
IF(H100=0,"n/p",
IF(AND(H100&gt;=$J$3,H100&lt;=$K$3),$L$3,
IF(AND(H100&gt;=$J$4,H100&lt;=$K$4),$L$4,
IF(AND(H100&gt;=$J$5,H100&lt;=$K$5),$L$5,
IF(AND(H100&gt;=$J$6,H100&lt;=$K$6),$L$6,
IF(AND(H100&gt;=$J$7,H100&lt;=$K$7),$L$7,
IF(AND(H100&gt;=$J$8,H100&lt;=$K$8),$L$8,
IF(AND(H100&gt;=$J$9,H100&lt;=$K$9),$L$9,
IF(AND(H100&gt;=$J$10,H100&lt;=$K$10),$L$10,
IF(AND(H100&gt;=$J$11,H100&lt;=$K$11),$L$11)))))))))),
"")</f>
        <v/>
      </c>
    </row>
    <row r="101" spans="1:9" ht="18" x14ac:dyDescent="0.35">
      <c r="A101" s="30" t="str">
        <f>IF(NOT(ISBLANK(Curs!B105)),Curs!B105,"")</f>
        <v/>
      </c>
      <c r="B101" s="31" t="str">
        <f>IF(NOT(ISBLANK(Curs!C105)),Curs!C105,"")</f>
        <v/>
      </c>
      <c r="C101" s="10"/>
      <c r="D101" s="10"/>
      <c r="E101" s="10"/>
      <c r="F101" s="10"/>
      <c r="G101" s="10"/>
      <c r="H101" s="24" t="str">
        <f>IF(NOT(ISBLANK(Curs!C105)),ROUND(SUM(C101:G101),0),"")</f>
        <v/>
      </c>
      <c r="I101" s="23" t="str">
        <f>IF(NOT(ISBLANK(Curs!C105)),
IF(H101=0,"n/p",
IF(AND(H101&gt;=$J$3,H101&lt;=$K$3),$L$3,
IF(AND(H101&gt;=$J$4,H101&lt;=$K$4),$L$4,
IF(AND(H101&gt;=$J$5,H101&lt;=$K$5),$L$5,
IF(AND(H101&gt;=$J$6,H101&lt;=$K$6),$L$6,
IF(AND(H101&gt;=$J$7,H101&lt;=$K$7),$L$7,
IF(AND(H101&gt;=$J$8,H101&lt;=$K$8),$L$8,
IF(AND(H101&gt;=$J$9,H101&lt;=$K$9),$L$9,
IF(AND(H101&gt;=$J$10,H101&lt;=$K$10),$L$10,
IF(AND(H101&gt;=$J$11,H101&lt;=$K$11),$L$11)))))))))),
"")</f>
        <v/>
      </c>
    </row>
  </sheetData>
  <mergeCells count="1">
    <mergeCell ref="M1:N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T101"/>
  <sheetViews>
    <sheetView topLeftCell="D1" zoomScale="85" zoomScaleNormal="85" workbookViewId="0">
      <selection activeCell="P17" sqref="P17"/>
    </sheetView>
  </sheetViews>
  <sheetFormatPr defaultRowHeight="18" x14ac:dyDescent="0.35"/>
  <cols>
    <col min="1" max="1" width="4.44140625" customWidth="1"/>
    <col min="2" max="2" width="26.88671875" customWidth="1"/>
    <col min="3" max="7" width="7" customWidth="1"/>
    <col min="8" max="9" width="10" customWidth="1"/>
    <col min="10" max="10" width="11.109375" style="26" bestFit="1" customWidth="1"/>
    <col min="13" max="13" width="9.44140625" customWidth="1"/>
    <col min="14" max="14" width="11.21875" customWidth="1"/>
    <col min="15" max="15" width="8.6640625" customWidth="1"/>
  </cols>
  <sheetData>
    <row r="1" spans="1:20" ht="36" x14ac:dyDescent="0.35">
      <c r="A1" s="3" t="s">
        <v>0</v>
      </c>
      <c r="B1" s="4" t="s">
        <v>1</v>
      </c>
      <c r="C1" s="21" t="s">
        <v>22</v>
      </c>
      <c r="D1" s="21" t="s">
        <v>14</v>
      </c>
      <c r="E1" s="21" t="s">
        <v>15</v>
      </c>
      <c r="F1" s="21" t="s">
        <v>16</v>
      </c>
      <c r="G1" s="21" t="s">
        <v>17</v>
      </c>
      <c r="H1" s="25" t="s">
        <v>13</v>
      </c>
      <c r="I1" s="5" t="s">
        <v>8</v>
      </c>
      <c r="J1" s="6" t="s">
        <v>9</v>
      </c>
      <c r="K1" s="7"/>
      <c r="L1" s="6"/>
      <c r="M1" s="51" t="s">
        <v>21</v>
      </c>
      <c r="N1" s="51"/>
      <c r="O1" s="8"/>
      <c r="P1" s="9"/>
      <c r="Q1" s="9"/>
      <c r="R1" s="9"/>
      <c r="S1" s="9"/>
      <c r="T1" s="9"/>
    </row>
    <row r="2" spans="1:20" x14ac:dyDescent="0.35">
      <c r="A2" s="30">
        <f>IF(NOT(ISBLANK(Curs!B2)),Curs!B2,"")</f>
        <v>1</v>
      </c>
      <c r="B2" s="31" t="str">
        <f>IF(NOT(ISBLANK(Curs!C2)),Curs!C2,"")</f>
        <v>Nume, Prenume</v>
      </c>
      <c r="C2" s="10"/>
      <c r="D2" s="10"/>
      <c r="E2" s="10"/>
      <c r="F2" s="10"/>
      <c r="G2" s="10"/>
      <c r="H2" s="24">
        <f>IF(NOT(ISBLANK(Curs!C2)),ROUND(SUM(C2:G2),0),"")</f>
        <v>0</v>
      </c>
      <c r="I2" s="23" t="str">
        <f>IF(NOT(ISBLANK(Curs!C2)),
IF(H2=0,"n/p",
IF(AND(H2&gt;=$J$3,H2&lt;=$K$3),$L$3,
IF(AND(H2&gt;=$J$4,H2&lt;=$K$4),$L$4,
IF(AND(H2&gt;=$J$5,H2&lt;=$K$5),$L$5,
IF(AND(H2&gt;=$J$6,H2&lt;=$K$6),$L$6,
IF(AND(H2&gt;=$J$7,H2&lt;=$K$7),$L$7,
IF(AND(H2&gt;=$J$8,H2&lt;=$K$8),$L$8,
IF(AND(H2&gt;=$J$9,H2&lt;=$K$9),$L$9,
IF(AND(H2&gt;=$J$10,H2&lt;=$K$10),$L$10,
IF(AND(H2&gt;=$J$11,H2&lt;=$K$11),$L$11)))))))))),
"")</f>
        <v>n/p</v>
      </c>
      <c r="J2" s="6" t="s">
        <v>11</v>
      </c>
      <c r="K2" s="6"/>
      <c r="L2" s="12" t="s">
        <v>8</v>
      </c>
      <c r="M2" s="27" t="s">
        <v>8</v>
      </c>
      <c r="N2" s="27" t="s">
        <v>10</v>
      </c>
      <c r="O2" s="8"/>
      <c r="P2" s="13"/>
      <c r="Q2" s="13"/>
      <c r="R2" s="13"/>
      <c r="S2" s="13"/>
      <c r="T2" s="13"/>
    </row>
    <row r="3" spans="1:20" x14ac:dyDescent="0.35">
      <c r="A3" s="30" t="str">
        <f>IF(NOT(ISBLANK(Curs!B7)),Curs!B7,"")</f>
        <v/>
      </c>
      <c r="B3" s="31" t="str">
        <f>IF(NOT(ISBLANK(Curs!C7)),Curs!C7,"")</f>
        <v/>
      </c>
      <c r="C3" s="10"/>
      <c r="D3" s="10"/>
      <c r="E3" s="10"/>
      <c r="F3" s="10"/>
      <c r="G3" s="10"/>
      <c r="H3" s="24" t="str">
        <f>IF(NOT(ISBLANK(Curs!C7)),ROUND(SUM(C3:G3),0),"")</f>
        <v/>
      </c>
      <c r="I3" s="23" t="str">
        <f>IF(NOT(ISBLANK(Curs!C7)),
IF(H3=0,"n/p",
IF(AND(H3&gt;=$J$3,H3&lt;=$K$3),$L$3,
IF(AND(H3&gt;=$J$4,H3&lt;=$K$4),$L$4,
IF(AND(H3&gt;=$J$5,H3&lt;=$K$5),$L$5,
IF(AND(H3&gt;=$J$6,H3&lt;=$K$6),$L$6,
IF(AND(H3&gt;=$J$7,H3&lt;=$K$7),$L$7,
IF(AND(H3&gt;=$J$8,H3&lt;=$K$8),$L$8,
IF(AND(H3&gt;=$J$9,H3&lt;=$K$9),$L$9,
IF(AND(H3&gt;=$J$10,H3&lt;=$K$10),$L$10,
IF(AND(H3&gt;=$J$11,H3&lt;=$K$11),$L$11)))))))))),
"")</f>
        <v/>
      </c>
      <c r="J3" s="22">
        <v>0</v>
      </c>
      <c r="K3" s="22">
        <v>3</v>
      </c>
      <c r="L3" s="12">
        <v>2</v>
      </c>
      <c r="M3" s="29">
        <v>1</v>
      </c>
      <c r="N3" s="27">
        <f>COUNTIF($I$2:$I$101,M3)</f>
        <v>0</v>
      </c>
      <c r="O3" s="8"/>
      <c r="P3" s="13"/>
      <c r="Q3" s="13"/>
      <c r="R3" s="13"/>
      <c r="S3" s="13"/>
      <c r="T3" s="13"/>
    </row>
    <row r="4" spans="1:20" x14ac:dyDescent="0.35">
      <c r="A4" s="30" t="str">
        <f>IF(NOT(ISBLANK(Curs!B8)),Curs!B8,"")</f>
        <v/>
      </c>
      <c r="B4" s="31" t="str">
        <f>IF(NOT(ISBLANK(Curs!C8)),Curs!C8,"")</f>
        <v/>
      </c>
      <c r="C4" s="10"/>
      <c r="D4" s="10"/>
      <c r="E4" s="10"/>
      <c r="F4" s="10"/>
      <c r="G4" s="10"/>
      <c r="H4" s="24" t="str">
        <f>IF(NOT(ISBLANK(Curs!C8)),ROUND(SUM(C4:G4),0),"")</f>
        <v/>
      </c>
      <c r="I4" s="23" t="str">
        <f>IF(NOT(ISBLANK(Curs!C8)),
IF(H4=0,"n/p",
IF(AND(H4&gt;=$J$3,H4&lt;=$K$3),$L$3,
IF(AND(H4&gt;=$J$4,H4&lt;=$K$4),$L$4,
IF(AND(H4&gt;=$J$5,H4&lt;=$K$5),$L$5,
IF(AND(H4&gt;=$J$6,H4&lt;=$K$6),$L$6,
IF(AND(H4&gt;=$J$7,H4&lt;=$K$7),$L$7,
IF(AND(H4&gt;=$J$8,H4&lt;=$K$8),$L$8,
IF(AND(H4&gt;=$J$9,H4&lt;=$K$9),$L$9,
IF(AND(H4&gt;=$J$10,H4&lt;=$K$10),$L$10,
IF(AND(H4&gt;=$J$11,H4&lt;=$K$11),$L$11)))))))))),
"")</f>
        <v/>
      </c>
      <c r="J4" s="22">
        <v>4</v>
      </c>
      <c r="K4" s="22">
        <v>7</v>
      </c>
      <c r="L4" s="12">
        <v>3</v>
      </c>
      <c r="M4" s="28">
        <v>2</v>
      </c>
      <c r="N4" s="27">
        <f t="shared" ref="N4:N13" si="0">COUNTIF($I$2:$I$101,M4)</f>
        <v>0</v>
      </c>
      <c r="O4" s="8"/>
      <c r="P4" s="13"/>
      <c r="Q4" s="13"/>
      <c r="R4" s="13"/>
      <c r="S4" s="13"/>
      <c r="T4" s="13"/>
    </row>
    <row r="5" spans="1:20" x14ac:dyDescent="0.35">
      <c r="A5" s="30" t="str">
        <f>IF(NOT(ISBLANK(Curs!B9)),Curs!B9,"")</f>
        <v/>
      </c>
      <c r="B5" s="31" t="str">
        <f>IF(NOT(ISBLANK(Curs!C9)),Curs!C9,"")</f>
        <v/>
      </c>
      <c r="C5" s="10"/>
      <c r="D5" s="10"/>
      <c r="E5" s="10"/>
      <c r="F5" s="10"/>
      <c r="G5" s="10"/>
      <c r="H5" s="24" t="str">
        <f>IF(NOT(ISBLANK(Curs!C9)),ROUND(SUM(C5:G5),0),"")</f>
        <v/>
      </c>
      <c r="I5" s="23" t="str">
        <f>IF(NOT(ISBLANK(Curs!C9)),
IF(H5=0,"n/p",
IF(AND(H5&gt;=$J$3,H5&lt;=$K$3),$L$3,
IF(AND(H5&gt;=$J$4,H5&lt;=$K$4),$L$4,
IF(AND(H5&gt;=$J$5,H5&lt;=$K$5),$L$5,
IF(AND(H5&gt;=$J$6,H5&lt;=$K$6),$L$6,
IF(AND(H5&gt;=$J$7,H5&lt;=$K$7),$L$7,
IF(AND(H5&gt;=$J$8,H5&lt;=$K$8),$L$8,
IF(AND(H5&gt;=$J$9,H5&lt;=$K$9),$L$9,
IF(AND(H5&gt;=$J$10,H5&lt;=$K$10),$L$10,
IF(AND(H5&gt;=$J$11,H5&lt;=$K$11),$L$11)))))))))),
"")</f>
        <v/>
      </c>
      <c r="J5" s="22">
        <v>8</v>
      </c>
      <c r="K5" s="22">
        <v>12</v>
      </c>
      <c r="L5" s="12">
        <v>4</v>
      </c>
      <c r="M5" s="28">
        <v>3</v>
      </c>
      <c r="N5" s="27">
        <f t="shared" si="0"/>
        <v>0</v>
      </c>
      <c r="O5" s="8"/>
      <c r="P5" s="13"/>
      <c r="Q5" s="13"/>
      <c r="R5" s="13"/>
      <c r="S5" s="13"/>
      <c r="T5" s="13"/>
    </row>
    <row r="6" spans="1:20" x14ac:dyDescent="0.35">
      <c r="A6" s="30" t="str">
        <f>IF(NOT(ISBLANK(Curs!B10)),Curs!B10,"")</f>
        <v/>
      </c>
      <c r="B6" s="31" t="str">
        <f>IF(NOT(ISBLANK(Curs!C10)),Curs!C10,"")</f>
        <v/>
      </c>
      <c r="C6" s="10"/>
      <c r="D6" s="10"/>
      <c r="E6" s="10"/>
      <c r="F6" s="10"/>
      <c r="G6" s="10"/>
      <c r="H6" s="24" t="str">
        <f>IF(NOT(ISBLANK(Curs!C10)),ROUND(SUM(C6:G6),0),"")</f>
        <v/>
      </c>
      <c r="I6" s="23" t="str">
        <f>IF(NOT(ISBLANK(Curs!C10)),
IF(H6=0,"n/p",
IF(AND(H6&gt;=$J$3,H6&lt;=$K$3),$L$3,
IF(AND(H6&gt;=$J$4,H6&lt;=$K$4),$L$4,
IF(AND(H6&gt;=$J$5,H6&lt;=$K$5),$L$5,
IF(AND(H6&gt;=$J$6,H6&lt;=$K$6),$L$6,
IF(AND(H6&gt;=$J$7,H6&lt;=$K$7),$L$7,
IF(AND(H6&gt;=$J$8,H6&lt;=$K$8),$L$8,
IF(AND(H6&gt;=$J$9,H6&lt;=$K$9),$L$9,
IF(AND(H6&gt;=$J$10,H6&lt;=$K$10),$L$10,
IF(AND(H6&gt;=$J$11,H6&lt;=$K$11),$L$11)))))))))),
"")</f>
        <v/>
      </c>
      <c r="J6" s="22">
        <v>13</v>
      </c>
      <c r="K6" s="22">
        <v>15</v>
      </c>
      <c r="L6" s="12">
        <v>5</v>
      </c>
      <c r="M6" s="29">
        <v>4</v>
      </c>
      <c r="N6" s="27">
        <f t="shared" si="0"/>
        <v>0</v>
      </c>
      <c r="O6" s="8"/>
      <c r="P6" s="13"/>
      <c r="Q6" s="13"/>
      <c r="R6" s="13"/>
      <c r="S6" s="13"/>
      <c r="T6" s="13"/>
    </row>
    <row r="7" spans="1:20" x14ac:dyDescent="0.35">
      <c r="A7" s="30" t="str">
        <f>IF(NOT(ISBLANK(Curs!B11)),Curs!B11,"")</f>
        <v/>
      </c>
      <c r="B7" s="31" t="str">
        <f>IF(NOT(ISBLANK(Curs!C11)),Curs!C11,"")</f>
        <v/>
      </c>
      <c r="C7" s="10"/>
      <c r="D7" s="10"/>
      <c r="E7" s="10"/>
      <c r="F7" s="10"/>
      <c r="G7" s="10"/>
      <c r="H7" s="24" t="str">
        <f>IF(NOT(ISBLANK(Curs!C11)),ROUND(SUM(C7:G7),0),"")</f>
        <v/>
      </c>
      <c r="I7" s="23" t="str">
        <f>IF(NOT(ISBLANK(Curs!C11)),
IF(H7=0,"n/p",
IF(AND(H7&gt;=$J$3,H7&lt;=$K$3),$L$3,
IF(AND(H7&gt;=$J$4,H7&lt;=$K$4),$L$4,
IF(AND(H7&gt;=$J$5,H7&lt;=$K$5),$L$5,
IF(AND(H7&gt;=$J$6,H7&lt;=$K$6),$L$6,
IF(AND(H7&gt;=$J$7,H7&lt;=$K$7),$L$7,
IF(AND(H7&gt;=$J$8,H7&lt;=$K$8),$L$8,
IF(AND(H7&gt;=$J$9,H7&lt;=$K$9),$L$9,
IF(AND(H7&gt;=$J$10,H7&lt;=$K$10),$L$10,
IF(AND(H7&gt;=$J$11,H7&lt;=$K$11),$L$11)))))))))),
"")</f>
        <v/>
      </c>
      <c r="J7" s="22">
        <v>16</v>
      </c>
      <c r="K7" s="22">
        <v>18</v>
      </c>
      <c r="L7" s="12">
        <v>6</v>
      </c>
      <c r="M7" s="29">
        <v>5</v>
      </c>
      <c r="N7" s="27">
        <f t="shared" si="0"/>
        <v>0</v>
      </c>
      <c r="O7" s="8"/>
      <c r="P7" s="13"/>
      <c r="Q7" s="13"/>
      <c r="R7" s="13"/>
      <c r="S7" s="13"/>
      <c r="T7" s="13"/>
    </row>
    <row r="8" spans="1:20" x14ac:dyDescent="0.35">
      <c r="A8" s="30" t="str">
        <f>IF(NOT(ISBLANK(Curs!B12)),Curs!B12,"")</f>
        <v/>
      </c>
      <c r="B8" s="31" t="str">
        <f>IF(NOT(ISBLANK(Curs!C12)),Curs!C12,"")</f>
        <v/>
      </c>
      <c r="C8" s="10"/>
      <c r="D8" s="10"/>
      <c r="E8" s="10"/>
      <c r="F8" s="10"/>
      <c r="G8" s="10"/>
      <c r="H8" s="24" t="str">
        <f>IF(NOT(ISBLANK(Curs!C12)),ROUND(SUM(C8:G8),0),"")</f>
        <v/>
      </c>
      <c r="I8" s="23" t="str">
        <f>IF(NOT(ISBLANK(Curs!C12)),
IF(H8=0,"n/p",
IF(AND(H8&gt;=$J$3,H8&lt;=$K$3),$L$3,
IF(AND(H8&gt;=$J$4,H8&lt;=$K$4),$L$4,
IF(AND(H8&gt;=$J$5,H8&lt;=$K$5),$L$5,
IF(AND(H8&gt;=$J$6,H8&lt;=$K$6),$L$6,
IF(AND(H8&gt;=$J$7,H8&lt;=$K$7),$L$7,
IF(AND(H8&gt;=$J$8,H8&lt;=$K$8),$L$8,
IF(AND(H8&gt;=$J$9,H8&lt;=$K$9),$L$9,
IF(AND(H8&gt;=$J$10,H8&lt;=$K$10),$L$10,
IF(AND(H8&gt;=$J$11,H8&lt;=$K$11),$L$11)))))))))),
"")</f>
        <v/>
      </c>
      <c r="J8" s="22">
        <v>19</v>
      </c>
      <c r="K8" s="22">
        <v>21</v>
      </c>
      <c r="L8" s="12">
        <v>7</v>
      </c>
      <c r="M8" s="29">
        <v>6</v>
      </c>
      <c r="N8" s="27">
        <f t="shared" si="0"/>
        <v>0</v>
      </c>
      <c r="O8" s="8"/>
      <c r="P8" s="13"/>
      <c r="Q8" s="13"/>
      <c r="R8" s="13"/>
      <c r="S8" s="13"/>
      <c r="T8" s="13"/>
    </row>
    <row r="9" spans="1:20" x14ac:dyDescent="0.35">
      <c r="A9" s="30" t="str">
        <f>IF(NOT(ISBLANK(Curs!B13)),Curs!B13,"")</f>
        <v/>
      </c>
      <c r="B9" s="31" t="str">
        <f>IF(NOT(ISBLANK(Curs!C13)),Curs!C13,"")</f>
        <v/>
      </c>
      <c r="C9" s="10"/>
      <c r="D9" s="10"/>
      <c r="E9" s="10"/>
      <c r="F9" s="10"/>
      <c r="G9" s="10"/>
      <c r="H9" s="24" t="str">
        <f>IF(NOT(ISBLANK(Curs!C13)),ROUND(SUM(C9:G9),0),"")</f>
        <v/>
      </c>
      <c r="I9" s="23" t="str">
        <f>IF(NOT(ISBLANK(Curs!C13)),
IF(H9=0,"n/p",
IF(AND(H9&gt;=$J$3,H9&lt;=$K$3),$L$3,
IF(AND(H9&gt;=$J$4,H9&lt;=$K$4),$L$4,
IF(AND(H9&gt;=$J$5,H9&lt;=$K$5),$L$5,
IF(AND(H9&gt;=$J$6,H9&lt;=$K$6),$L$6,
IF(AND(H9&gt;=$J$7,H9&lt;=$K$7),$L$7,
IF(AND(H9&gt;=$J$8,H9&lt;=$K$8),$L$8,
IF(AND(H9&gt;=$J$9,H9&lt;=$K$9),$L$9,
IF(AND(H9&gt;=$J$10,H9&lt;=$K$10),$L$10,
IF(AND(H9&gt;=$J$11,H9&lt;=$K$11),$L$11)))))))))),
"")</f>
        <v/>
      </c>
      <c r="J9" s="22">
        <v>22</v>
      </c>
      <c r="K9" s="22">
        <v>24</v>
      </c>
      <c r="L9" s="12">
        <v>8</v>
      </c>
      <c r="M9" s="29">
        <v>7</v>
      </c>
      <c r="N9" s="27">
        <f t="shared" si="0"/>
        <v>0</v>
      </c>
      <c r="O9" s="8"/>
      <c r="P9" s="13"/>
      <c r="Q9" s="13"/>
      <c r="R9" s="13"/>
      <c r="S9" s="13"/>
      <c r="T9" s="13"/>
    </row>
    <row r="10" spans="1:20" x14ac:dyDescent="0.35">
      <c r="A10" s="30" t="str">
        <f>IF(NOT(ISBLANK(Curs!B14)),Curs!B14,"")</f>
        <v/>
      </c>
      <c r="B10" s="31" t="str">
        <f>IF(NOT(ISBLANK(Curs!C14)),Curs!C14,"")</f>
        <v/>
      </c>
      <c r="C10" s="10"/>
      <c r="D10" s="10"/>
      <c r="E10" s="10"/>
      <c r="F10" s="10"/>
      <c r="G10" s="10"/>
      <c r="H10" s="24" t="str">
        <f>IF(NOT(ISBLANK(Curs!C14)),ROUND(SUM(C10:G10),0),"")</f>
        <v/>
      </c>
      <c r="I10" s="23" t="str">
        <f>IF(NOT(ISBLANK(Curs!C14)),
IF(H10=0,"n/p",
IF(AND(H10&gt;=$J$3,H10&lt;=$K$3),$L$3,
IF(AND(H10&gt;=$J$4,H10&lt;=$K$4),$L$4,
IF(AND(H10&gt;=$J$5,H10&lt;=$K$5),$L$5,
IF(AND(H10&gt;=$J$6,H10&lt;=$K$6),$L$6,
IF(AND(H10&gt;=$J$7,H10&lt;=$K$7),$L$7,
IF(AND(H10&gt;=$J$8,H10&lt;=$K$8),$L$8,
IF(AND(H10&gt;=$J$9,H10&lt;=$K$9),$L$9,
IF(AND(H10&gt;=$J$10,H10&lt;=$K$10),$L$10,
IF(AND(H10&gt;=$J$11,H10&lt;=$K$11),$L$11)))))))))),
"")</f>
        <v/>
      </c>
      <c r="J10" s="22">
        <v>25</v>
      </c>
      <c r="K10" s="22">
        <v>27</v>
      </c>
      <c r="L10" s="12">
        <v>9</v>
      </c>
      <c r="M10" s="29">
        <v>8</v>
      </c>
      <c r="N10" s="27">
        <f t="shared" si="0"/>
        <v>0</v>
      </c>
      <c r="O10" s="8"/>
      <c r="P10" s="13"/>
      <c r="Q10" s="13"/>
      <c r="R10" s="13"/>
      <c r="S10" s="13"/>
      <c r="T10" s="13"/>
    </row>
    <row r="11" spans="1:20" x14ac:dyDescent="0.35">
      <c r="A11" s="30" t="str">
        <f>IF(NOT(ISBLANK(Curs!B15)),Curs!B15,"")</f>
        <v/>
      </c>
      <c r="B11" s="31" t="str">
        <f>IF(NOT(ISBLANK(Curs!C15)),Curs!C15,"")</f>
        <v/>
      </c>
      <c r="C11" s="10"/>
      <c r="D11" s="10"/>
      <c r="E11" s="10"/>
      <c r="F11" s="10"/>
      <c r="G11" s="10"/>
      <c r="H11" s="24" t="str">
        <f>IF(NOT(ISBLANK(Curs!C15)),ROUND(SUM(C11:G11),0),"")</f>
        <v/>
      </c>
      <c r="I11" s="23" t="str">
        <f>IF(NOT(ISBLANK(Curs!C15)),
IF(H11=0,"n/p",
IF(AND(H11&gt;=$J$3,H11&lt;=$K$3),$L$3,
IF(AND(H11&gt;=$J$4,H11&lt;=$K$4),$L$4,
IF(AND(H11&gt;=$J$5,H11&lt;=$K$5),$L$5,
IF(AND(H11&gt;=$J$6,H11&lt;=$K$6),$L$6,
IF(AND(H11&gt;=$J$7,H11&lt;=$K$7),$L$7,
IF(AND(H11&gt;=$J$8,H11&lt;=$K$8),$L$8,
IF(AND(H11&gt;=$J$9,H11&lt;=$K$9),$L$9,
IF(AND(H11&gt;=$J$10,H11&lt;=$K$10),$L$10,
IF(AND(H11&gt;=$J$11,H11&lt;=$K$11),$L$11)))))))))),
"")</f>
        <v/>
      </c>
      <c r="J11" s="22">
        <v>28</v>
      </c>
      <c r="K11" s="22">
        <v>30</v>
      </c>
      <c r="L11" s="12">
        <v>10</v>
      </c>
      <c r="M11" s="29">
        <v>9</v>
      </c>
      <c r="N11" s="27">
        <f t="shared" si="0"/>
        <v>0</v>
      </c>
      <c r="O11" s="8"/>
      <c r="P11" s="13"/>
      <c r="Q11" s="13"/>
      <c r="R11" s="13"/>
      <c r="S11" s="13"/>
      <c r="T11" s="13"/>
    </row>
    <row r="12" spans="1:20" x14ac:dyDescent="0.35">
      <c r="A12" s="30" t="str">
        <f>IF(NOT(ISBLANK(Curs!B16)),Curs!B16,"")</f>
        <v/>
      </c>
      <c r="B12" s="31" t="str">
        <f>IF(NOT(ISBLANK(Curs!C16)),Curs!C16,"")</f>
        <v/>
      </c>
      <c r="C12" s="10"/>
      <c r="D12" s="10"/>
      <c r="E12" s="10"/>
      <c r="F12" s="10"/>
      <c r="G12" s="10"/>
      <c r="H12" s="24" t="str">
        <f>IF(NOT(ISBLANK(Curs!C16)),ROUND(SUM(C12:G12),0),"")</f>
        <v/>
      </c>
      <c r="I12" s="23" t="str">
        <f>IF(NOT(ISBLANK(Curs!C16)),
IF(H12=0,"n/p",
IF(AND(H12&gt;=$J$3,H12&lt;=$K$3),$L$3,
IF(AND(H12&gt;=$J$4,H12&lt;=$K$4),$L$4,
IF(AND(H12&gt;=$J$5,H12&lt;=$K$5),$L$5,
IF(AND(H12&gt;=$J$6,H12&lt;=$K$6),$L$6,
IF(AND(H12&gt;=$J$7,H12&lt;=$K$7),$L$7,
IF(AND(H12&gt;=$J$8,H12&lt;=$K$8),$L$8,
IF(AND(H12&gt;=$J$9,H12&lt;=$K$9),$L$9,
IF(AND(H12&gt;=$J$10,H12&lt;=$K$10),$L$10,
IF(AND(H12&gt;=$J$11,H12&lt;=$K$11),$L$11)))))))))),
"")</f>
        <v/>
      </c>
      <c r="J12" s="22"/>
      <c r="K12" s="22"/>
      <c r="L12" s="12"/>
      <c r="M12" s="29">
        <v>10</v>
      </c>
      <c r="N12" s="27">
        <f t="shared" si="0"/>
        <v>0</v>
      </c>
      <c r="O12" s="8"/>
      <c r="P12" s="13"/>
      <c r="Q12" s="13"/>
      <c r="R12" s="13"/>
      <c r="S12" s="13"/>
      <c r="T12" s="13"/>
    </row>
    <row r="13" spans="1:20" x14ac:dyDescent="0.35">
      <c r="A13" s="30" t="str">
        <f>IF(NOT(ISBLANK(Curs!B17)),Curs!B17,"")</f>
        <v/>
      </c>
      <c r="B13" s="31" t="str">
        <f>IF(NOT(ISBLANK(Curs!C17)),Curs!C17,"")</f>
        <v/>
      </c>
      <c r="C13" s="10"/>
      <c r="D13" s="10"/>
      <c r="E13" s="10"/>
      <c r="F13" s="10"/>
      <c r="G13" s="10"/>
      <c r="H13" s="24" t="str">
        <f>IF(NOT(ISBLANK(Curs!C17)),ROUND(SUM(C13:G13),0),"")</f>
        <v/>
      </c>
      <c r="I13" s="23" t="str">
        <f>IF(NOT(ISBLANK(Curs!C17)),
IF(H13=0,"n/p",
IF(AND(H13&gt;=$J$3,H13&lt;=$K$3),$L$3,
IF(AND(H13&gt;=$J$4,H13&lt;=$K$4),$L$4,
IF(AND(H13&gt;=$J$5,H13&lt;=$K$5),$L$5,
IF(AND(H13&gt;=$J$6,H13&lt;=$K$6),$L$6,
IF(AND(H13&gt;=$J$7,H13&lt;=$K$7),$L$7,
IF(AND(H13&gt;=$J$8,H13&lt;=$K$8),$L$8,
IF(AND(H13&gt;=$J$9,H13&lt;=$K$9),$L$9,
IF(AND(H13&gt;=$J$10,H13&lt;=$K$10),$L$10,
IF(AND(H13&gt;=$J$11,H13&lt;=$K$11),$L$11)))))))))),
"")</f>
        <v/>
      </c>
      <c r="J13" s="22"/>
      <c r="K13" s="22"/>
      <c r="L13" s="12"/>
      <c r="M13" s="29" t="s">
        <v>12</v>
      </c>
      <c r="N13" s="27">
        <f t="shared" si="0"/>
        <v>1</v>
      </c>
      <c r="O13" s="8"/>
      <c r="P13" s="13"/>
      <c r="Q13" s="16"/>
      <c r="R13" s="13"/>
      <c r="S13" s="16"/>
      <c r="T13" s="13"/>
    </row>
    <row r="14" spans="1:20" x14ac:dyDescent="0.35">
      <c r="A14" s="30" t="str">
        <f>IF(NOT(ISBLANK(Curs!B18)),Curs!B18,"")</f>
        <v/>
      </c>
      <c r="B14" s="31" t="str">
        <f>IF(NOT(ISBLANK(Curs!C18)),Curs!C18,"")</f>
        <v/>
      </c>
      <c r="C14" s="10"/>
      <c r="D14" s="10"/>
      <c r="E14" s="10"/>
      <c r="F14" s="10"/>
      <c r="G14" s="10"/>
      <c r="H14" s="24" t="str">
        <f>IF(NOT(ISBLANK(Curs!C18)),ROUND(SUM(C14:G14),0),"")</f>
        <v/>
      </c>
      <c r="I14" s="23" t="str">
        <f>IF(NOT(ISBLANK(Curs!C18)),
IF(H14=0,"n/p",
IF(AND(H14&gt;=$J$3,H14&lt;=$K$3),$L$3,
IF(AND(H14&gt;=$J$4,H14&lt;=$K$4),$L$4,
IF(AND(H14&gt;=$J$5,H14&lt;=$K$5),$L$5,
IF(AND(H14&gt;=$J$6,H14&lt;=$K$6),$L$6,
IF(AND(H14&gt;=$J$7,H14&lt;=$K$7),$L$7,
IF(AND(H14&gt;=$J$8,H14&lt;=$K$8),$L$8,
IF(AND(H14&gt;=$J$9,H14&lt;=$K$9),$L$9,
IF(AND(H14&gt;=$J$10,H14&lt;=$K$10),$L$10,
IF(AND(H14&gt;=$J$11,H14&lt;=$K$11),$L$11)))))))))),
"")</f>
        <v/>
      </c>
      <c r="J14" s="7"/>
      <c r="K14" s="14"/>
      <c r="L14" s="7"/>
      <c r="P14" s="15"/>
      <c r="Q14" s="13"/>
      <c r="R14" s="16"/>
      <c r="S14" s="13"/>
      <c r="T14" s="16"/>
    </row>
    <row r="15" spans="1:20" x14ac:dyDescent="0.35">
      <c r="A15" s="30" t="str">
        <f>IF(NOT(ISBLANK(Curs!B19)),Curs!B19,"")</f>
        <v/>
      </c>
      <c r="B15" s="31" t="str">
        <f>IF(NOT(ISBLANK(Curs!C19)),Curs!C19,"")</f>
        <v/>
      </c>
      <c r="C15" s="10"/>
      <c r="D15" s="10"/>
      <c r="E15" s="10"/>
      <c r="F15" s="10"/>
      <c r="G15" s="10"/>
      <c r="H15" s="24" t="str">
        <f>IF(NOT(ISBLANK(Curs!C19)),ROUND(SUM(C15:G15),0),"")</f>
        <v/>
      </c>
      <c r="I15" s="23" t="str">
        <f>IF(NOT(ISBLANK(Curs!C19)),
IF(H15=0,"n/p",
IF(AND(H15&gt;=$J$3,H15&lt;=$K$3),$L$3,
IF(AND(H15&gt;=$J$4,H15&lt;=$K$4),$L$4,
IF(AND(H15&gt;=$J$5,H15&lt;=$K$5),$L$5,
IF(AND(H15&gt;=$J$6,H15&lt;=$K$6),$L$6,
IF(AND(H15&gt;=$J$7,H15&lt;=$K$7),$L$7,
IF(AND(H15&gt;=$J$8,H15&lt;=$K$8),$L$8,
IF(AND(H15&gt;=$J$9,H15&lt;=$K$9),$L$9,
IF(AND(H15&gt;=$J$10,H15&lt;=$K$10),$L$10,
IF(AND(H15&gt;=$J$11,H15&lt;=$K$11),$L$11)))))))))),
"")</f>
        <v/>
      </c>
      <c r="J15" s="7"/>
      <c r="K15" s="14"/>
      <c r="L15" s="7"/>
      <c r="M15" s="1"/>
      <c r="P15" s="17"/>
    </row>
    <row r="16" spans="1:20" x14ac:dyDescent="0.35">
      <c r="A16" s="30" t="str">
        <f>IF(NOT(ISBLANK(Curs!B20)),Curs!B20,"")</f>
        <v/>
      </c>
      <c r="B16" s="31" t="str">
        <f>IF(NOT(ISBLANK(Curs!C20)),Curs!C20,"")</f>
        <v/>
      </c>
      <c r="C16" s="10"/>
      <c r="D16" s="10"/>
      <c r="E16" s="10"/>
      <c r="F16" s="10"/>
      <c r="G16" s="10"/>
      <c r="H16" s="24" t="str">
        <f>IF(NOT(ISBLANK(Curs!C20)),ROUND(SUM(C16:G16),0),"")</f>
        <v/>
      </c>
      <c r="I16" s="23" t="str">
        <f>IF(NOT(ISBLANK(Curs!C20)),
IF(H16=0,"n/p",
IF(AND(H16&gt;=$J$3,H16&lt;=$K$3),$L$3,
IF(AND(H16&gt;=$J$4,H16&lt;=$K$4),$L$4,
IF(AND(H16&gt;=$J$5,H16&lt;=$K$5),$L$5,
IF(AND(H16&gt;=$J$6,H16&lt;=$K$6),$L$6,
IF(AND(H16&gt;=$J$7,H16&lt;=$K$7),$L$7,
IF(AND(H16&gt;=$J$8,H16&lt;=$K$8),$L$8,
IF(AND(H16&gt;=$J$9,H16&lt;=$K$9),$L$9,
IF(AND(H16&gt;=$J$10,H16&lt;=$K$10),$L$10,
IF(AND(H16&gt;=$J$11,H16&lt;=$K$11),$L$11)))))))))),
"")</f>
        <v/>
      </c>
      <c r="J16" s="7"/>
      <c r="K16" s="14"/>
      <c r="L16" s="7"/>
      <c r="M16" s="1"/>
      <c r="P16" s="17"/>
    </row>
    <row r="17" spans="1:18" x14ac:dyDescent="0.35">
      <c r="A17" s="30" t="str">
        <f>IF(NOT(ISBLANK(Curs!B21)),Curs!B21,"")</f>
        <v/>
      </c>
      <c r="B17" s="31" t="str">
        <f>IF(NOT(ISBLANK(Curs!C21)),Curs!C21,"")</f>
        <v/>
      </c>
      <c r="C17" s="10"/>
      <c r="D17" s="10"/>
      <c r="E17" s="10"/>
      <c r="F17" s="10"/>
      <c r="G17" s="10"/>
      <c r="H17" s="24" t="str">
        <f>IF(NOT(ISBLANK(Curs!C21)),ROUND(SUM(C17:G17),0),"")</f>
        <v/>
      </c>
      <c r="I17" s="23" t="str">
        <f>IF(NOT(ISBLANK(Curs!C21)),
IF(H17=0,"n/p",
IF(AND(H17&gt;=$J$3,H17&lt;=$K$3),$L$3,
IF(AND(H17&gt;=$J$4,H17&lt;=$K$4),$L$4,
IF(AND(H17&gt;=$J$5,H17&lt;=$K$5),$L$5,
IF(AND(H17&gt;=$J$6,H17&lt;=$K$6),$L$6,
IF(AND(H17&gt;=$J$7,H17&lt;=$K$7),$L$7,
IF(AND(H17&gt;=$J$8,H17&lt;=$K$8),$L$8,
IF(AND(H17&gt;=$J$9,H17&lt;=$K$9),$L$9,
IF(AND(H17&gt;=$J$10,H17&lt;=$K$10),$L$10,
IF(AND(H17&gt;=$J$11,H17&lt;=$K$11),$L$11)))))))))),
"")</f>
        <v/>
      </c>
      <c r="J17" s="7"/>
      <c r="K17" s="14"/>
      <c r="L17" s="7"/>
      <c r="M17" s="1"/>
      <c r="P17" s="17"/>
    </row>
    <row r="18" spans="1:18" x14ac:dyDescent="0.35">
      <c r="A18" s="30" t="str">
        <f>IF(NOT(ISBLANK(Curs!B22)),Curs!B22,"")</f>
        <v/>
      </c>
      <c r="B18" s="31" t="str">
        <f>IF(NOT(ISBLANK(Curs!C22)),Curs!C22,"")</f>
        <v/>
      </c>
      <c r="C18" s="10"/>
      <c r="D18" s="10"/>
      <c r="E18" s="10"/>
      <c r="F18" s="10"/>
      <c r="G18" s="10"/>
      <c r="H18" s="24" t="str">
        <f>IF(NOT(ISBLANK(Curs!C22)),ROUND(SUM(C18:G18),0),"")</f>
        <v/>
      </c>
      <c r="I18" s="23" t="str">
        <f>IF(NOT(ISBLANK(Curs!C22)),
IF(H18=0,"n/p",
IF(AND(H18&gt;=$J$3,H18&lt;=$K$3),$L$3,
IF(AND(H18&gt;=$J$4,H18&lt;=$K$4),$L$4,
IF(AND(H18&gt;=$J$5,H18&lt;=$K$5),$L$5,
IF(AND(H18&gt;=$J$6,H18&lt;=$K$6),$L$6,
IF(AND(H18&gt;=$J$7,H18&lt;=$K$7),$L$7,
IF(AND(H18&gt;=$J$8,H18&lt;=$K$8),$L$8,
IF(AND(H18&gt;=$J$9,H18&lt;=$K$9),$L$9,
IF(AND(H18&gt;=$J$10,H18&lt;=$K$10),$L$10,
IF(AND(H18&gt;=$J$11,H18&lt;=$K$11),$L$11)))))))))),
"")</f>
        <v/>
      </c>
      <c r="J18" s="7"/>
      <c r="K18" s="14"/>
      <c r="L18" s="7"/>
      <c r="M18" s="1"/>
      <c r="P18" s="17"/>
    </row>
    <row r="19" spans="1:18" x14ac:dyDescent="0.35">
      <c r="A19" s="30" t="str">
        <f>IF(NOT(ISBLANK(Curs!B23)),Curs!B23,"")</f>
        <v/>
      </c>
      <c r="B19" s="31" t="str">
        <f>IF(NOT(ISBLANK(Curs!C23)),Curs!C23,"")</f>
        <v/>
      </c>
      <c r="C19" s="10"/>
      <c r="D19" s="10"/>
      <c r="E19" s="10"/>
      <c r="F19" s="10"/>
      <c r="G19" s="10"/>
      <c r="H19" s="24" t="str">
        <f>IF(NOT(ISBLANK(Curs!C23)),ROUND(SUM(C19:G19),0),"")</f>
        <v/>
      </c>
      <c r="I19" s="23" t="str">
        <f>IF(NOT(ISBLANK(Curs!C23)),
IF(H19=0,"n/p",
IF(AND(H19&gt;=$J$3,H19&lt;=$K$3),$L$3,
IF(AND(H19&gt;=$J$4,H19&lt;=$K$4),$L$4,
IF(AND(H19&gt;=$J$5,H19&lt;=$K$5),$L$5,
IF(AND(H19&gt;=$J$6,H19&lt;=$K$6),$L$6,
IF(AND(H19&gt;=$J$7,H19&lt;=$K$7),$L$7,
IF(AND(H19&gt;=$J$8,H19&lt;=$K$8),$L$8,
IF(AND(H19&gt;=$J$9,H19&lt;=$K$9),$L$9,
IF(AND(H19&gt;=$J$10,H19&lt;=$K$10),$L$10,
IF(AND(H19&gt;=$J$11,H19&lt;=$K$11),$L$11)))))))))),
"")</f>
        <v/>
      </c>
      <c r="J19" s="7"/>
      <c r="K19" s="14"/>
      <c r="L19" s="7"/>
      <c r="M19" s="1"/>
      <c r="P19" s="17"/>
    </row>
    <row r="20" spans="1:18" x14ac:dyDescent="0.35">
      <c r="A20" s="30" t="str">
        <f>IF(NOT(ISBLANK(Curs!B24)),Curs!B24,"")</f>
        <v/>
      </c>
      <c r="B20" s="31" t="str">
        <f>IF(NOT(ISBLANK(Curs!C24)),Curs!C24,"")</f>
        <v/>
      </c>
      <c r="C20" s="10"/>
      <c r="D20" s="10"/>
      <c r="E20" s="10"/>
      <c r="F20" s="10"/>
      <c r="G20" s="10"/>
      <c r="H20" s="24" t="str">
        <f>IF(NOT(ISBLANK(Curs!C24)),ROUND(SUM(C20:G20),0),"")</f>
        <v/>
      </c>
      <c r="I20" s="23" t="str">
        <f>IF(NOT(ISBLANK(Curs!C24)),
IF(H20=0,"n/p",
IF(AND(H20&gt;=$J$3,H20&lt;=$K$3),$L$3,
IF(AND(H20&gt;=$J$4,H20&lt;=$K$4),$L$4,
IF(AND(H20&gt;=$J$5,H20&lt;=$K$5),$L$5,
IF(AND(H20&gt;=$J$6,H20&lt;=$K$6),$L$6,
IF(AND(H20&gt;=$J$7,H20&lt;=$K$7),$L$7,
IF(AND(H20&gt;=$J$8,H20&lt;=$K$8),$L$8,
IF(AND(H20&gt;=$J$9,H20&lt;=$K$9),$L$9,
IF(AND(H20&gt;=$J$10,H20&lt;=$K$10),$L$10,
IF(AND(H20&gt;=$J$11,H20&lt;=$K$11),$L$11)))))))))),
"")</f>
        <v/>
      </c>
      <c r="J20" s="7"/>
      <c r="K20" s="14"/>
      <c r="L20" s="7"/>
      <c r="M20" s="1"/>
      <c r="P20" s="17"/>
    </row>
    <row r="21" spans="1:18" x14ac:dyDescent="0.35">
      <c r="A21" s="30" t="str">
        <f>IF(NOT(ISBLANK(Curs!B25)),Curs!B25,"")</f>
        <v/>
      </c>
      <c r="B21" s="31" t="str">
        <f>IF(NOT(ISBLANK(Curs!C25)),Curs!C25,"")</f>
        <v/>
      </c>
      <c r="C21" s="10"/>
      <c r="D21" s="10"/>
      <c r="E21" s="10"/>
      <c r="F21" s="10"/>
      <c r="G21" s="10"/>
      <c r="H21" s="24" t="str">
        <f>IF(NOT(ISBLANK(Curs!C25)),ROUND(SUM(C21:G21),0),"")</f>
        <v/>
      </c>
      <c r="I21" s="23" t="str">
        <f>IF(NOT(ISBLANK(Curs!C25)),
IF(H21=0,"n/p",
IF(AND(H21&gt;=$J$3,H21&lt;=$K$3),$L$3,
IF(AND(H21&gt;=$J$4,H21&lt;=$K$4),$L$4,
IF(AND(H21&gt;=$J$5,H21&lt;=$K$5),$L$5,
IF(AND(H21&gt;=$J$6,H21&lt;=$K$6),$L$6,
IF(AND(H21&gt;=$J$7,H21&lt;=$K$7),$L$7,
IF(AND(H21&gt;=$J$8,H21&lt;=$K$8),$L$8,
IF(AND(H21&gt;=$J$9,H21&lt;=$K$9),$L$9,
IF(AND(H21&gt;=$J$10,H21&lt;=$K$10),$L$10,
IF(AND(H21&gt;=$J$11,H21&lt;=$K$11),$L$11)))))))))),
"")</f>
        <v/>
      </c>
      <c r="J21" s="7"/>
      <c r="K21" s="14"/>
      <c r="L21" s="7"/>
      <c r="M21" s="1"/>
      <c r="P21" s="17"/>
    </row>
    <row r="22" spans="1:18" x14ac:dyDescent="0.35">
      <c r="A22" s="30" t="str">
        <f>IF(NOT(ISBLANK(Curs!B26)),Curs!B26,"")</f>
        <v/>
      </c>
      <c r="B22" s="31" t="str">
        <f>IF(NOT(ISBLANK(Curs!C26)),Curs!C26,"")</f>
        <v/>
      </c>
      <c r="C22" s="10"/>
      <c r="D22" s="10"/>
      <c r="E22" s="10"/>
      <c r="F22" s="10"/>
      <c r="G22" s="10"/>
      <c r="H22" s="24" t="str">
        <f>IF(NOT(ISBLANK(Curs!C26)),ROUND(SUM(C22:G22),0),"")</f>
        <v/>
      </c>
      <c r="I22" s="23" t="str">
        <f>IF(NOT(ISBLANK(Curs!C26)),
IF(H22=0,"n/p",
IF(AND(H22&gt;=$J$3,H22&lt;=$K$3),$L$3,
IF(AND(H22&gt;=$J$4,H22&lt;=$K$4),$L$4,
IF(AND(H22&gt;=$J$5,H22&lt;=$K$5),$L$5,
IF(AND(H22&gt;=$J$6,H22&lt;=$K$6),$L$6,
IF(AND(H22&gt;=$J$7,H22&lt;=$K$7),$L$7,
IF(AND(H22&gt;=$J$8,H22&lt;=$K$8),$L$8,
IF(AND(H22&gt;=$J$9,H22&lt;=$K$9),$L$9,
IF(AND(H22&gt;=$J$10,H22&lt;=$K$10),$L$10,
IF(AND(H22&gt;=$J$11,H22&lt;=$K$11),$L$11)))))))))),
"")</f>
        <v/>
      </c>
      <c r="J22" s="7"/>
      <c r="K22" s="14"/>
      <c r="L22" s="7"/>
      <c r="M22" s="1"/>
      <c r="P22" s="17"/>
    </row>
    <row r="23" spans="1:18" x14ac:dyDescent="0.35">
      <c r="A23" s="30" t="str">
        <f>IF(NOT(ISBLANK(Curs!B27)),Curs!B27,"")</f>
        <v/>
      </c>
      <c r="B23" s="31" t="str">
        <f>IF(NOT(ISBLANK(Curs!C27)),Curs!C27,"")</f>
        <v/>
      </c>
      <c r="C23" s="10"/>
      <c r="D23" s="10"/>
      <c r="E23" s="10"/>
      <c r="F23" s="10"/>
      <c r="G23" s="10"/>
      <c r="H23" s="24" t="str">
        <f>IF(NOT(ISBLANK(Curs!C27)),ROUND(SUM(C23:G23),0),"")</f>
        <v/>
      </c>
      <c r="I23" s="23" t="str">
        <f>IF(NOT(ISBLANK(Curs!C27)),
IF(H23=0,"n/p",
IF(AND(H23&gt;=$J$3,H23&lt;=$K$3),$L$3,
IF(AND(H23&gt;=$J$4,H23&lt;=$K$4),$L$4,
IF(AND(H23&gt;=$J$5,H23&lt;=$K$5),$L$5,
IF(AND(H23&gt;=$J$6,H23&lt;=$K$6),$L$6,
IF(AND(H23&gt;=$J$7,H23&lt;=$K$7),$L$7,
IF(AND(H23&gt;=$J$8,H23&lt;=$K$8),$L$8,
IF(AND(H23&gt;=$J$9,H23&lt;=$K$9),$L$9,
IF(AND(H23&gt;=$J$10,H23&lt;=$K$10),$L$10,
IF(AND(H23&gt;=$J$11,H23&lt;=$K$11),$L$11)))))))))),
"")</f>
        <v/>
      </c>
      <c r="J23" s="7"/>
      <c r="K23" s="14"/>
      <c r="L23" s="7"/>
      <c r="M23" s="1"/>
      <c r="P23" s="17"/>
    </row>
    <row r="24" spans="1:18" x14ac:dyDescent="0.35">
      <c r="A24" s="30" t="str">
        <f>IF(NOT(ISBLANK(Curs!B28)),Curs!B28,"")</f>
        <v/>
      </c>
      <c r="B24" s="31" t="str">
        <f>IF(NOT(ISBLANK(Curs!C28)),Curs!C28,"")</f>
        <v/>
      </c>
      <c r="C24" s="10"/>
      <c r="D24" s="10"/>
      <c r="E24" s="10"/>
      <c r="F24" s="10"/>
      <c r="G24" s="10"/>
      <c r="H24" s="24" t="str">
        <f>IF(NOT(ISBLANK(Curs!C28)),ROUND(SUM(C24:G24),0),"")</f>
        <v/>
      </c>
      <c r="I24" s="23" t="str">
        <f>IF(NOT(ISBLANK(Curs!C28)),
IF(H24=0,"n/p",
IF(AND(H24&gt;=$J$3,H24&lt;=$K$3),$L$3,
IF(AND(H24&gt;=$J$4,H24&lt;=$K$4),$L$4,
IF(AND(H24&gt;=$J$5,H24&lt;=$K$5),$L$5,
IF(AND(H24&gt;=$J$6,H24&lt;=$K$6),$L$6,
IF(AND(H24&gt;=$J$7,H24&lt;=$K$7),$L$7,
IF(AND(H24&gt;=$J$8,H24&lt;=$K$8),$L$8,
IF(AND(H24&gt;=$J$9,H24&lt;=$K$9),$L$9,
IF(AND(H24&gt;=$J$10,H24&lt;=$K$10),$L$10,
IF(AND(H24&gt;=$J$11,H24&lt;=$K$11),$L$11)))))))))),
"")</f>
        <v/>
      </c>
      <c r="J24" s="7"/>
      <c r="K24" s="14"/>
      <c r="L24" s="7"/>
      <c r="M24" s="1"/>
      <c r="P24" s="17"/>
    </row>
    <row r="25" spans="1:18" x14ac:dyDescent="0.35">
      <c r="A25" s="30" t="str">
        <f>IF(NOT(ISBLANK(Curs!B29)),Curs!B29,"")</f>
        <v/>
      </c>
      <c r="B25" s="31" t="str">
        <f>IF(NOT(ISBLANK(Curs!C29)),Curs!C29,"")</f>
        <v/>
      </c>
      <c r="C25" s="10"/>
      <c r="D25" s="10"/>
      <c r="E25" s="10"/>
      <c r="F25" s="10"/>
      <c r="G25" s="10"/>
      <c r="H25" s="24" t="str">
        <f>IF(NOT(ISBLANK(Curs!C29)),ROUND(SUM(C25:G25),0),"")</f>
        <v/>
      </c>
      <c r="I25" s="23" t="str">
        <f>IF(NOT(ISBLANK(Curs!C29)),
IF(H25=0,"n/p",
IF(AND(H25&gt;=$J$3,H25&lt;=$K$3),$L$3,
IF(AND(H25&gt;=$J$4,H25&lt;=$K$4),$L$4,
IF(AND(H25&gt;=$J$5,H25&lt;=$K$5),$L$5,
IF(AND(H25&gt;=$J$6,H25&lt;=$K$6),$L$6,
IF(AND(H25&gt;=$J$7,H25&lt;=$K$7),$L$7,
IF(AND(H25&gt;=$J$8,H25&lt;=$K$8),$L$8,
IF(AND(H25&gt;=$J$9,H25&lt;=$K$9),$L$9,
IF(AND(H25&gt;=$J$10,H25&lt;=$K$10),$L$10,
IF(AND(H25&gt;=$J$11,H25&lt;=$K$11),$L$11)))))))))),
"")</f>
        <v/>
      </c>
      <c r="J25" s="7"/>
      <c r="K25" s="14"/>
      <c r="L25" s="7"/>
      <c r="M25" s="1"/>
      <c r="P25" s="17"/>
    </row>
    <row r="26" spans="1:18" x14ac:dyDescent="0.35">
      <c r="A26" s="30" t="str">
        <f>IF(NOT(ISBLANK(Curs!B30)),Curs!B30,"")</f>
        <v/>
      </c>
      <c r="B26" s="31" t="str">
        <f>IF(NOT(ISBLANK(Curs!C30)),Curs!C30,"")</f>
        <v/>
      </c>
      <c r="C26" s="10"/>
      <c r="D26" s="10"/>
      <c r="E26" s="10"/>
      <c r="F26" s="10"/>
      <c r="G26" s="10"/>
      <c r="H26" s="24" t="str">
        <f>IF(NOT(ISBLANK(Curs!C30)),ROUND(SUM(C26:G26),0),"")</f>
        <v/>
      </c>
      <c r="I26" s="23" t="str">
        <f>IF(NOT(ISBLANK(Curs!C30)),
IF(H26=0,"n/p",
IF(AND(H26&gt;=$J$3,H26&lt;=$K$3),$L$3,
IF(AND(H26&gt;=$J$4,H26&lt;=$K$4),$L$4,
IF(AND(H26&gt;=$J$5,H26&lt;=$K$5),$L$5,
IF(AND(H26&gt;=$J$6,H26&lt;=$K$6),$L$6,
IF(AND(H26&gt;=$J$7,H26&lt;=$K$7),$L$7,
IF(AND(H26&gt;=$J$8,H26&lt;=$K$8),$L$8,
IF(AND(H26&gt;=$J$9,H26&lt;=$K$9),$L$9,
IF(AND(H26&gt;=$J$10,H26&lt;=$K$10),$L$10,
IF(AND(H26&gt;=$J$11,H26&lt;=$K$11),$L$11)))))))))),
"")</f>
        <v/>
      </c>
      <c r="J26" s="7"/>
      <c r="K26" s="14"/>
      <c r="L26" s="7"/>
      <c r="M26" s="1"/>
      <c r="P26" s="17"/>
    </row>
    <row r="27" spans="1:18" x14ac:dyDescent="0.35">
      <c r="A27" s="30" t="str">
        <f>IF(NOT(ISBLANK(Curs!B31)),Curs!B31,"")</f>
        <v/>
      </c>
      <c r="B27" s="31" t="str">
        <f>IF(NOT(ISBLANK(Curs!C31)),Curs!C31,"")</f>
        <v/>
      </c>
      <c r="C27" s="10"/>
      <c r="D27" s="10"/>
      <c r="E27" s="10"/>
      <c r="F27" s="10"/>
      <c r="G27" s="10"/>
      <c r="H27" s="24" t="str">
        <f>IF(NOT(ISBLANK(Curs!C31)),ROUND(SUM(C27:G27),0),"")</f>
        <v/>
      </c>
      <c r="I27" s="23" t="str">
        <f>IF(NOT(ISBLANK(Curs!C31)),
IF(H27=0,"n/p",
IF(AND(H27&gt;=$J$3,H27&lt;=$K$3),$L$3,
IF(AND(H27&gt;=$J$4,H27&lt;=$K$4),$L$4,
IF(AND(H27&gt;=$J$5,H27&lt;=$K$5),$L$5,
IF(AND(H27&gt;=$J$6,H27&lt;=$K$6),$L$6,
IF(AND(H27&gt;=$J$7,H27&lt;=$K$7),$L$7,
IF(AND(H27&gt;=$J$8,H27&lt;=$K$8),$L$8,
IF(AND(H27&gt;=$J$9,H27&lt;=$K$9),$L$9,
IF(AND(H27&gt;=$J$10,H27&lt;=$K$10),$L$10,
IF(AND(H27&gt;=$J$11,H27&lt;=$K$11),$L$11)))))))))),
"")</f>
        <v/>
      </c>
      <c r="J27" s="10"/>
      <c r="K27" s="10"/>
      <c r="L27" s="10"/>
      <c r="M27" s="11"/>
      <c r="N27" s="23"/>
      <c r="O27" s="7"/>
      <c r="P27" s="14"/>
      <c r="Q27" s="7"/>
      <c r="R27" s="1"/>
    </row>
    <row r="28" spans="1:18" x14ac:dyDescent="0.35">
      <c r="A28" s="30" t="str">
        <f>IF(NOT(ISBLANK(Curs!B32)),Curs!B32,"")</f>
        <v/>
      </c>
      <c r="B28" s="31" t="str">
        <f>IF(NOT(ISBLANK(Curs!C32)),Curs!C32,"")</f>
        <v/>
      </c>
      <c r="C28" s="10"/>
      <c r="D28" s="10"/>
      <c r="E28" s="10"/>
      <c r="F28" s="10"/>
      <c r="G28" s="10"/>
      <c r="H28" s="24" t="str">
        <f>IF(NOT(ISBLANK(Curs!C32)),ROUND(SUM(C28:G28),0),"")</f>
        <v/>
      </c>
      <c r="I28" s="23" t="str">
        <f>IF(NOT(ISBLANK(Curs!C32)),
IF(H28=0,"n/p",
IF(AND(H28&gt;=$J$3,H28&lt;=$K$3),$L$3,
IF(AND(H28&gt;=$J$4,H28&lt;=$K$4),$L$4,
IF(AND(H28&gt;=$J$5,H28&lt;=$K$5),$L$5,
IF(AND(H28&gt;=$J$6,H28&lt;=$K$6),$L$6,
IF(AND(H28&gt;=$J$7,H28&lt;=$K$7),$L$7,
IF(AND(H28&gt;=$J$8,H28&lt;=$K$8),$L$8,
IF(AND(H28&gt;=$J$9,H28&lt;=$K$9),$L$9,
IF(AND(H28&gt;=$J$10,H28&lt;=$K$10),$L$10,
IF(AND(H28&gt;=$J$11,H28&lt;=$K$11),$L$11)))))))))),
"")</f>
        <v/>
      </c>
      <c r="J28"/>
    </row>
    <row r="29" spans="1:18" x14ac:dyDescent="0.35">
      <c r="A29" s="30" t="str">
        <f>IF(NOT(ISBLANK(Curs!B33)),Curs!B33,"")</f>
        <v/>
      </c>
      <c r="B29" s="31" t="str">
        <f>IF(NOT(ISBLANK(Curs!C33)),Curs!C33,"")</f>
        <v/>
      </c>
      <c r="C29" s="10"/>
      <c r="D29" s="10"/>
      <c r="E29" s="10"/>
      <c r="F29" s="10"/>
      <c r="G29" s="10"/>
      <c r="H29" s="24" t="str">
        <f>IF(NOT(ISBLANK(Curs!C33)),ROUND(SUM(C29:G29),0),"")</f>
        <v/>
      </c>
      <c r="I29" s="23" t="str">
        <f>IF(NOT(ISBLANK(Curs!C33)),
IF(H29=0,"n/p",
IF(AND(H29&gt;=$J$3,H29&lt;=$K$3),$L$3,
IF(AND(H29&gt;=$J$4,H29&lt;=$K$4),$L$4,
IF(AND(H29&gt;=$J$5,H29&lt;=$K$5),$L$5,
IF(AND(H29&gt;=$J$6,H29&lt;=$K$6),$L$6,
IF(AND(H29&gt;=$J$7,H29&lt;=$K$7),$L$7,
IF(AND(H29&gt;=$J$8,H29&lt;=$K$8),$L$8,
IF(AND(H29&gt;=$J$9,H29&lt;=$K$9),$L$9,
IF(AND(H29&gt;=$J$10,H29&lt;=$K$10),$L$10,
IF(AND(H29&gt;=$J$11,H29&lt;=$K$11),$L$11)))))))))),
"")</f>
        <v/>
      </c>
      <c r="J29"/>
    </row>
    <row r="30" spans="1:18" x14ac:dyDescent="0.35">
      <c r="A30" s="30" t="str">
        <f>IF(NOT(ISBLANK(Curs!B34)),Curs!B34,"")</f>
        <v/>
      </c>
      <c r="B30" s="31" t="str">
        <f>IF(NOT(ISBLANK(Curs!C34)),Curs!C34,"")</f>
        <v/>
      </c>
      <c r="C30" s="10"/>
      <c r="D30" s="10"/>
      <c r="E30" s="10"/>
      <c r="F30" s="10"/>
      <c r="G30" s="10"/>
      <c r="H30" s="24" t="str">
        <f>IF(NOT(ISBLANK(Curs!C34)),ROUND(SUM(C30:G30),0),"")</f>
        <v/>
      </c>
      <c r="I30" s="23" t="str">
        <f>IF(NOT(ISBLANK(Curs!C34)),
IF(H30=0,"n/p",
IF(AND(H30&gt;=$J$3,H30&lt;=$K$3),$L$3,
IF(AND(H30&gt;=$J$4,H30&lt;=$K$4),$L$4,
IF(AND(H30&gt;=$J$5,H30&lt;=$K$5),$L$5,
IF(AND(H30&gt;=$J$6,H30&lt;=$K$6),$L$6,
IF(AND(H30&gt;=$J$7,H30&lt;=$K$7),$L$7,
IF(AND(H30&gt;=$J$8,H30&lt;=$K$8),$L$8,
IF(AND(H30&gt;=$J$9,H30&lt;=$K$9),$L$9,
IF(AND(H30&gt;=$J$10,H30&lt;=$K$10),$L$10,
IF(AND(H30&gt;=$J$11,H30&lt;=$K$11),$L$11)))))))))),
"")</f>
        <v/>
      </c>
      <c r="J30"/>
    </row>
    <row r="31" spans="1:18" x14ac:dyDescent="0.35">
      <c r="A31" s="30" t="str">
        <f>IF(NOT(ISBLANK(Curs!B35)),Curs!B35,"")</f>
        <v/>
      </c>
      <c r="B31" s="31" t="str">
        <f>IF(NOT(ISBLANK(Curs!C35)),Curs!C35,"")</f>
        <v/>
      </c>
      <c r="C31" s="10"/>
      <c r="D31" s="10"/>
      <c r="E31" s="10"/>
      <c r="F31" s="10"/>
      <c r="G31" s="10"/>
      <c r="H31" s="24" t="str">
        <f>IF(NOT(ISBLANK(Curs!C35)),ROUND(SUM(C31:G31),0),"")</f>
        <v/>
      </c>
      <c r="I31" s="23" t="str">
        <f>IF(NOT(ISBLANK(Curs!C35)),
IF(H31=0,"n/p",
IF(AND(H31&gt;=$J$3,H31&lt;=$K$3),$L$3,
IF(AND(H31&gt;=$J$4,H31&lt;=$K$4),$L$4,
IF(AND(H31&gt;=$J$5,H31&lt;=$K$5),$L$5,
IF(AND(H31&gt;=$J$6,H31&lt;=$K$6),$L$6,
IF(AND(H31&gt;=$J$7,H31&lt;=$K$7),$L$7,
IF(AND(H31&gt;=$J$8,H31&lt;=$K$8),$L$8,
IF(AND(H31&gt;=$J$9,H31&lt;=$K$9),$L$9,
IF(AND(H31&gt;=$J$10,H31&lt;=$K$10),$L$10,
IF(AND(H31&gt;=$J$11,H31&lt;=$K$11),$L$11)))))))))),
"")</f>
        <v/>
      </c>
      <c r="J31"/>
    </row>
    <row r="32" spans="1:18" x14ac:dyDescent="0.35">
      <c r="A32" s="30" t="str">
        <f>IF(NOT(ISBLANK(Curs!B36)),Curs!B36,"")</f>
        <v/>
      </c>
      <c r="B32" s="31" t="str">
        <f>IF(NOT(ISBLANK(Curs!C36)),Curs!C36,"")</f>
        <v/>
      </c>
      <c r="C32" s="10"/>
      <c r="D32" s="10"/>
      <c r="E32" s="10"/>
      <c r="F32" s="10"/>
      <c r="G32" s="10"/>
      <c r="H32" s="24" t="str">
        <f>IF(NOT(ISBLANK(Curs!C36)),ROUND(SUM(C32:G32),0),"")</f>
        <v/>
      </c>
      <c r="I32" s="23" t="str">
        <f>IF(NOT(ISBLANK(Curs!C36)),
IF(H32=0,"n/p",
IF(AND(H32&gt;=$J$3,H32&lt;=$K$3),$L$3,
IF(AND(H32&gt;=$J$4,H32&lt;=$K$4),$L$4,
IF(AND(H32&gt;=$J$5,H32&lt;=$K$5),$L$5,
IF(AND(H32&gt;=$J$6,H32&lt;=$K$6),$L$6,
IF(AND(H32&gt;=$J$7,H32&lt;=$K$7),$L$7,
IF(AND(H32&gt;=$J$8,H32&lt;=$K$8),$L$8,
IF(AND(H32&gt;=$J$9,H32&lt;=$K$9),$L$9,
IF(AND(H32&gt;=$J$10,H32&lt;=$K$10),$L$10,
IF(AND(H32&gt;=$J$11,H32&lt;=$K$11),$L$11)))))))))),
"")</f>
        <v/>
      </c>
      <c r="J32"/>
    </row>
    <row r="33" spans="1:10" x14ac:dyDescent="0.35">
      <c r="A33" s="30" t="str">
        <f>IF(NOT(ISBLANK(Curs!B37)),Curs!B37,"")</f>
        <v/>
      </c>
      <c r="B33" s="31" t="str">
        <f>IF(NOT(ISBLANK(Curs!C37)),Curs!C37,"")</f>
        <v/>
      </c>
      <c r="C33" s="10"/>
      <c r="D33" s="10"/>
      <c r="E33" s="10"/>
      <c r="F33" s="10"/>
      <c r="G33" s="10"/>
      <c r="H33" s="24" t="str">
        <f>IF(NOT(ISBLANK(Curs!C37)),ROUND(SUM(C33:G33),0),"")</f>
        <v/>
      </c>
      <c r="I33" s="23" t="str">
        <f>IF(NOT(ISBLANK(Curs!C37)),
IF(H33=0,"n/p",
IF(AND(H33&gt;=$J$3,H33&lt;=$K$3),$L$3,
IF(AND(H33&gt;=$J$4,H33&lt;=$K$4),$L$4,
IF(AND(H33&gt;=$J$5,H33&lt;=$K$5),$L$5,
IF(AND(H33&gt;=$J$6,H33&lt;=$K$6),$L$6,
IF(AND(H33&gt;=$J$7,H33&lt;=$K$7),$L$7,
IF(AND(H33&gt;=$J$8,H33&lt;=$K$8),$L$8,
IF(AND(H33&gt;=$J$9,H33&lt;=$K$9),$L$9,
IF(AND(H33&gt;=$J$10,H33&lt;=$K$10),$L$10,
IF(AND(H33&gt;=$J$11,H33&lt;=$K$11),$L$11)))))))))),
"")</f>
        <v/>
      </c>
      <c r="J33"/>
    </row>
    <row r="34" spans="1:10" x14ac:dyDescent="0.35">
      <c r="A34" s="30" t="str">
        <f>IF(NOT(ISBLANK(Curs!B38)),Curs!B38,"")</f>
        <v/>
      </c>
      <c r="B34" s="31" t="str">
        <f>IF(NOT(ISBLANK(Curs!C38)),Curs!C38,"")</f>
        <v/>
      </c>
      <c r="C34" s="10"/>
      <c r="D34" s="10"/>
      <c r="E34" s="10"/>
      <c r="F34" s="10"/>
      <c r="G34" s="10"/>
      <c r="H34" s="24" t="str">
        <f>IF(NOT(ISBLANK(Curs!C38)),ROUND(SUM(C34:G34),0),"")</f>
        <v/>
      </c>
      <c r="I34" s="23" t="str">
        <f>IF(NOT(ISBLANK(Curs!C38)),
IF(H34=0,"n/p",
IF(AND(H34&gt;=$J$3,H34&lt;=$K$3),$L$3,
IF(AND(H34&gt;=$J$4,H34&lt;=$K$4),$L$4,
IF(AND(H34&gt;=$J$5,H34&lt;=$K$5),$L$5,
IF(AND(H34&gt;=$J$6,H34&lt;=$K$6),$L$6,
IF(AND(H34&gt;=$J$7,H34&lt;=$K$7),$L$7,
IF(AND(H34&gt;=$J$8,H34&lt;=$K$8),$L$8,
IF(AND(H34&gt;=$J$9,H34&lt;=$K$9),$L$9,
IF(AND(H34&gt;=$J$10,H34&lt;=$K$10),$L$10,
IF(AND(H34&gt;=$J$11,H34&lt;=$K$11),$L$11)))))))))),
"")</f>
        <v/>
      </c>
      <c r="J34"/>
    </row>
    <row r="35" spans="1:10" x14ac:dyDescent="0.35">
      <c r="A35" s="30" t="str">
        <f>IF(NOT(ISBLANK(Curs!B39)),Curs!B39,"")</f>
        <v/>
      </c>
      <c r="B35" s="31" t="str">
        <f>IF(NOT(ISBLANK(Curs!C39)),Curs!C39,"")</f>
        <v/>
      </c>
      <c r="C35" s="10"/>
      <c r="D35" s="10"/>
      <c r="E35" s="10"/>
      <c r="F35" s="10"/>
      <c r="G35" s="10"/>
      <c r="H35" s="24" t="str">
        <f>IF(NOT(ISBLANK(Curs!C39)),ROUND(SUM(C35:G35),0),"")</f>
        <v/>
      </c>
      <c r="I35" s="23" t="str">
        <f>IF(NOT(ISBLANK(Curs!C39)),
IF(H35=0,"n/p",
IF(AND(H35&gt;=$J$3,H35&lt;=$K$3),$L$3,
IF(AND(H35&gt;=$J$4,H35&lt;=$K$4),$L$4,
IF(AND(H35&gt;=$J$5,H35&lt;=$K$5),$L$5,
IF(AND(H35&gt;=$J$6,H35&lt;=$K$6),$L$6,
IF(AND(H35&gt;=$J$7,H35&lt;=$K$7),$L$7,
IF(AND(H35&gt;=$J$8,H35&lt;=$K$8),$L$8,
IF(AND(H35&gt;=$J$9,H35&lt;=$K$9),$L$9,
IF(AND(H35&gt;=$J$10,H35&lt;=$K$10),$L$10,
IF(AND(H35&gt;=$J$11,H35&lt;=$K$11),$L$11)))))))))),
"")</f>
        <v/>
      </c>
      <c r="J35"/>
    </row>
    <row r="36" spans="1:10" x14ac:dyDescent="0.35">
      <c r="A36" s="30" t="str">
        <f>IF(NOT(ISBLANK(Curs!B40)),Curs!B40,"")</f>
        <v/>
      </c>
      <c r="B36" s="31" t="str">
        <f>IF(NOT(ISBLANK(Curs!C40)),Curs!C40,"")</f>
        <v/>
      </c>
      <c r="C36" s="10"/>
      <c r="D36" s="10"/>
      <c r="E36" s="10"/>
      <c r="F36" s="10"/>
      <c r="G36" s="10"/>
      <c r="H36" s="24" t="str">
        <f>IF(NOT(ISBLANK(Curs!C40)),ROUND(SUM(C36:G36),0),"")</f>
        <v/>
      </c>
      <c r="I36" s="23" t="str">
        <f>IF(NOT(ISBLANK(Curs!C40)),
IF(H36=0,"n/p",
IF(AND(H36&gt;=$J$3,H36&lt;=$K$3),$L$3,
IF(AND(H36&gt;=$J$4,H36&lt;=$K$4),$L$4,
IF(AND(H36&gt;=$J$5,H36&lt;=$K$5),$L$5,
IF(AND(H36&gt;=$J$6,H36&lt;=$K$6),$L$6,
IF(AND(H36&gt;=$J$7,H36&lt;=$K$7),$L$7,
IF(AND(H36&gt;=$J$8,H36&lt;=$K$8),$L$8,
IF(AND(H36&gt;=$J$9,H36&lt;=$K$9),$L$9,
IF(AND(H36&gt;=$J$10,H36&lt;=$K$10),$L$10,
IF(AND(H36&gt;=$J$11,H36&lt;=$K$11),$L$11)))))))))),
"")</f>
        <v/>
      </c>
      <c r="J36"/>
    </row>
    <row r="37" spans="1:10" x14ac:dyDescent="0.35">
      <c r="A37" s="30" t="str">
        <f>IF(NOT(ISBLANK(Curs!B41)),Curs!B41,"")</f>
        <v/>
      </c>
      <c r="B37" s="31" t="str">
        <f>IF(NOT(ISBLANK(Curs!C41)),Curs!C41,"")</f>
        <v/>
      </c>
      <c r="C37" s="10"/>
      <c r="D37" s="10"/>
      <c r="E37" s="10"/>
      <c r="F37" s="10"/>
      <c r="G37" s="10"/>
      <c r="H37" s="24" t="str">
        <f>IF(NOT(ISBLANK(Curs!C41)),ROUND(SUM(C37:G37),0),"")</f>
        <v/>
      </c>
      <c r="I37" s="23" t="str">
        <f>IF(NOT(ISBLANK(Curs!C41)),
IF(H37=0,"n/p",
IF(AND(H37&gt;=$J$3,H37&lt;=$K$3),$L$3,
IF(AND(H37&gt;=$J$4,H37&lt;=$K$4),$L$4,
IF(AND(H37&gt;=$J$5,H37&lt;=$K$5),$L$5,
IF(AND(H37&gt;=$J$6,H37&lt;=$K$6),$L$6,
IF(AND(H37&gt;=$J$7,H37&lt;=$K$7),$L$7,
IF(AND(H37&gt;=$J$8,H37&lt;=$K$8),$L$8,
IF(AND(H37&gt;=$J$9,H37&lt;=$K$9),$L$9,
IF(AND(H37&gt;=$J$10,H37&lt;=$K$10),$L$10,
IF(AND(H37&gt;=$J$11,H37&lt;=$K$11),$L$11)))))))))),
"")</f>
        <v/>
      </c>
    </row>
    <row r="38" spans="1:10" x14ac:dyDescent="0.35">
      <c r="A38" s="30" t="str">
        <f>IF(NOT(ISBLANK(Curs!B42)),Curs!B42,"")</f>
        <v/>
      </c>
      <c r="B38" s="31" t="str">
        <f>IF(NOT(ISBLANK(Curs!C42)),Curs!C42,"")</f>
        <v/>
      </c>
      <c r="C38" s="10"/>
      <c r="D38" s="10"/>
      <c r="E38" s="10"/>
      <c r="F38" s="10"/>
      <c r="G38" s="10"/>
      <c r="H38" s="24" t="str">
        <f>IF(NOT(ISBLANK(Curs!C42)),ROUND(SUM(C38:G38),0),"")</f>
        <v/>
      </c>
      <c r="I38" s="23" t="str">
        <f>IF(NOT(ISBLANK(Curs!C42)),
IF(H38=0,"n/p",
IF(AND(H38&gt;=$J$3,H38&lt;=$K$3),$L$3,
IF(AND(H38&gt;=$J$4,H38&lt;=$K$4),$L$4,
IF(AND(H38&gt;=$J$5,H38&lt;=$K$5),$L$5,
IF(AND(H38&gt;=$J$6,H38&lt;=$K$6),$L$6,
IF(AND(H38&gt;=$J$7,H38&lt;=$K$7),$L$7,
IF(AND(H38&gt;=$J$8,H38&lt;=$K$8),$L$8,
IF(AND(H38&gt;=$J$9,H38&lt;=$K$9),$L$9,
IF(AND(H38&gt;=$J$10,H38&lt;=$K$10),$L$10,
IF(AND(H38&gt;=$J$11,H38&lt;=$K$11),$L$11)))))))))),
"")</f>
        <v/>
      </c>
    </row>
    <row r="39" spans="1:10" x14ac:dyDescent="0.35">
      <c r="A39" s="30" t="str">
        <f>IF(NOT(ISBLANK(Curs!B43)),Curs!B43,"")</f>
        <v/>
      </c>
      <c r="B39" s="31" t="str">
        <f>IF(NOT(ISBLANK(Curs!C43)),Curs!C43,"")</f>
        <v/>
      </c>
      <c r="C39" s="10"/>
      <c r="D39" s="10"/>
      <c r="E39" s="10"/>
      <c r="F39" s="10"/>
      <c r="G39" s="10"/>
      <c r="H39" s="24" t="str">
        <f>IF(NOT(ISBLANK(Curs!C43)),ROUND(SUM(C39:G39),0),"")</f>
        <v/>
      </c>
      <c r="I39" s="23" t="str">
        <f>IF(NOT(ISBLANK(Curs!C43)),
IF(H39=0,"n/p",
IF(AND(H39&gt;=$J$3,H39&lt;=$K$3),$L$3,
IF(AND(H39&gt;=$J$4,H39&lt;=$K$4),$L$4,
IF(AND(H39&gt;=$J$5,H39&lt;=$K$5),$L$5,
IF(AND(H39&gt;=$J$6,H39&lt;=$K$6),$L$6,
IF(AND(H39&gt;=$J$7,H39&lt;=$K$7),$L$7,
IF(AND(H39&gt;=$J$8,H39&lt;=$K$8),$L$8,
IF(AND(H39&gt;=$J$9,H39&lt;=$K$9),$L$9,
IF(AND(H39&gt;=$J$10,H39&lt;=$K$10),$L$10,
IF(AND(H39&gt;=$J$11,H39&lt;=$K$11),$L$11)))))))))),
"")</f>
        <v/>
      </c>
    </row>
    <row r="40" spans="1:10" x14ac:dyDescent="0.35">
      <c r="A40" s="30" t="str">
        <f>IF(NOT(ISBLANK(Curs!B44)),Curs!B44,"")</f>
        <v/>
      </c>
      <c r="B40" s="31" t="str">
        <f>IF(NOT(ISBLANK(Curs!C44)),Curs!C44,"")</f>
        <v/>
      </c>
      <c r="C40" s="10"/>
      <c r="D40" s="10"/>
      <c r="E40" s="10"/>
      <c r="F40" s="10"/>
      <c r="G40" s="10"/>
      <c r="H40" s="24" t="str">
        <f>IF(NOT(ISBLANK(Curs!C44)),ROUND(SUM(C40:G40),0),"")</f>
        <v/>
      </c>
      <c r="I40" s="23" t="str">
        <f>IF(NOT(ISBLANK(Curs!C44)),
IF(H40=0,"n/p",
IF(AND(H40&gt;=$J$3,H40&lt;=$K$3),$L$3,
IF(AND(H40&gt;=$J$4,H40&lt;=$K$4),$L$4,
IF(AND(H40&gt;=$J$5,H40&lt;=$K$5),$L$5,
IF(AND(H40&gt;=$J$6,H40&lt;=$K$6),$L$6,
IF(AND(H40&gt;=$J$7,H40&lt;=$K$7),$L$7,
IF(AND(H40&gt;=$J$8,H40&lt;=$K$8),$L$8,
IF(AND(H40&gt;=$J$9,H40&lt;=$K$9),$L$9,
IF(AND(H40&gt;=$J$10,H40&lt;=$K$10),$L$10,
IF(AND(H40&gt;=$J$11,H40&lt;=$K$11),$L$11)))))))))),
"")</f>
        <v/>
      </c>
    </row>
    <row r="41" spans="1:10" x14ac:dyDescent="0.35">
      <c r="A41" s="30" t="str">
        <f>IF(NOT(ISBLANK(Curs!B45)),Curs!B45,"")</f>
        <v/>
      </c>
      <c r="B41" s="31" t="str">
        <f>IF(NOT(ISBLANK(Curs!C45)),Curs!C45,"")</f>
        <v/>
      </c>
      <c r="C41" s="10"/>
      <c r="D41" s="10"/>
      <c r="E41" s="10"/>
      <c r="F41" s="10"/>
      <c r="G41" s="10"/>
      <c r="H41" s="24" t="str">
        <f>IF(NOT(ISBLANK(Curs!C45)),ROUND(SUM(C41:G41),0),"")</f>
        <v/>
      </c>
      <c r="I41" s="23" t="str">
        <f>IF(NOT(ISBLANK(Curs!C45)),
IF(H41=0,"n/p",
IF(AND(H41&gt;=$J$3,H41&lt;=$K$3),$L$3,
IF(AND(H41&gt;=$J$4,H41&lt;=$K$4),$L$4,
IF(AND(H41&gt;=$J$5,H41&lt;=$K$5),$L$5,
IF(AND(H41&gt;=$J$6,H41&lt;=$K$6),$L$6,
IF(AND(H41&gt;=$J$7,H41&lt;=$K$7),$L$7,
IF(AND(H41&gt;=$J$8,H41&lt;=$K$8),$L$8,
IF(AND(H41&gt;=$J$9,H41&lt;=$K$9),$L$9,
IF(AND(H41&gt;=$J$10,H41&lt;=$K$10),$L$10,
IF(AND(H41&gt;=$J$11,H41&lt;=$K$11),$L$11)))))))))),
"")</f>
        <v/>
      </c>
    </row>
    <row r="42" spans="1:10" x14ac:dyDescent="0.35">
      <c r="A42" s="30" t="str">
        <f>IF(NOT(ISBLANK(Curs!B46)),Curs!B46,"")</f>
        <v/>
      </c>
      <c r="B42" s="31" t="str">
        <f>IF(NOT(ISBLANK(Curs!C46)),Curs!C46,"")</f>
        <v/>
      </c>
      <c r="C42" s="10"/>
      <c r="D42" s="10"/>
      <c r="E42" s="10"/>
      <c r="F42" s="10"/>
      <c r="G42" s="10"/>
      <c r="H42" s="24" t="str">
        <f>IF(NOT(ISBLANK(Curs!C46)),ROUND(SUM(C42:G42),0),"")</f>
        <v/>
      </c>
      <c r="I42" s="23" t="str">
        <f>IF(NOT(ISBLANK(Curs!C46)),
IF(H42=0,"n/p",
IF(AND(H42&gt;=$J$3,H42&lt;=$K$3),$L$3,
IF(AND(H42&gt;=$J$4,H42&lt;=$K$4),$L$4,
IF(AND(H42&gt;=$J$5,H42&lt;=$K$5),$L$5,
IF(AND(H42&gt;=$J$6,H42&lt;=$K$6),$L$6,
IF(AND(H42&gt;=$J$7,H42&lt;=$K$7),$L$7,
IF(AND(H42&gt;=$J$8,H42&lt;=$K$8),$L$8,
IF(AND(H42&gt;=$J$9,H42&lt;=$K$9),$L$9,
IF(AND(H42&gt;=$J$10,H42&lt;=$K$10),$L$10,
IF(AND(H42&gt;=$J$11,H42&lt;=$K$11),$L$11)))))))))),
"")</f>
        <v/>
      </c>
    </row>
    <row r="43" spans="1:10" x14ac:dyDescent="0.35">
      <c r="A43" s="30" t="str">
        <f>IF(NOT(ISBLANK(Curs!B47)),Curs!B47,"")</f>
        <v/>
      </c>
      <c r="B43" s="31" t="str">
        <f>IF(NOT(ISBLANK(Curs!C47)),Curs!C47,"")</f>
        <v/>
      </c>
      <c r="C43" s="10"/>
      <c r="D43" s="10"/>
      <c r="E43" s="10"/>
      <c r="F43" s="10"/>
      <c r="G43" s="10"/>
      <c r="H43" s="24" t="str">
        <f>IF(NOT(ISBLANK(Curs!C47)),ROUND(SUM(C43:G43),0),"")</f>
        <v/>
      </c>
      <c r="I43" s="23" t="str">
        <f>IF(NOT(ISBLANK(Curs!C47)),
IF(H43=0,"n/p",
IF(AND(H43&gt;=$J$3,H43&lt;=$K$3),$L$3,
IF(AND(H43&gt;=$J$4,H43&lt;=$K$4),$L$4,
IF(AND(H43&gt;=$J$5,H43&lt;=$K$5),$L$5,
IF(AND(H43&gt;=$J$6,H43&lt;=$K$6),$L$6,
IF(AND(H43&gt;=$J$7,H43&lt;=$K$7),$L$7,
IF(AND(H43&gt;=$J$8,H43&lt;=$K$8),$L$8,
IF(AND(H43&gt;=$J$9,H43&lt;=$K$9),$L$9,
IF(AND(H43&gt;=$J$10,H43&lt;=$K$10),$L$10,
IF(AND(H43&gt;=$J$11,H43&lt;=$K$11),$L$11)))))))))),
"")</f>
        <v/>
      </c>
    </row>
    <row r="44" spans="1:10" x14ac:dyDescent="0.35">
      <c r="A44" s="30" t="str">
        <f>IF(NOT(ISBLANK(Curs!B48)),Curs!B48,"")</f>
        <v/>
      </c>
      <c r="B44" s="31" t="str">
        <f>IF(NOT(ISBLANK(Curs!C48)),Curs!C48,"")</f>
        <v/>
      </c>
      <c r="C44" s="10"/>
      <c r="D44" s="10"/>
      <c r="E44" s="10"/>
      <c r="F44" s="10"/>
      <c r="G44" s="10"/>
      <c r="H44" s="24" t="str">
        <f>IF(NOT(ISBLANK(Curs!C48)),ROUND(SUM(C44:G44),0),"")</f>
        <v/>
      </c>
      <c r="I44" s="23" t="str">
        <f>IF(NOT(ISBLANK(Curs!C48)),
IF(H44=0,"n/p",
IF(AND(H44&gt;=$J$3,H44&lt;=$K$3),$L$3,
IF(AND(H44&gt;=$J$4,H44&lt;=$K$4),$L$4,
IF(AND(H44&gt;=$J$5,H44&lt;=$K$5),$L$5,
IF(AND(H44&gt;=$J$6,H44&lt;=$K$6),$L$6,
IF(AND(H44&gt;=$J$7,H44&lt;=$K$7),$L$7,
IF(AND(H44&gt;=$J$8,H44&lt;=$K$8),$L$8,
IF(AND(H44&gt;=$J$9,H44&lt;=$K$9),$L$9,
IF(AND(H44&gt;=$J$10,H44&lt;=$K$10),$L$10,
IF(AND(H44&gt;=$J$11,H44&lt;=$K$11),$L$11)))))))))),
"")</f>
        <v/>
      </c>
    </row>
    <row r="45" spans="1:10" x14ac:dyDescent="0.35">
      <c r="A45" s="30" t="str">
        <f>IF(NOT(ISBLANK(Curs!B49)),Curs!B49,"")</f>
        <v/>
      </c>
      <c r="B45" s="31" t="str">
        <f>IF(NOT(ISBLANK(Curs!C49)),Curs!C49,"")</f>
        <v/>
      </c>
      <c r="C45" s="10"/>
      <c r="D45" s="10"/>
      <c r="E45" s="10"/>
      <c r="F45" s="10"/>
      <c r="G45" s="10"/>
      <c r="H45" s="24" t="str">
        <f>IF(NOT(ISBLANK(Curs!C49)),ROUND(SUM(C45:G45),0),"")</f>
        <v/>
      </c>
      <c r="I45" s="23" t="str">
        <f>IF(NOT(ISBLANK(Curs!C49)),
IF(H45=0,"n/p",
IF(AND(H45&gt;=$J$3,H45&lt;=$K$3),$L$3,
IF(AND(H45&gt;=$J$4,H45&lt;=$K$4),$L$4,
IF(AND(H45&gt;=$J$5,H45&lt;=$K$5),$L$5,
IF(AND(H45&gt;=$J$6,H45&lt;=$K$6),$L$6,
IF(AND(H45&gt;=$J$7,H45&lt;=$K$7),$L$7,
IF(AND(H45&gt;=$J$8,H45&lt;=$K$8),$L$8,
IF(AND(H45&gt;=$J$9,H45&lt;=$K$9),$L$9,
IF(AND(H45&gt;=$J$10,H45&lt;=$K$10),$L$10,
IF(AND(H45&gt;=$J$11,H45&lt;=$K$11),$L$11)))))))))),
"")</f>
        <v/>
      </c>
    </row>
    <row r="46" spans="1:10" x14ac:dyDescent="0.35">
      <c r="A46" s="30" t="str">
        <f>IF(NOT(ISBLANK(Curs!B50)),Curs!B50,"")</f>
        <v/>
      </c>
      <c r="B46" s="31" t="str">
        <f>IF(NOT(ISBLANK(Curs!C50)),Curs!C50,"")</f>
        <v/>
      </c>
      <c r="C46" s="10"/>
      <c r="D46" s="10"/>
      <c r="E46" s="10"/>
      <c r="F46" s="10"/>
      <c r="G46" s="10"/>
      <c r="H46" s="24" t="str">
        <f>IF(NOT(ISBLANK(Curs!C50)),ROUND(SUM(C46:G46),0),"")</f>
        <v/>
      </c>
      <c r="I46" s="23" t="str">
        <f>IF(NOT(ISBLANK(Curs!C50)),
IF(H46=0,"n/p",
IF(AND(H46&gt;=$J$3,H46&lt;=$K$3),$L$3,
IF(AND(H46&gt;=$J$4,H46&lt;=$K$4),$L$4,
IF(AND(H46&gt;=$J$5,H46&lt;=$K$5),$L$5,
IF(AND(H46&gt;=$J$6,H46&lt;=$K$6),$L$6,
IF(AND(H46&gt;=$J$7,H46&lt;=$K$7),$L$7,
IF(AND(H46&gt;=$J$8,H46&lt;=$K$8),$L$8,
IF(AND(H46&gt;=$J$9,H46&lt;=$K$9),$L$9,
IF(AND(H46&gt;=$J$10,H46&lt;=$K$10),$L$10,
IF(AND(H46&gt;=$J$11,H46&lt;=$K$11),$L$11)))))))))),
"")</f>
        <v/>
      </c>
    </row>
    <row r="47" spans="1:10" x14ac:dyDescent="0.35">
      <c r="A47" s="30" t="str">
        <f>IF(NOT(ISBLANK(Curs!B51)),Curs!B51,"")</f>
        <v/>
      </c>
      <c r="B47" s="31" t="str">
        <f>IF(NOT(ISBLANK(Curs!C51)),Curs!C51,"")</f>
        <v/>
      </c>
      <c r="C47" s="10"/>
      <c r="D47" s="10"/>
      <c r="E47" s="10"/>
      <c r="F47" s="10"/>
      <c r="G47" s="10"/>
      <c r="H47" s="24" t="str">
        <f>IF(NOT(ISBLANK(Curs!C51)),ROUND(SUM(C47:G47),0),"")</f>
        <v/>
      </c>
      <c r="I47" s="23" t="str">
        <f>IF(NOT(ISBLANK(Curs!C51)),
IF(H47=0,"n/p",
IF(AND(H47&gt;=$J$3,H47&lt;=$K$3),$L$3,
IF(AND(H47&gt;=$J$4,H47&lt;=$K$4),$L$4,
IF(AND(H47&gt;=$J$5,H47&lt;=$K$5),$L$5,
IF(AND(H47&gt;=$J$6,H47&lt;=$K$6),$L$6,
IF(AND(H47&gt;=$J$7,H47&lt;=$K$7),$L$7,
IF(AND(H47&gt;=$J$8,H47&lt;=$K$8),$L$8,
IF(AND(H47&gt;=$J$9,H47&lt;=$K$9),$L$9,
IF(AND(H47&gt;=$J$10,H47&lt;=$K$10),$L$10,
IF(AND(H47&gt;=$J$11,H47&lt;=$K$11),$L$11)))))))))),
"")</f>
        <v/>
      </c>
    </row>
    <row r="48" spans="1:10" x14ac:dyDescent="0.35">
      <c r="A48" s="30" t="str">
        <f>IF(NOT(ISBLANK(Curs!B52)),Curs!B52,"")</f>
        <v/>
      </c>
      <c r="B48" s="31" t="str">
        <f>IF(NOT(ISBLANK(Curs!C52)),Curs!C52,"")</f>
        <v/>
      </c>
      <c r="C48" s="10"/>
      <c r="D48" s="10"/>
      <c r="E48" s="10"/>
      <c r="F48" s="10"/>
      <c r="G48" s="10"/>
      <c r="H48" s="24" t="str">
        <f>IF(NOT(ISBLANK(Curs!C52)),ROUND(SUM(C48:G48),0),"")</f>
        <v/>
      </c>
      <c r="I48" s="23" t="str">
        <f>IF(NOT(ISBLANK(Curs!C52)),
IF(H48=0,"n/p",
IF(AND(H48&gt;=$J$3,H48&lt;=$K$3),$L$3,
IF(AND(H48&gt;=$J$4,H48&lt;=$K$4),$L$4,
IF(AND(H48&gt;=$J$5,H48&lt;=$K$5),$L$5,
IF(AND(H48&gt;=$J$6,H48&lt;=$K$6),$L$6,
IF(AND(H48&gt;=$J$7,H48&lt;=$K$7),$L$7,
IF(AND(H48&gt;=$J$8,H48&lt;=$K$8),$L$8,
IF(AND(H48&gt;=$J$9,H48&lt;=$K$9),$L$9,
IF(AND(H48&gt;=$J$10,H48&lt;=$K$10),$L$10,
IF(AND(H48&gt;=$J$11,H48&lt;=$K$11),$L$11)))))))))),
"")</f>
        <v/>
      </c>
    </row>
    <row r="49" spans="1:9" x14ac:dyDescent="0.35">
      <c r="A49" s="30" t="str">
        <f>IF(NOT(ISBLANK(Curs!B53)),Curs!B53,"")</f>
        <v/>
      </c>
      <c r="B49" s="31" t="str">
        <f>IF(NOT(ISBLANK(Curs!C53)),Curs!C53,"")</f>
        <v/>
      </c>
      <c r="C49" s="10"/>
      <c r="D49" s="10"/>
      <c r="E49" s="10"/>
      <c r="F49" s="10"/>
      <c r="G49" s="10"/>
      <c r="H49" s="24" t="str">
        <f>IF(NOT(ISBLANK(Curs!C53)),ROUND(SUM(C49:G49),0),"")</f>
        <v/>
      </c>
      <c r="I49" s="23" t="str">
        <f>IF(NOT(ISBLANK(Curs!C53)),
IF(H49=0,"n/p",
IF(AND(H49&gt;=$J$3,H49&lt;=$K$3),$L$3,
IF(AND(H49&gt;=$J$4,H49&lt;=$K$4),$L$4,
IF(AND(H49&gt;=$J$5,H49&lt;=$K$5),$L$5,
IF(AND(H49&gt;=$J$6,H49&lt;=$K$6),$L$6,
IF(AND(H49&gt;=$J$7,H49&lt;=$K$7),$L$7,
IF(AND(H49&gt;=$J$8,H49&lt;=$K$8),$L$8,
IF(AND(H49&gt;=$J$9,H49&lt;=$K$9),$L$9,
IF(AND(H49&gt;=$J$10,H49&lt;=$K$10),$L$10,
IF(AND(H49&gt;=$J$11,H49&lt;=$K$11),$L$11)))))))))),
"")</f>
        <v/>
      </c>
    </row>
    <row r="50" spans="1:9" x14ac:dyDescent="0.35">
      <c r="A50" s="30" t="str">
        <f>IF(NOT(ISBLANK(Curs!B54)),Curs!B54,"")</f>
        <v/>
      </c>
      <c r="B50" s="31" t="str">
        <f>IF(NOT(ISBLANK(Curs!C54)),Curs!C54,"")</f>
        <v/>
      </c>
      <c r="C50" s="10"/>
      <c r="D50" s="10"/>
      <c r="E50" s="10"/>
      <c r="F50" s="10"/>
      <c r="G50" s="10"/>
      <c r="H50" s="24" t="str">
        <f>IF(NOT(ISBLANK(Curs!C54)),ROUND(SUM(C50:G50),0),"")</f>
        <v/>
      </c>
      <c r="I50" s="23" t="str">
        <f>IF(NOT(ISBLANK(Curs!C54)),
IF(H50=0,"n/p",
IF(AND(H50&gt;=$J$3,H50&lt;=$K$3),$L$3,
IF(AND(H50&gt;=$J$4,H50&lt;=$K$4),$L$4,
IF(AND(H50&gt;=$J$5,H50&lt;=$K$5),$L$5,
IF(AND(H50&gt;=$J$6,H50&lt;=$K$6),$L$6,
IF(AND(H50&gt;=$J$7,H50&lt;=$K$7),$L$7,
IF(AND(H50&gt;=$J$8,H50&lt;=$K$8),$L$8,
IF(AND(H50&gt;=$J$9,H50&lt;=$K$9),$L$9,
IF(AND(H50&gt;=$J$10,H50&lt;=$K$10),$L$10,
IF(AND(H50&gt;=$J$11,H50&lt;=$K$11),$L$11)))))))))),
"")</f>
        <v/>
      </c>
    </row>
    <row r="51" spans="1:9" x14ac:dyDescent="0.35">
      <c r="A51" s="30" t="str">
        <f>IF(NOT(ISBLANK(Curs!B55)),Curs!B55,"")</f>
        <v/>
      </c>
      <c r="B51" s="31" t="str">
        <f>IF(NOT(ISBLANK(Curs!C55)),Curs!C55,"")</f>
        <v/>
      </c>
      <c r="C51" s="10"/>
      <c r="D51" s="10"/>
      <c r="E51" s="10"/>
      <c r="F51" s="10"/>
      <c r="G51" s="10"/>
      <c r="H51" s="24" t="str">
        <f>IF(NOT(ISBLANK(Curs!C55)),ROUND(SUM(C51:G51),0),"")</f>
        <v/>
      </c>
      <c r="I51" s="23" t="str">
        <f>IF(NOT(ISBLANK(Curs!C55)),
IF(H51=0,"n/p",
IF(AND(H51&gt;=$J$3,H51&lt;=$K$3),$L$3,
IF(AND(H51&gt;=$J$4,H51&lt;=$K$4),$L$4,
IF(AND(H51&gt;=$J$5,H51&lt;=$K$5),$L$5,
IF(AND(H51&gt;=$J$6,H51&lt;=$K$6),$L$6,
IF(AND(H51&gt;=$J$7,H51&lt;=$K$7),$L$7,
IF(AND(H51&gt;=$J$8,H51&lt;=$K$8),$L$8,
IF(AND(H51&gt;=$J$9,H51&lt;=$K$9),$L$9,
IF(AND(H51&gt;=$J$10,H51&lt;=$K$10),$L$10,
IF(AND(H51&gt;=$J$11,H51&lt;=$K$11),$L$11)))))))))),
"")</f>
        <v/>
      </c>
    </row>
    <row r="52" spans="1:9" x14ac:dyDescent="0.35">
      <c r="A52" s="30" t="str">
        <f>IF(NOT(ISBLANK(Curs!B56)),Curs!B56,"")</f>
        <v/>
      </c>
      <c r="B52" s="31" t="str">
        <f>IF(NOT(ISBLANK(Curs!C56)),Curs!C56,"")</f>
        <v/>
      </c>
      <c r="C52" s="10"/>
      <c r="D52" s="10"/>
      <c r="E52" s="10"/>
      <c r="F52" s="10"/>
      <c r="G52" s="10"/>
      <c r="H52" s="24" t="str">
        <f>IF(NOT(ISBLANK(Curs!C56)),ROUND(SUM(C52:G52),0),"")</f>
        <v/>
      </c>
      <c r="I52" s="23" t="str">
        <f>IF(NOT(ISBLANK(Curs!C56)),
IF(H52=0,"n/p",
IF(AND(H52&gt;=$J$3,H52&lt;=$K$3),$L$3,
IF(AND(H52&gt;=$J$4,H52&lt;=$K$4),$L$4,
IF(AND(H52&gt;=$J$5,H52&lt;=$K$5),$L$5,
IF(AND(H52&gt;=$J$6,H52&lt;=$K$6),$L$6,
IF(AND(H52&gt;=$J$7,H52&lt;=$K$7),$L$7,
IF(AND(H52&gt;=$J$8,H52&lt;=$K$8),$L$8,
IF(AND(H52&gt;=$J$9,H52&lt;=$K$9),$L$9,
IF(AND(H52&gt;=$J$10,H52&lt;=$K$10),$L$10,
IF(AND(H52&gt;=$J$11,H52&lt;=$K$11),$L$11)))))))))),
"")</f>
        <v/>
      </c>
    </row>
    <row r="53" spans="1:9" x14ac:dyDescent="0.35">
      <c r="A53" s="30" t="str">
        <f>IF(NOT(ISBLANK(Curs!B57)),Curs!B57,"")</f>
        <v/>
      </c>
      <c r="B53" s="31" t="str">
        <f>IF(NOT(ISBLANK(Curs!C57)),Curs!C57,"")</f>
        <v/>
      </c>
      <c r="C53" s="10"/>
      <c r="D53" s="10"/>
      <c r="E53" s="10"/>
      <c r="F53" s="10"/>
      <c r="G53" s="10"/>
      <c r="H53" s="24" t="str">
        <f>IF(NOT(ISBLANK(Curs!C57)),ROUND(SUM(C53:G53),0),"")</f>
        <v/>
      </c>
      <c r="I53" s="23" t="str">
        <f>IF(NOT(ISBLANK(Curs!C57)),
IF(H53=0,"n/p",
IF(AND(H53&gt;=$J$3,H53&lt;=$K$3),$L$3,
IF(AND(H53&gt;=$J$4,H53&lt;=$K$4),$L$4,
IF(AND(H53&gt;=$J$5,H53&lt;=$K$5),$L$5,
IF(AND(H53&gt;=$J$6,H53&lt;=$K$6),$L$6,
IF(AND(H53&gt;=$J$7,H53&lt;=$K$7),$L$7,
IF(AND(H53&gt;=$J$8,H53&lt;=$K$8),$L$8,
IF(AND(H53&gt;=$J$9,H53&lt;=$K$9),$L$9,
IF(AND(H53&gt;=$J$10,H53&lt;=$K$10),$L$10,
IF(AND(H53&gt;=$J$11,H53&lt;=$K$11),$L$11)))))))))),
"")</f>
        <v/>
      </c>
    </row>
    <row r="54" spans="1:9" x14ac:dyDescent="0.35">
      <c r="A54" s="30" t="str">
        <f>IF(NOT(ISBLANK(Curs!B58)),Curs!B58,"")</f>
        <v/>
      </c>
      <c r="B54" s="31" t="str">
        <f>IF(NOT(ISBLANK(Curs!C58)),Curs!C58,"")</f>
        <v/>
      </c>
      <c r="C54" s="10"/>
      <c r="D54" s="10"/>
      <c r="E54" s="10"/>
      <c r="F54" s="10"/>
      <c r="G54" s="10"/>
      <c r="H54" s="24" t="str">
        <f>IF(NOT(ISBLANK(Curs!C58)),ROUND(SUM(C54:G54),0),"")</f>
        <v/>
      </c>
      <c r="I54" s="23" t="str">
        <f>IF(NOT(ISBLANK(Curs!C58)),
IF(H54=0,"n/p",
IF(AND(H54&gt;=$J$3,H54&lt;=$K$3),$L$3,
IF(AND(H54&gt;=$J$4,H54&lt;=$K$4),$L$4,
IF(AND(H54&gt;=$J$5,H54&lt;=$K$5),$L$5,
IF(AND(H54&gt;=$J$6,H54&lt;=$K$6),$L$6,
IF(AND(H54&gt;=$J$7,H54&lt;=$K$7),$L$7,
IF(AND(H54&gt;=$J$8,H54&lt;=$K$8),$L$8,
IF(AND(H54&gt;=$J$9,H54&lt;=$K$9),$L$9,
IF(AND(H54&gt;=$J$10,H54&lt;=$K$10),$L$10,
IF(AND(H54&gt;=$J$11,H54&lt;=$K$11),$L$11)))))))))),
"")</f>
        <v/>
      </c>
    </row>
    <row r="55" spans="1:9" x14ac:dyDescent="0.35">
      <c r="A55" s="30" t="str">
        <f>IF(NOT(ISBLANK(Curs!B59)),Curs!B59,"")</f>
        <v/>
      </c>
      <c r="B55" s="31" t="str">
        <f>IF(NOT(ISBLANK(Curs!C59)),Curs!C59,"")</f>
        <v/>
      </c>
      <c r="C55" s="10"/>
      <c r="D55" s="10"/>
      <c r="E55" s="10"/>
      <c r="F55" s="10"/>
      <c r="G55" s="10"/>
      <c r="H55" s="24" t="str">
        <f>IF(NOT(ISBLANK(Curs!C59)),ROUND(SUM(C55:G55),0),"")</f>
        <v/>
      </c>
      <c r="I55" s="23" t="str">
        <f>IF(NOT(ISBLANK(Curs!C59)),
IF(H55=0,"n/p",
IF(AND(H55&gt;=$J$3,H55&lt;=$K$3),$L$3,
IF(AND(H55&gt;=$J$4,H55&lt;=$K$4),$L$4,
IF(AND(H55&gt;=$J$5,H55&lt;=$K$5),$L$5,
IF(AND(H55&gt;=$J$6,H55&lt;=$K$6),$L$6,
IF(AND(H55&gt;=$J$7,H55&lt;=$K$7),$L$7,
IF(AND(H55&gt;=$J$8,H55&lt;=$K$8),$L$8,
IF(AND(H55&gt;=$J$9,H55&lt;=$K$9),$L$9,
IF(AND(H55&gt;=$J$10,H55&lt;=$K$10),$L$10,
IF(AND(H55&gt;=$J$11,H55&lt;=$K$11),$L$11)))))))))),
"")</f>
        <v/>
      </c>
    </row>
    <row r="56" spans="1:9" x14ac:dyDescent="0.35">
      <c r="A56" s="30" t="str">
        <f>IF(NOT(ISBLANK(Curs!B60)),Curs!B60,"")</f>
        <v/>
      </c>
      <c r="B56" s="31" t="str">
        <f>IF(NOT(ISBLANK(Curs!C60)),Curs!C60,"")</f>
        <v/>
      </c>
      <c r="C56" s="10"/>
      <c r="D56" s="10"/>
      <c r="E56" s="10"/>
      <c r="F56" s="10"/>
      <c r="G56" s="10"/>
      <c r="H56" s="24" t="str">
        <f>IF(NOT(ISBLANK(Curs!C60)),ROUND(SUM(C56:G56),0),"")</f>
        <v/>
      </c>
      <c r="I56" s="23" t="str">
        <f>IF(NOT(ISBLANK(Curs!C60)),
IF(H56=0,"n/p",
IF(AND(H56&gt;=$J$3,H56&lt;=$K$3),$L$3,
IF(AND(H56&gt;=$J$4,H56&lt;=$K$4),$L$4,
IF(AND(H56&gt;=$J$5,H56&lt;=$K$5),$L$5,
IF(AND(H56&gt;=$J$6,H56&lt;=$K$6),$L$6,
IF(AND(H56&gt;=$J$7,H56&lt;=$K$7),$L$7,
IF(AND(H56&gt;=$J$8,H56&lt;=$K$8),$L$8,
IF(AND(H56&gt;=$J$9,H56&lt;=$K$9),$L$9,
IF(AND(H56&gt;=$J$10,H56&lt;=$K$10),$L$10,
IF(AND(H56&gt;=$J$11,H56&lt;=$K$11),$L$11)))))))))),
"")</f>
        <v/>
      </c>
    </row>
    <row r="57" spans="1:9" x14ac:dyDescent="0.35">
      <c r="A57" s="30" t="str">
        <f>IF(NOT(ISBLANK(Curs!B61)),Curs!B61,"")</f>
        <v/>
      </c>
      <c r="B57" s="31" t="str">
        <f>IF(NOT(ISBLANK(Curs!C61)),Curs!C61,"")</f>
        <v/>
      </c>
      <c r="C57" s="10"/>
      <c r="D57" s="10"/>
      <c r="E57" s="10"/>
      <c r="F57" s="10"/>
      <c r="G57" s="10"/>
      <c r="H57" s="24" t="str">
        <f>IF(NOT(ISBLANK(Curs!C61)),ROUND(SUM(C57:G57),0),"")</f>
        <v/>
      </c>
      <c r="I57" s="23" t="str">
        <f>IF(NOT(ISBLANK(Curs!C61)),
IF(H57=0,"n/p",
IF(AND(H57&gt;=$J$3,H57&lt;=$K$3),$L$3,
IF(AND(H57&gt;=$J$4,H57&lt;=$K$4),$L$4,
IF(AND(H57&gt;=$J$5,H57&lt;=$K$5),$L$5,
IF(AND(H57&gt;=$J$6,H57&lt;=$K$6),$L$6,
IF(AND(H57&gt;=$J$7,H57&lt;=$K$7),$L$7,
IF(AND(H57&gt;=$J$8,H57&lt;=$K$8),$L$8,
IF(AND(H57&gt;=$J$9,H57&lt;=$K$9),$L$9,
IF(AND(H57&gt;=$J$10,H57&lt;=$K$10),$L$10,
IF(AND(H57&gt;=$J$11,H57&lt;=$K$11),$L$11)))))))))),
"")</f>
        <v/>
      </c>
    </row>
    <row r="58" spans="1:9" x14ac:dyDescent="0.35">
      <c r="A58" s="30" t="str">
        <f>IF(NOT(ISBLANK(Curs!B62)),Curs!B62,"")</f>
        <v/>
      </c>
      <c r="B58" s="31" t="str">
        <f>IF(NOT(ISBLANK(Curs!C62)),Curs!C62,"")</f>
        <v/>
      </c>
      <c r="C58" s="10"/>
      <c r="D58" s="10"/>
      <c r="E58" s="10"/>
      <c r="F58" s="10"/>
      <c r="G58" s="10"/>
      <c r="H58" s="24" t="str">
        <f>IF(NOT(ISBLANK(Curs!C62)),ROUND(SUM(C58:G58),0),"")</f>
        <v/>
      </c>
      <c r="I58" s="23" t="str">
        <f>IF(NOT(ISBLANK(Curs!C62)),
IF(H58=0,"n/p",
IF(AND(H58&gt;=$J$3,H58&lt;=$K$3),$L$3,
IF(AND(H58&gt;=$J$4,H58&lt;=$K$4),$L$4,
IF(AND(H58&gt;=$J$5,H58&lt;=$K$5),$L$5,
IF(AND(H58&gt;=$J$6,H58&lt;=$K$6),$L$6,
IF(AND(H58&gt;=$J$7,H58&lt;=$K$7),$L$7,
IF(AND(H58&gt;=$J$8,H58&lt;=$K$8),$L$8,
IF(AND(H58&gt;=$J$9,H58&lt;=$K$9),$L$9,
IF(AND(H58&gt;=$J$10,H58&lt;=$K$10),$L$10,
IF(AND(H58&gt;=$J$11,H58&lt;=$K$11),$L$11)))))))))),
"")</f>
        <v/>
      </c>
    </row>
    <row r="59" spans="1:9" x14ac:dyDescent="0.35">
      <c r="A59" s="30" t="str">
        <f>IF(NOT(ISBLANK(Curs!B63)),Curs!B63,"")</f>
        <v/>
      </c>
      <c r="B59" s="31" t="str">
        <f>IF(NOT(ISBLANK(Curs!C63)),Curs!C63,"")</f>
        <v/>
      </c>
      <c r="C59" s="10"/>
      <c r="D59" s="10"/>
      <c r="E59" s="10"/>
      <c r="F59" s="10"/>
      <c r="G59" s="10"/>
      <c r="H59" s="24" t="str">
        <f>IF(NOT(ISBLANK(Curs!C63)),ROUND(SUM(C59:G59),0),"")</f>
        <v/>
      </c>
      <c r="I59" s="23" t="str">
        <f>IF(NOT(ISBLANK(Curs!C63)),
IF(H59=0,"n/p",
IF(AND(H59&gt;=$J$3,H59&lt;=$K$3),$L$3,
IF(AND(H59&gt;=$J$4,H59&lt;=$K$4),$L$4,
IF(AND(H59&gt;=$J$5,H59&lt;=$K$5),$L$5,
IF(AND(H59&gt;=$J$6,H59&lt;=$K$6),$L$6,
IF(AND(H59&gt;=$J$7,H59&lt;=$K$7),$L$7,
IF(AND(H59&gt;=$J$8,H59&lt;=$K$8),$L$8,
IF(AND(H59&gt;=$J$9,H59&lt;=$K$9),$L$9,
IF(AND(H59&gt;=$J$10,H59&lt;=$K$10),$L$10,
IF(AND(H59&gt;=$J$11,H59&lt;=$K$11),$L$11)))))))))),
"")</f>
        <v/>
      </c>
    </row>
    <row r="60" spans="1:9" x14ac:dyDescent="0.35">
      <c r="A60" s="30" t="str">
        <f>IF(NOT(ISBLANK(Curs!B64)),Curs!B64,"")</f>
        <v/>
      </c>
      <c r="B60" s="31" t="str">
        <f>IF(NOT(ISBLANK(Curs!C64)),Curs!C64,"")</f>
        <v/>
      </c>
      <c r="C60" s="10"/>
      <c r="D60" s="10"/>
      <c r="E60" s="10"/>
      <c r="F60" s="10"/>
      <c r="G60" s="10"/>
      <c r="H60" s="24" t="str">
        <f>IF(NOT(ISBLANK(Curs!C64)),ROUND(SUM(C60:G60),0),"")</f>
        <v/>
      </c>
      <c r="I60" s="23" t="str">
        <f>IF(NOT(ISBLANK(Curs!C64)),
IF(H60=0,"n/p",
IF(AND(H60&gt;=$J$3,H60&lt;=$K$3),$L$3,
IF(AND(H60&gt;=$J$4,H60&lt;=$K$4),$L$4,
IF(AND(H60&gt;=$J$5,H60&lt;=$K$5),$L$5,
IF(AND(H60&gt;=$J$6,H60&lt;=$K$6),$L$6,
IF(AND(H60&gt;=$J$7,H60&lt;=$K$7),$L$7,
IF(AND(H60&gt;=$J$8,H60&lt;=$K$8),$L$8,
IF(AND(H60&gt;=$J$9,H60&lt;=$K$9),$L$9,
IF(AND(H60&gt;=$J$10,H60&lt;=$K$10),$L$10,
IF(AND(H60&gt;=$J$11,H60&lt;=$K$11),$L$11)))))))))),
"")</f>
        <v/>
      </c>
    </row>
    <row r="61" spans="1:9" x14ac:dyDescent="0.35">
      <c r="A61" s="30" t="str">
        <f>IF(NOT(ISBLANK(Curs!B65)),Curs!B65,"")</f>
        <v/>
      </c>
      <c r="B61" s="31" t="str">
        <f>IF(NOT(ISBLANK(Curs!C65)),Curs!C65,"")</f>
        <v/>
      </c>
      <c r="C61" s="10"/>
      <c r="D61" s="10"/>
      <c r="E61" s="10"/>
      <c r="F61" s="10"/>
      <c r="G61" s="10"/>
      <c r="H61" s="24" t="str">
        <f>IF(NOT(ISBLANK(Curs!C65)),ROUND(SUM(C61:G61),0),"")</f>
        <v/>
      </c>
      <c r="I61" s="23" t="str">
        <f>IF(NOT(ISBLANK(Curs!C65)),
IF(H61=0,"n/p",
IF(AND(H61&gt;=$J$3,H61&lt;=$K$3),$L$3,
IF(AND(H61&gt;=$J$4,H61&lt;=$K$4),$L$4,
IF(AND(H61&gt;=$J$5,H61&lt;=$K$5),$L$5,
IF(AND(H61&gt;=$J$6,H61&lt;=$K$6),$L$6,
IF(AND(H61&gt;=$J$7,H61&lt;=$K$7),$L$7,
IF(AND(H61&gt;=$J$8,H61&lt;=$K$8),$L$8,
IF(AND(H61&gt;=$J$9,H61&lt;=$K$9),$L$9,
IF(AND(H61&gt;=$J$10,H61&lt;=$K$10),$L$10,
IF(AND(H61&gt;=$J$11,H61&lt;=$K$11),$L$11)))))))))),
"")</f>
        <v/>
      </c>
    </row>
    <row r="62" spans="1:9" x14ac:dyDescent="0.35">
      <c r="A62" s="30" t="str">
        <f>IF(NOT(ISBLANK(Curs!B66)),Curs!B66,"")</f>
        <v/>
      </c>
      <c r="B62" s="31" t="str">
        <f>IF(NOT(ISBLANK(Curs!C66)),Curs!C66,"")</f>
        <v/>
      </c>
      <c r="C62" s="10"/>
      <c r="D62" s="10"/>
      <c r="E62" s="10"/>
      <c r="F62" s="10"/>
      <c r="G62" s="10"/>
      <c r="H62" s="24" t="str">
        <f>IF(NOT(ISBLANK(Curs!C66)),ROUND(SUM(C62:G62),0),"")</f>
        <v/>
      </c>
      <c r="I62" s="23" t="str">
        <f>IF(NOT(ISBLANK(Curs!C66)),
IF(H62=0,"n/p",
IF(AND(H62&gt;=$J$3,H62&lt;=$K$3),$L$3,
IF(AND(H62&gt;=$J$4,H62&lt;=$K$4),$L$4,
IF(AND(H62&gt;=$J$5,H62&lt;=$K$5),$L$5,
IF(AND(H62&gt;=$J$6,H62&lt;=$K$6),$L$6,
IF(AND(H62&gt;=$J$7,H62&lt;=$K$7),$L$7,
IF(AND(H62&gt;=$J$8,H62&lt;=$K$8),$L$8,
IF(AND(H62&gt;=$J$9,H62&lt;=$K$9),$L$9,
IF(AND(H62&gt;=$J$10,H62&lt;=$K$10),$L$10,
IF(AND(H62&gt;=$J$11,H62&lt;=$K$11),$L$11)))))))))),
"")</f>
        <v/>
      </c>
    </row>
    <row r="63" spans="1:9" x14ac:dyDescent="0.35">
      <c r="A63" s="30" t="str">
        <f>IF(NOT(ISBLANK(Curs!B67)),Curs!B67,"")</f>
        <v/>
      </c>
      <c r="B63" s="31" t="str">
        <f>IF(NOT(ISBLANK(Curs!C67)),Curs!C67,"")</f>
        <v/>
      </c>
      <c r="C63" s="10"/>
      <c r="D63" s="10"/>
      <c r="E63" s="10"/>
      <c r="F63" s="10"/>
      <c r="G63" s="10"/>
      <c r="H63" s="24" t="str">
        <f>IF(NOT(ISBLANK(Curs!C67)),ROUND(SUM(C63:G63),0),"")</f>
        <v/>
      </c>
      <c r="I63" s="23" t="str">
        <f>IF(NOT(ISBLANK(Curs!C67)),
IF(H63=0,"n/p",
IF(AND(H63&gt;=$J$3,H63&lt;=$K$3),$L$3,
IF(AND(H63&gt;=$J$4,H63&lt;=$K$4),$L$4,
IF(AND(H63&gt;=$J$5,H63&lt;=$K$5),$L$5,
IF(AND(H63&gt;=$J$6,H63&lt;=$K$6),$L$6,
IF(AND(H63&gt;=$J$7,H63&lt;=$K$7),$L$7,
IF(AND(H63&gt;=$J$8,H63&lt;=$K$8),$L$8,
IF(AND(H63&gt;=$J$9,H63&lt;=$K$9),$L$9,
IF(AND(H63&gt;=$J$10,H63&lt;=$K$10),$L$10,
IF(AND(H63&gt;=$J$11,H63&lt;=$K$11),$L$11)))))))))),
"")</f>
        <v/>
      </c>
    </row>
    <row r="64" spans="1:9" x14ac:dyDescent="0.35">
      <c r="A64" s="30" t="str">
        <f>IF(NOT(ISBLANK(Curs!B68)),Curs!B68,"")</f>
        <v/>
      </c>
      <c r="B64" s="31" t="str">
        <f>IF(NOT(ISBLANK(Curs!C68)),Curs!C68,"")</f>
        <v/>
      </c>
      <c r="C64" s="10"/>
      <c r="D64" s="10"/>
      <c r="E64" s="10"/>
      <c r="F64" s="10"/>
      <c r="G64" s="10"/>
      <c r="H64" s="24" t="str">
        <f>IF(NOT(ISBLANK(Curs!C68)),ROUND(SUM(C64:G64),0),"")</f>
        <v/>
      </c>
      <c r="I64" s="23" t="str">
        <f>IF(NOT(ISBLANK(Curs!C68)),
IF(H64=0,"n/p",
IF(AND(H64&gt;=$J$3,H64&lt;=$K$3),$L$3,
IF(AND(H64&gt;=$J$4,H64&lt;=$K$4),$L$4,
IF(AND(H64&gt;=$J$5,H64&lt;=$K$5),$L$5,
IF(AND(H64&gt;=$J$6,H64&lt;=$K$6),$L$6,
IF(AND(H64&gt;=$J$7,H64&lt;=$K$7),$L$7,
IF(AND(H64&gt;=$J$8,H64&lt;=$K$8),$L$8,
IF(AND(H64&gt;=$J$9,H64&lt;=$K$9),$L$9,
IF(AND(H64&gt;=$J$10,H64&lt;=$K$10),$L$10,
IF(AND(H64&gt;=$J$11,H64&lt;=$K$11),$L$11)))))))))),
"")</f>
        <v/>
      </c>
    </row>
    <row r="65" spans="1:9" x14ac:dyDescent="0.35">
      <c r="A65" s="30" t="str">
        <f>IF(NOT(ISBLANK(Curs!B69)),Curs!B69,"")</f>
        <v/>
      </c>
      <c r="B65" s="31" t="str">
        <f>IF(NOT(ISBLANK(Curs!C69)),Curs!C69,"")</f>
        <v/>
      </c>
      <c r="C65" s="10"/>
      <c r="D65" s="10"/>
      <c r="E65" s="10"/>
      <c r="F65" s="10"/>
      <c r="G65" s="10"/>
      <c r="H65" s="24" t="str">
        <f>IF(NOT(ISBLANK(Curs!C69)),ROUND(SUM(C65:G65),0),"")</f>
        <v/>
      </c>
      <c r="I65" s="23" t="str">
        <f>IF(NOT(ISBLANK(Curs!C69)),
IF(H65=0,"n/p",
IF(AND(H65&gt;=$J$3,H65&lt;=$K$3),$L$3,
IF(AND(H65&gt;=$J$4,H65&lt;=$K$4),$L$4,
IF(AND(H65&gt;=$J$5,H65&lt;=$K$5),$L$5,
IF(AND(H65&gt;=$J$6,H65&lt;=$K$6),$L$6,
IF(AND(H65&gt;=$J$7,H65&lt;=$K$7),$L$7,
IF(AND(H65&gt;=$J$8,H65&lt;=$K$8),$L$8,
IF(AND(H65&gt;=$J$9,H65&lt;=$K$9),$L$9,
IF(AND(H65&gt;=$J$10,H65&lt;=$K$10),$L$10,
IF(AND(H65&gt;=$J$11,H65&lt;=$K$11),$L$11)))))))))),
"")</f>
        <v/>
      </c>
    </row>
    <row r="66" spans="1:9" x14ac:dyDescent="0.35">
      <c r="A66" s="30" t="str">
        <f>IF(NOT(ISBLANK(Curs!B70)),Curs!B70,"")</f>
        <v/>
      </c>
      <c r="B66" s="31" t="str">
        <f>IF(NOT(ISBLANK(Curs!C70)),Curs!C70,"")</f>
        <v/>
      </c>
      <c r="C66" s="10"/>
      <c r="D66" s="10"/>
      <c r="E66" s="10"/>
      <c r="F66" s="10"/>
      <c r="G66" s="10"/>
      <c r="H66" s="24" t="str">
        <f>IF(NOT(ISBLANK(Curs!C70)),ROUND(SUM(C66:G66),0),"")</f>
        <v/>
      </c>
      <c r="I66" s="23" t="str">
        <f>IF(NOT(ISBLANK(Curs!C70)),
IF(H66=0,"n/p",
IF(AND(H66&gt;=$J$3,H66&lt;=$K$3),$L$3,
IF(AND(H66&gt;=$J$4,H66&lt;=$K$4),$L$4,
IF(AND(H66&gt;=$J$5,H66&lt;=$K$5),$L$5,
IF(AND(H66&gt;=$J$6,H66&lt;=$K$6),$L$6,
IF(AND(H66&gt;=$J$7,H66&lt;=$K$7),$L$7,
IF(AND(H66&gt;=$J$8,H66&lt;=$K$8),$L$8,
IF(AND(H66&gt;=$J$9,H66&lt;=$K$9),$L$9,
IF(AND(H66&gt;=$J$10,H66&lt;=$K$10),$L$10,
IF(AND(H66&gt;=$J$11,H66&lt;=$K$11),$L$11)))))))))),
"")</f>
        <v/>
      </c>
    </row>
    <row r="67" spans="1:9" x14ac:dyDescent="0.35">
      <c r="A67" s="30" t="str">
        <f>IF(NOT(ISBLANK(Curs!B71)),Curs!B71,"")</f>
        <v/>
      </c>
      <c r="B67" s="31" t="str">
        <f>IF(NOT(ISBLANK(Curs!C71)),Curs!C71,"")</f>
        <v/>
      </c>
      <c r="C67" s="10"/>
      <c r="D67" s="10"/>
      <c r="E67" s="10"/>
      <c r="F67" s="10"/>
      <c r="G67" s="10"/>
      <c r="H67" s="24" t="str">
        <f>IF(NOT(ISBLANK(Curs!C71)),ROUND(SUM(C67:G67),0),"")</f>
        <v/>
      </c>
      <c r="I67" s="23" t="str">
        <f>IF(NOT(ISBLANK(Curs!C71)),
IF(H67=0,"n/p",
IF(AND(H67&gt;=$J$3,H67&lt;=$K$3),$L$3,
IF(AND(H67&gt;=$J$4,H67&lt;=$K$4),$L$4,
IF(AND(H67&gt;=$J$5,H67&lt;=$K$5),$L$5,
IF(AND(H67&gt;=$J$6,H67&lt;=$K$6),$L$6,
IF(AND(H67&gt;=$J$7,H67&lt;=$K$7),$L$7,
IF(AND(H67&gt;=$J$8,H67&lt;=$K$8),$L$8,
IF(AND(H67&gt;=$J$9,H67&lt;=$K$9),$L$9,
IF(AND(H67&gt;=$J$10,H67&lt;=$K$10),$L$10,
IF(AND(H67&gt;=$J$11,H67&lt;=$K$11),$L$11)))))))))),
"")</f>
        <v/>
      </c>
    </row>
    <row r="68" spans="1:9" x14ac:dyDescent="0.35">
      <c r="A68" s="30" t="str">
        <f>IF(NOT(ISBLANK(Curs!B72)),Curs!B72,"")</f>
        <v/>
      </c>
      <c r="B68" s="31" t="str">
        <f>IF(NOT(ISBLANK(Curs!C72)),Curs!C72,"")</f>
        <v/>
      </c>
      <c r="C68" s="10"/>
      <c r="D68" s="10"/>
      <c r="E68" s="10"/>
      <c r="F68" s="10"/>
      <c r="G68" s="10"/>
      <c r="H68" s="24" t="str">
        <f>IF(NOT(ISBLANK(Curs!C72)),ROUND(SUM(C68:G68),0),"")</f>
        <v/>
      </c>
      <c r="I68" s="23" t="str">
        <f>IF(NOT(ISBLANK(Curs!C72)),
IF(H68=0,"n/p",
IF(AND(H68&gt;=$J$3,H68&lt;=$K$3),$L$3,
IF(AND(H68&gt;=$J$4,H68&lt;=$K$4),$L$4,
IF(AND(H68&gt;=$J$5,H68&lt;=$K$5),$L$5,
IF(AND(H68&gt;=$J$6,H68&lt;=$K$6),$L$6,
IF(AND(H68&gt;=$J$7,H68&lt;=$K$7),$L$7,
IF(AND(H68&gt;=$J$8,H68&lt;=$K$8),$L$8,
IF(AND(H68&gt;=$J$9,H68&lt;=$K$9),$L$9,
IF(AND(H68&gt;=$J$10,H68&lt;=$K$10),$L$10,
IF(AND(H68&gt;=$J$11,H68&lt;=$K$11),$L$11)))))))))),
"")</f>
        <v/>
      </c>
    </row>
    <row r="69" spans="1:9" x14ac:dyDescent="0.35">
      <c r="A69" s="30" t="str">
        <f>IF(NOT(ISBLANK(Curs!B73)),Curs!B73,"")</f>
        <v/>
      </c>
      <c r="B69" s="31" t="str">
        <f>IF(NOT(ISBLANK(Curs!C73)),Curs!C73,"")</f>
        <v/>
      </c>
      <c r="C69" s="10"/>
      <c r="D69" s="10"/>
      <c r="E69" s="10"/>
      <c r="F69" s="10"/>
      <c r="G69" s="10"/>
      <c r="H69" s="24" t="str">
        <f>IF(NOT(ISBLANK(Curs!C73)),ROUND(SUM(C69:G69),0),"")</f>
        <v/>
      </c>
      <c r="I69" s="23" t="str">
        <f>IF(NOT(ISBLANK(Curs!C73)),
IF(H69=0,"n/p",
IF(AND(H69&gt;=$J$3,H69&lt;=$K$3),$L$3,
IF(AND(H69&gt;=$J$4,H69&lt;=$K$4),$L$4,
IF(AND(H69&gt;=$J$5,H69&lt;=$K$5),$L$5,
IF(AND(H69&gt;=$J$6,H69&lt;=$K$6),$L$6,
IF(AND(H69&gt;=$J$7,H69&lt;=$K$7),$L$7,
IF(AND(H69&gt;=$J$8,H69&lt;=$K$8),$L$8,
IF(AND(H69&gt;=$J$9,H69&lt;=$K$9),$L$9,
IF(AND(H69&gt;=$J$10,H69&lt;=$K$10),$L$10,
IF(AND(H69&gt;=$J$11,H69&lt;=$K$11),$L$11)))))))))),
"")</f>
        <v/>
      </c>
    </row>
    <row r="70" spans="1:9" x14ac:dyDescent="0.35">
      <c r="A70" s="30" t="str">
        <f>IF(NOT(ISBLANK(Curs!B74)),Curs!B74,"")</f>
        <v/>
      </c>
      <c r="B70" s="31" t="str">
        <f>IF(NOT(ISBLANK(Curs!C74)),Curs!C74,"")</f>
        <v/>
      </c>
      <c r="C70" s="10"/>
      <c r="D70" s="10"/>
      <c r="E70" s="10"/>
      <c r="F70" s="10"/>
      <c r="G70" s="10"/>
      <c r="H70" s="24" t="str">
        <f>IF(NOT(ISBLANK(Curs!C74)),ROUND(SUM(C70:G70),0),"")</f>
        <v/>
      </c>
      <c r="I70" s="23" t="str">
        <f>IF(NOT(ISBLANK(Curs!C74)),
IF(H70=0,"n/p",
IF(AND(H70&gt;=$J$3,H70&lt;=$K$3),$L$3,
IF(AND(H70&gt;=$J$4,H70&lt;=$K$4),$L$4,
IF(AND(H70&gt;=$J$5,H70&lt;=$K$5),$L$5,
IF(AND(H70&gt;=$J$6,H70&lt;=$K$6),$L$6,
IF(AND(H70&gt;=$J$7,H70&lt;=$K$7),$L$7,
IF(AND(H70&gt;=$J$8,H70&lt;=$K$8),$L$8,
IF(AND(H70&gt;=$J$9,H70&lt;=$K$9),$L$9,
IF(AND(H70&gt;=$J$10,H70&lt;=$K$10),$L$10,
IF(AND(H70&gt;=$J$11,H70&lt;=$K$11),$L$11)))))))))),
"")</f>
        <v/>
      </c>
    </row>
    <row r="71" spans="1:9" x14ac:dyDescent="0.35">
      <c r="A71" s="30" t="str">
        <f>IF(NOT(ISBLANK(Curs!B75)),Curs!B75,"")</f>
        <v/>
      </c>
      <c r="B71" s="31" t="str">
        <f>IF(NOT(ISBLANK(Curs!C75)),Curs!C75,"")</f>
        <v/>
      </c>
      <c r="C71" s="10"/>
      <c r="D71" s="10"/>
      <c r="E71" s="10"/>
      <c r="F71" s="10"/>
      <c r="G71" s="10"/>
      <c r="H71" s="24" t="str">
        <f>IF(NOT(ISBLANK(Curs!C75)),ROUND(SUM(C71:G71),0),"")</f>
        <v/>
      </c>
      <c r="I71" s="23" t="str">
        <f>IF(NOT(ISBLANK(Curs!C75)),
IF(H71=0,"n/p",
IF(AND(H71&gt;=$J$3,H71&lt;=$K$3),$L$3,
IF(AND(H71&gt;=$J$4,H71&lt;=$K$4),$L$4,
IF(AND(H71&gt;=$J$5,H71&lt;=$K$5),$L$5,
IF(AND(H71&gt;=$J$6,H71&lt;=$K$6),$L$6,
IF(AND(H71&gt;=$J$7,H71&lt;=$K$7),$L$7,
IF(AND(H71&gt;=$J$8,H71&lt;=$K$8),$L$8,
IF(AND(H71&gt;=$J$9,H71&lt;=$K$9),$L$9,
IF(AND(H71&gt;=$J$10,H71&lt;=$K$10),$L$10,
IF(AND(H71&gt;=$J$11,H71&lt;=$K$11),$L$11)))))))))),
"")</f>
        <v/>
      </c>
    </row>
    <row r="72" spans="1:9" x14ac:dyDescent="0.35">
      <c r="A72" s="30" t="str">
        <f>IF(NOT(ISBLANK(Curs!B76)),Curs!B76,"")</f>
        <v/>
      </c>
      <c r="B72" s="31" t="str">
        <f>IF(NOT(ISBLANK(Curs!C76)),Curs!C76,"")</f>
        <v/>
      </c>
      <c r="C72" s="10"/>
      <c r="D72" s="10"/>
      <c r="E72" s="10"/>
      <c r="F72" s="10"/>
      <c r="G72" s="10"/>
      <c r="H72" s="24" t="str">
        <f>IF(NOT(ISBLANK(Curs!C76)),ROUND(SUM(C72:G72),0),"")</f>
        <v/>
      </c>
      <c r="I72" s="23" t="str">
        <f>IF(NOT(ISBLANK(Curs!C76)),
IF(H72=0,"n/p",
IF(AND(H72&gt;=$J$3,H72&lt;=$K$3),$L$3,
IF(AND(H72&gt;=$J$4,H72&lt;=$K$4),$L$4,
IF(AND(H72&gt;=$J$5,H72&lt;=$K$5),$L$5,
IF(AND(H72&gt;=$J$6,H72&lt;=$K$6),$L$6,
IF(AND(H72&gt;=$J$7,H72&lt;=$K$7),$L$7,
IF(AND(H72&gt;=$J$8,H72&lt;=$K$8),$L$8,
IF(AND(H72&gt;=$J$9,H72&lt;=$K$9),$L$9,
IF(AND(H72&gt;=$J$10,H72&lt;=$K$10),$L$10,
IF(AND(H72&gt;=$J$11,H72&lt;=$K$11),$L$11)))))))))),
"")</f>
        <v/>
      </c>
    </row>
    <row r="73" spans="1:9" x14ac:dyDescent="0.35">
      <c r="A73" s="30" t="str">
        <f>IF(NOT(ISBLANK(Curs!B77)),Curs!B77,"")</f>
        <v/>
      </c>
      <c r="B73" s="31" t="str">
        <f>IF(NOT(ISBLANK(Curs!C77)),Curs!C77,"")</f>
        <v/>
      </c>
      <c r="C73" s="10"/>
      <c r="D73" s="10"/>
      <c r="E73" s="10"/>
      <c r="F73" s="10"/>
      <c r="G73" s="10"/>
      <c r="H73" s="24" t="str">
        <f>IF(NOT(ISBLANK(Curs!C77)),ROUND(SUM(C73:G73),0),"")</f>
        <v/>
      </c>
      <c r="I73" s="23" t="str">
        <f>IF(NOT(ISBLANK(Curs!C77)),
IF(H73=0,"n/p",
IF(AND(H73&gt;=$J$3,H73&lt;=$K$3),$L$3,
IF(AND(H73&gt;=$J$4,H73&lt;=$K$4),$L$4,
IF(AND(H73&gt;=$J$5,H73&lt;=$K$5),$L$5,
IF(AND(H73&gt;=$J$6,H73&lt;=$K$6),$L$6,
IF(AND(H73&gt;=$J$7,H73&lt;=$K$7),$L$7,
IF(AND(H73&gt;=$J$8,H73&lt;=$K$8),$L$8,
IF(AND(H73&gt;=$J$9,H73&lt;=$K$9),$L$9,
IF(AND(H73&gt;=$J$10,H73&lt;=$K$10),$L$10,
IF(AND(H73&gt;=$J$11,H73&lt;=$K$11),$L$11)))))))))),
"")</f>
        <v/>
      </c>
    </row>
    <row r="74" spans="1:9" x14ac:dyDescent="0.35">
      <c r="A74" s="30" t="str">
        <f>IF(NOT(ISBLANK(Curs!B78)),Curs!B78,"")</f>
        <v/>
      </c>
      <c r="B74" s="31" t="str">
        <f>IF(NOT(ISBLANK(Curs!C78)),Curs!C78,"")</f>
        <v/>
      </c>
      <c r="C74" s="10"/>
      <c r="D74" s="10"/>
      <c r="E74" s="10"/>
      <c r="F74" s="10"/>
      <c r="G74" s="10"/>
      <c r="H74" s="24" t="str">
        <f>IF(NOT(ISBLANK(Curs!C78)),ROUND(SUM(C74:G74),0),"")</f>
        <v/>
      </c>
      <c r="I74" s="23" t="str">
        <f>IF(NOT(ISBLANK(Curs!C78)),
IF(H74=0,"n/p",
IF(AND(H74&gt;=$J$3,H74&lt;=$K$3),$L$3,
IF(AND(H74&gt;=$J$4,H74&lt;=$K$4),$L$4,
IF(AND(H74&gt;=$J$5,H74&lt;=$K$5),$L$5,
IF(AND(H74&gt;=$J$6,H74&lt;=$K$6),$L$6,
IF(AND(H74&gt;=$J$7,H74&lt;=$K$7),$L$7,
IF(AND(H74&gt;=$J$8,H74&lt;=$K$8),$L$8,
IF(AND(H74&gt;=$J$9,H74&lt;=$K$9),$L$9,
IF(AND(H74&gt;=$J$10,H74&lt;=$K$10),$L$10,
IF(AND(H74&gt;=$J$11,H74&lt;=$K$11),$L$11)))))))))),
"")</f>
        <v/>
      </c>
    </row>
    <row r="75" spans="1:9" x14ac:dyDescent="0.35">
      <c r="A75" s="30" t="str">
        <f>IF(NOT(ISBLANK(Curs!B79)),Curs!B79,"")</f>
        <v/>
      </c>
      <c r="B75" s="31" t="str">
        <f>IF(NOT(ISBLANK(Curs!C79)),Curs!C79,"")</f>
        <v/>
      </c>
      <c r="C75" s="10"/>
      <c r="D75" s="10"/>
      <c r="E75" s="10"/>
      <c r="F75" s="10"/>
      <c r="G75" s="10"/>
      <c r="H75" s="24" t="str">
        <f>IF(NOT(ISBLANK(Curs!C79)),ROUND(SUM(C75:G75),0),"")</f>
        <v/>
      </c>
      <c r="I75" s="23" t="str">
        <f>IF(NOT(ISBLANK(Curs!C79)),
IF(H75=0,"n/p",
IF(AND(H75&gt;=$J$3,H75&lt;=$K$3),$L$3,
IF(AND(H75&gt;=$J$4,H75&lt;=$K$4),$L$4,
IF(AND(H75&gt;=$J$5,H75&lt;=$K$5),$L$5,
IF(AND(H75&gt;=$J$6,H75&lt;=$K$6),$L$6,
IF(AND(H75&gt;=$J$7,H75&lt;=$K$7),$L$7,
IF(AND(H75&gt;=$J$8,H75&lt;=$K$8),$L$8,
IF(AND(H75&gt;=$J$9,H75&lt;=$K$9),$L$9,
IF(AND(H75&gt;=$J$10,H75&lt;=$K$10),$L$10,
IF(AND(H75&gt;=$J$11,H75&lt;=$K$11),$L$11)))))))))),
"")</f>
        <v/>
      </c>
    </row>
    <row r="76" spans="1:9" x14ac:dyDescent="0.35">
      <c r="A76" s="30" t="str">
        <f>IF(NOT(ISBLANK(Curs!B80)),Curs!B80,"")</f>
        <v/>
      </c>
      <c r="B76" s="31" t="str">
        <f>IF(NOT(ISBLANK(Curs!C80)),Curs!C80,"")</f>
        <v/>
      </c>
      <c r="C76" s="10"/>
      <c r="D76" s="10"/>
      <c r="E76" s="10"/>
      <c r="F76" s="10"/>
      <c r="G76" s="10"/>
      <c r="H76" s="24" t="str">
        <f>IF(NOT(ISBLANK(Curs!C80)),ROUND(SUM(C76:G76),0),"")</f>
        <v/>
      </c>
      <c r="I76" s="23" t="str">
        <f>IF(NOT(ISBLANK(Curs!C80)),
IF(H76=0,"n/p",
IF(AND(H76&gt;=$J$3,H76&lt;=$K$3),$L$3,
IF(AND(H76&gt;=$J$4,H76&lt;=$K$4),$L$4,
IF(AND(H76&gt;=$J$5,H76&lt;=$K$5),$L$5,
IF(AND(H76&gt;=$J$6,H76&lt;=$K$6),$L$6,
IF(AND(H76&gt;=$J$7,H76&lt;=$K$7),$L$7,
IF(AND(H76&gt;=$J$8,H76&lt;=$K$8),$L$8,
IF(AND(H76&gt;=$J$9,H76&lt;=$K$9),$L$9,
IF(AND(H76&gt;=$J$10,H76&lt;=$K$10),$L$10,
IF(AND(H76&gt;=$J$11,H76&lt;=$K$11),$L$11)))))))))),
"")</f>
        <v/>
      </c>
    </row>
    <row r="77" spans="1:9" x14ac:dyDescent="0.35">
      <c r="A77" s="30" t="str">
        <f>IF(NOT(ISBLANK(Curs!B81)),Curs!B81,"")</f>
        <v/>
      </c>
      <c r="B77" s="31" t="str">
        <f>IF(NOT(ISBLANK(Curs!C81)),Curs!C81,"")</f>
        <v/>
      </c>
      <c r="C77" s="10"/>
      <c r="D77" s="10"/>
      <c r="E77" s="10"/>
      <c r="F77" s="10"/>
      <c r="G77" s="10"/>
      <c r="H77" s="24" t="str">
        <f>IF(NOT(ISBLANK(Curs!C81)),ROUND(SUM(C77:G77),0),"")</f>
        <v/>
      </c>
      <c r="I77" s="23" t="str">
        <f>IF(NOT(ISBLANK(Curs!C81)),
IF(H77=0,"n/p",
IF(AND(H77&gt;=$J$3,H77&lt;=$K$3),$L$3,
IF(AND(H77&gt;=$J$4,H77&lt;=$K$4),$L$4,
IF(AND(H77&gt;=$J$5,H77&lt;=$K$5),$L$5,
IF(AND(H77&gt;=$J$6,H77&lt;=$K$6),$L$6,
IF(AND(H77&gt;=$J$7,H77&lt;=$K$7),$L$7,
IF(AND(H77&gt;=$J$8,H77&lt;=$K$8),$L$8,
IF(AND(H77&gt;=$J$9,H77&lt;=$K$9),$L$9,
IF(AND(H77&gt;=$J$10,H77&lt;=$K$10),$L$10,
IF(AND(H77&gt;=$J$11,H77&lt;=$K$11),$L$11)))))))))),
"")</f>
        <v/>
      </c>
    </row>
    <row r="78" spans="1:9" x14ac:dyDescent="0.35">
      <c r="A78" s="30" t="str">
        <f>IF(NOT(ISBLANK(Curs!B82)),Curs!B82,"")</f>
        <v/>
      </c>
      <c r="B78" s="31" t="str">
        <f>IF(NOT(ISBLANK(Curs!C82)),Curs!C82,"")</f>
        <v/>
      </c>
      <c r="C78" s="10"/>
      <c r="D78" s="10"/>
      <c r="E78" s="10"/>
      <c r="F78" s="10"/>
      <c r="G78" s="10"/>
      <c r="H78" s="24" t="str">
        <f>IF(NOT(ISBLANK(Curs!C82)),ROUND(SUM(C78:G78),0),"")</f>
        <v/>
      </c>
      <c r="I78" s="23" t="str">
        <f>IF(NOT(ISBLANK(Curs!C82)),
IF(H78=0,"n/p",
IF(AND(H78&gt;=$J$3,H78&lt;=$K$3),$L$3,
IF(AND(H78&gt;=$J$4,H78&lt;=$K$4),$L$4,
IF(AND(H78&gt;=$J$5,H78&lt;=$K$5),$L$5,
IF(AND(H78&gt;=$J$6,H78&lt;=$K$6),$L$6,
IF(AND(H78&gt;=$J$7,H78&lt;=$K$7),$L$7,
IF(AND(H78&gt;=$J$8,H78&lt;=$K$8),$L$8,
IF(AND(H78&gt;=$J$9,H78&lt;=$K$9),$L$9,
IF(AND(H78&gt;=$J$10,H78&lt;=$K$10),$L$10,
IF(AND(H78&gt;=$J$11,H78&lt;=$K$11),$L$11)))))))))),
"")</f>
        <v/>
      </c>
    </row>
    <row r="79" spans="1:9" x14ac:dyDescent="0.35">
      <c r="A79" s="30" t="str">
        <f>IF(NOT(ISBLANK(Curs!B83)),Curs!B83,"")</f>
        <v/>
      </c>
      <c r="B79" s="31" t="str">
        <f>IF(NOT(ISBLANK(Curs!C83)),Curs!C83,"")</f>
        <v/>
      </c>
      <c r="C79" s="10"/>
      <c r="D79" s="10"/>
      <c r="E79" s="10"/>
      <c r="F79" s="10"/>
      <c r="G79" s="10"/>
      <c r="H79" s="24" t="str">
        <f>IF(NOT(ISBLANK(Curs!C83)),ROUND(SUM(C79:G79),0),"")</f>
        <v/>
      </c>
      <c r="I79" s="23" t="str">
        <f>IF(NOT(ISBLANK(Curs!C83)),
IF(H79=0,"n/p",
IF(AND(H79&gt;=$J$3,H79&lt;=$K$3),$L$3,
IF(AND(H79&gt;=$J$4,H79&lt;=$K$4),$L$4,
IF(AND(H79&gt;=$J$5,H79&lt;=$K$5),$L$5,
IF(AND(H79&gt;=$J$6,H79&lt;=$K$6),$L$6,
IF(AND(H79&gt;=$J$7,H79&lt;=$K$7),$L$7,
IF(AND(H79&gt;=$J$8,H79&lt;=$K$8),$L$8,
IF(AND(H79&gt;=$J$9,H79&lt;=$K$9),$L$9,
IF(AND(H79&gt;=$J$10,H79&lt;=$K$10),$L$10,
IF(AND(H79&gt;=$J$11,H79&lt;=$K$11),$L$11)))))))))),
"")</f>
        <v/>
      </c>
    </row>
    <row r="80" spans="1:9" x14ac:dyDescent="0.35">
      <c r="A80" s="30" t="str">
        <f>IF(NOT(ISBLANK(Curs!B84)),Curs!B84,"")</f>
        <v/>
      </c>
      <c r="B80" s="31" t="str">
        <f>IF(NOT(ISBLANK(Curs!C84)),Curs!C84,"")</f>
        <v/>
      </c>
      <c r="C80" s="10"/>
      <c r="D80" s="10"/>
      <c r="E80" s="10"/>
      <c r="F80" s="10"/>
      <c r="G80" s="10"/>
      <c r="H80" s="24" t="str">
        <f>IF(NOT(ISBLANK(Curs!C84)),ROUND(SUM(C80:G80),0),"")</f>
        <v/>
      </c>
      <c r="I80" s="23" t="str">
        <f>IF(NOT(ISBLANK(Curs!C84)),
IF(H80=0,"n/p",
IF(AND(H80&gt;=$J$3,H80&lt;=$K$3),$L$3,
IF(AND(H80&gt;=$J$4,H80&lt;=$K$4),$L$4,
IF(AND(H80&gt;=$J$5,H80&lt;=$K$5),$L$5,
IF(AND(H80&gt;=$J$6,H80&lt;=$K$6),$L$6,
IF(AND(H80&gt;=$J$7,H80&lt;=$K$7),$L$7,
IF(AND(H80&gt;=$J$8,H80&lt;=$K$8),$L$8,
IF(AND(H80&gt;=$J$9,H80&lt;=$K$9),$L$9,
IF(AND(H80&gt;=$J$10,H80&lt;=$K$10),$L$10,
IF(AND(H80&gt;=$J$11,H80&lt;=$K$11),$L$11)))))))))),
"")</f>
        <v/>
      </c>
    </row>
    <row r="81" spans="1:9" x14ac:dyDescent="0.35">
      <c r="A81" s="30" t="str">
        <f>IF(NOT(ISBLANK(Curs!B85)),Curs!B85,"")</f>
        <v/>
      </c>
      <c r="B81" s="31" t="str">
        <f>IF(NOT(ISBLANK(Curs!C85)),Curs!C85,"")</f>
        <v/>
      </c>
      <c r="C81" s="10"/>
      <c r="D81" s="10"/>
      <c r="E81" s="10"/>
      <c r="F81" s="10"/>
      <c r="G81" s="10"/>
      <c r="H81" s="24" t="str">
        <f>IF(NOT(ISBLANK(Curs!C85)),ROUND(SUM(C81:G81),0),"")</f>
        <v/>
      </c>
      <c r="I81" s="23" t="str">
        <f>IF(NOT(ISBLANK(Curs!C85)),
IF(H81=0,"n/p",
IF(AND(H81&gt;=$J$3,H81&lt;=$K$3),$L$3,
IF(AND(H81&gt;=$J$4,H81&lt;=$K$4),$L$4,
IF(AND(H81&gt;=$J$5,H81&lt;=$K$5),$L$5,
IF(AND(H81&gt;=$J$6,H81&lt;=$K$6),$L$6,
IF(AND(H81&gt;=$J$7,H81&lt;=$K$7),$L$7,
IF(AND(H81&gt;=$J$8,H81&lt;=$K$8),$L$8,
IF(AND(H81&gt;=$J$9,H81&lt;=$K$9),$L$9,
IF(AND(H81&gt;=$J$10,H81&lt;=$K$10),$L$10,
IF(AND(H81&gt;=$J$11,H81&lt;=$K$11),$L$11)))))))))),
"")</f>
        <v/>
      </c>
    </row>
    <row r="82" spans="1:9" x14ac:dyDescent="0.35">
      <c r="A82" s="30" t="str">
        <f>IF(NOT(ISBLANK(Curs!B86)),Curs!B86,"")</f>
        <v/>
      </c>
      <c r="B82" s="31" t="str">
        <f>IF(NOT(ISBLANK(Curs!C86)),Curs!C86,"")</f>
        <v/>
      </c>
      <c r="C82" s="10"/>
      <c r="D82" s="10"/>
      <c r="E82" s="10"/>
      <c r="F82" s="10"/>
      <c r="G82" s="10"/>
      <c r="H82" s="24" t="str">
        <f>IF(NOT(ISBLANK(Curs!C86)),ROUND(SUM(C82:G82),0),"")</f>
        <v/>
      </c>
      <c r="I82" s="23" t="str">
        <f>IF(NOT(ISBLANK(Curs!C86)),
IF(H82=0,"n/p",
IF(AND(H82&gt;=$J$3,H82&lt;=$K$3),$L$3,
IF(AND(H82&gt;=$J$4,H82&lt;=$K$4),$L$4,
IF(AND(H82&gt;=$J$5,H82&lt;=$K$5),$L$5,
IF(AND(H82&gt;=$J$6,H82&lt;=$K$6),$L$6,
IF(AND(H82&gt;=$J$7,H82&lt;=$K$7),$L$7,
IF(AND(H82&gt;=$J$8,H82&lt;=$K$8),$L$8,
IF(AND(H82&gt;=$J$9,H82&lt;=$K$9),$L$9,
IF(AND(H82&gt;=$J$10,H82&lt;=$K$10),$L$10,
IF(AND(H82&gt;=$J$11,H82&lt;=$K$11),$L$11)))))))))),
"")</f>
        <v/>
      </c>
    </row>
    <row r="83" spans="1:9" x14ac:dyDescent="0.35">
      <c r="A83" s="30" t="str">
        <f>IF(NOT(ISBLANK(Curs!B87)),Curs!B87,"")</f>
        <v/>
      </c>
      <c r="B83" s="31" t="str">
        <f>IF(NOT(ISBLANK(Curs!C87)),Curs!C87,"")</f>
        <v/>
      </c>
      <c r="C83" s="10"/>
      <c r="D83" s="10"/>
      <c r="E83" s="10"/>
      <c r="F83" s="10"/>
      <c r="G83" s="10"/>
      <c r="H83" s="24" t="str">
        <f>IF(NOT(ISBLANK(Curs!C87)),ROUND(SUM(C83:G83),0),"")</f>
        <v/>
      </c>
      <c r="I83" s="23" t="str">
        <f>IF(NOT(ISBLANK(Curs!C87)),
IF(H83=0,"n/p",
IF(AND(H83&gt;=$J$3,H83&lt;=$K$3),$L$3,
IF(AND(H83&gt;=$J$4,H83&lt;=$K$4),$L$4,
IF(AND(H83&gt;=$J$5,H83&lt;=$K$5),$L$5,
IF(AND(H83&gt;=$J$6,H83&lt;=$K$6),$L$6,
IF(AND(H83&gt;=$J$7,H83&lt;=$K$7),$L$7,
IF(AND(H83&gt;=$J$8,H83&lt;=$K$8),$L$8,
IF(AND(H83&gt;=$J$9,H83&lt;=$K$9),$L$9,
IF(AND(H83&gt;=$J$10,H83&lt;=$K$10),$L$10,
IF(AND(H83&gt;=$J$11,H83&lt;=$K$11),$L$11)))))))))),
"")</f>
        <v/>
      </c>
    </row>
    <row r="84" spans="1:9" x14ac:dyDescent="0.35">
      <c r="A84" s="30" t="str">
        <f>IF(NOT(ISBLANK(Curs!B88)),Curs!B88,"")</f>
        <v/>
      </c>
      <c r="B84" s="31" t="str">
        <f>IF(NOT(ISBLANK(Curs!C88)),Curs!C88,"")</f>
        <v/>
      </c>
      <c r="C84" s="10"/>
      <c r="D84" s="10"/>
      <c r="E84" s="10"/>
      <c r="F84" s="10"/>
      <c r="G84" s="10"/>
      <c r="H84" s="24" t="str">
        <f>IF(NOT(ISBLANK(Curs!C88)),ROUND(SUM(C84:G84),0),"")</f>
        <v/>
      </c>
      <c r="I84" s="23" t="str">
        <f>IF(NOT(ISBLANK(Curs!C88)),
IF(H84=0,"n/p",
IF(AND(H84&gt;=$J$3,H84&lt;=$K$3),$L$3,
IF(AND(H84&gt;=$J$4,H84&lt;=$K$4),$L$4,
IF(AND(H84&gt;=$J$5,H84&lt;=$K$5),$L$5,
IF(AND(H84&gt;=$J$6,H84&lt;=$K$6),$L$6,
IF(AND(H84&gt;=$J$7,H84&lt;=$K$7),$L$7,
IF(AND(H84&gt;=$J$8,H84&lt;=$K$8),$L$8,
IF(AND(H84&gt;=$J$9,H84&lt;=$K$9),$L$9,
IF(AND(H84&gt;=$J$10,H84&lt;=$K$10),$L$10,
IF(AND(H84&gt;=$J$11,H84&lt;=$K$11),$L$11)))))))))),
"")</f>
        <v/>
      </c>
    </row>
    <row r="85" spans="1:9" x14ac:dyDescent="0.35">
      <c r="A85" s="30" t="str">
        <f>IF(NOT(ISBLANK(Curs!B89)),Curs!B89,"")</f>
        <v/>
      </c>
      <c r="B85" s="31" t="str">
        <f>IF(NOT(ISBLANK(Curs!C89)),Curs!C89,"")</f>
        <v/>
      </c>
      <c r="C85" s="10"/>
      <c r="D85" s="10"/>
      <c r="E85" s="10"/>
      <c r="F85" s="10"/>
      <c r="G85" s="10"/>
      <c r="H85" s="24" t="str">
        <f>IF(NOT(ISBLANK(Curs!C89)),ROUND(SUM(C85:G85),0),"")</f>
        <v/>
      </c>
      <c r="I85" s="23" t="str">
        <f>IF(NOT(ISBLANK(Curs!C89)),
IF(H85=0,"n/p",
IF(AND(H85&gt;=$J$3,H85&lt;=$K$3),$L$3,
IF(AND(H85&gt;=$J$4,H85&lt;=$K$4),$L$4,
IF(AND(H85&gt;=$J$5,H85&lt;=$K$5),$L$5,
IF(AND(H85&gt;=$J$6,H85&lt;=$K$6),$L$6,
IF(AND(H85&gt;=$J$7,H85&lt;=$K$7),$L$7,
IF(AND(H85&gt;=$J$8,H85&lt;=$K$8),$L$8,
IF(AND(H85&gt;=$J$9,H85&lt;=$K$9),$L$9,
IF(AND(H85&gt;=$J$10,H85&lt;=$K$10),$L$10,
IF(AND(H85&gt;=$J$11,H85&lt;=$K$11),$L$11)))))))))),
"")</f>
        <v/>
      </c>
    </row>
    <row r="86" spans="1:9" x14ac:dyDescent="0.35">
      <c r="A86" s="30" t="str">
        <f>IF(NOT(ISBLANK(Curs!B90)),Curs!B90,"")</f>
        <v/>
      </c>
      <c r="B86" s="31" t="str">
        <f>IF(NOT(ISBLANK(Curs!C90)),Curs!C90,"")</f>
        <v/>
      </c>
      <c r="C86" s="10"/>
      <c r="D86" s="10"/>
      <c r="E86" s="10"/>
      <c r="F86" s="10"/>
      <c r="G86" s="10"/>
      <c r="H86" s="24" t="str">
        <f>IF(NOT(ISBLANK(Curs!C90)),ROUND(SUM(C86:G86),0),"")</f>
        <v/>
      </c>
      <c r="I86" s="23" t="str">
        <f>IF(NOT(ISBLANK(Curs!C90)),
IF(H86=0,"n/p",
IF(AND(H86&gt;=$J$3,H86&lt;=$K$3),$L$3,
IF(AND(H86&gt;=$J$4,H86&lt;=$K$4),$L$4,
IF(AND(H86&gt;=$J$5,H86&lt;=$K$5),$L$5,
IF(AND(H86&gt;=$J$6,H86&lt;=$K$6),$L$6,
IF(AND(H86&gt;=$J$7,H86&lt;=$K$7),$L$7,
IF(AND(H86&gt;=$J$8,H86&lt;=$K$8),$L$8,
IF(AND(H86&gt;=$J$9,H86&lt;=$K$9),$L$9,
IF(AND(H86&gt;=$J$10,H86&lt;=$K$10),$L$10,
IF(AND(H86&gt;=$J$11,H86&lt;=$K$11),$L$11)))))))))),
"")</f>
        <v/>
      </c>
    </row>
    <row r="87" spans="1:9" x14ac:dyDescent="0.35">
      <c r="A87" s="30" t="str">
        <f>IF(NOT(ISBLANK(Curs!B91)),Curs!B91,"")</f>
        <v/>
      </c>
      <c r="B87" s="31" t="str">
        <f>IF(NOT(ISBLANK(Curs!C91)),Curs!C91,"")</f>
        <v/>
      </c>
      <c r="C87" s="10"/>
      <c r="D87" s="10"/>
      <c r="E87" s="10"/>
      <c r="F87" s="10"/>
      <c r="G87" s="10"/>
      <c r="H87" s="24" t="str">
        <f>IF(NOT(ISBLANK(Curs!C91)),ROUND(SUM(C87:G87),0),"")</f>
        <v/>
      </c>
      <c r="I87" s="23" t="str">
        <f>IF(NOT(ISBLANK(Curs!C91)),
IF(H87=0,"n/p",
IF(AND(H87&gt;=$J$3,H87&lt;=$K$3),$L$3,
IF(AND(H87&gt;=$J$4,H87&lt;=$K$4),$L$4,
IF(AND(H87&gt;=$J$5,H87&lt;=$K$5),$L$5,
IF(AND(H87&gt;=$J$6,H87&lt;=$K$6),$L$6,
IF(AND(H87&gt;=$J$7,H87&lt;=$K$7),$L$7,
IF(AND(H87&gt;=$J$8,H87&lt;=$K$8),$L$8,
IF(AND(H87&gt;=$J$9,H87&lt;=$K$9),$L$9,
IF(AND(H87&gt;=$J$10,H87&lt;=$K$10),$L$10,
IF(AND(H87&gt;=$J$11,H87&lt;=$K$11),$L$11)))))))))),
"")</f>
        <v/>
      </c>
    </row>
    <row r="88" spans="1:9" x14ac:dyDescent="0.35">
      <c r="A88" s="30" t="str">
        <f>IF(NOT(ISBLANK(Curs!B92)),Curs!B92,"")</f>
        <v/>
      </c>
      <c r="B88" s="31" t="str">
        <f>IF(NOT(ISBLANK(Curs!C92)),Curs!C92,"")</f>
        <v/>
      </c>
      <c r="C88" s="10"/>
      <c r="D88" s="10"/>
      <c r="E88" s="10"/>
      <c r="F88" s="10"/>
      <c r="G88" s="10"/>
      <c r="H88" s="24" t="str">
        <f>IF(NOT(ISBLANK(Curs!C92)),ROUND(SUM(C88:G88),0),"")</f>
        <v/>
      </c>
      <c r="I88" s="23" t="str">
        <f>IF(NOT(ISBLANK(Curs!C92)),
IF(H88=0,"n/p",
IF(AND(H88&gt;=$J$3,H88&lt;=$K$3),$L$3,
IF(AND(H88&gt;=$J$4,H88&lt;=$K$4),$L$4,
IF(AND(H88&gt;=$J$5,H88&lt;=$K$5),$L$5,
IF(AND(H88&gt;=$J$6,H88&lt;=$K$6),$L$6,
IF(AND(H88&gt;=$J$7,H88&lt;=$K$7),$L$7,
IF(AND(H88&gt;=$J$8,H88&lt;=$K$8),$L$8,
IF(AND(H88&gt;=$J$9,H88&lt;=$K$9),$L$9,
IF(AND(H88&gt;=$J$10,H88&lt;=$K$10),$L$10,
IF(AND(H88&gt;=$J$11,H88&lt;=$K$11),$L$11)))))))))),
"")</f>
        <v/>
      </c>
    </row>
    <row r="89" spans="1:9" x14ac:dyDescent="0.35">
      <c r="A89" s="30" t="str">
        <f>IF(NOT(ISBLANK(Curs!B93)),Curs!B93,"")</f>
        <v/>
      </c>
      <c r="B89" s="31" t="str">
        <f>IF(NOT(ISBLANK(Curs!C93)),Curs!C93,"")</f>
        <v/>
      </c>
      <c r="C89" s="10"/>
      <c r="D89" s="10"/>
      <c r="E89" s="10"/>
      <c r="F89" s="10"/>
      <c r="G89" s="10"/>
      <c r="H89" s="24" t="str">
        <f>IF(NOT(ISBLANK(Curs!C93)),ROUND(SUM(C89:G89),0),"")</f>
        <v/>
      </c>
      <c r="I89" s="23" t="str">
        <f>IF(NOT(ISBLANK(Curs!C93)),
IF(H89=0,"n/p",
IF(AND(H89&gt;=$J$3,H89&lt;=$K$3),$L$3,
IF(AND(H89&gt;=$J$4,H89&lt;=$K$4),$L$4,
IF(AND(H89&gt;=$J$5,H89&lt;=$K$5),$L$5,
IF(AND(H89&gt;=$J$6,H89&lt;=$K$6),$L$6,
IF(AND(H89&gt;=$J$7,H89&lt;=$K$7),$L$7,
IF(AND(H89&gt;=$J$8,H89&lt;=$K$8),$L$8,
IF(AND(H89&gt;=$J$9,H89&lt;=$K$9),$L$9,
IF(AND(H89&gt;=$J$10,H89&lt;=$K$10),$L$10,
IF(AND(H89&gt;=$J$11,H89&lt;=$K$11),$L$11)))))))))),
"")</f>
        <v/>
      </c>
    </row>
    <row r="90" spans="1:9" x14ac:dyDescent="0.35">
      <c r="A90" s="30" t="str">
        <f>IF(NOT(ISBLANK(Curs!B94)),Curs!B94,"")</f>
        <v/>
      </c>
      <c r="B90" s="31" t="str">
        <f>IF(NOT(ISBLANK(Curs!C94)),Curs!C94,"")</f>
        <v/>
      </c>
      <c r="C90" s="10"/>
      <c r="D90" s="10"/>
      <c r="E90" s="10"/>
      <c r="F90" s="10"/>
      <c r="G90" s="10"/>
      <c r="H90" s="24" t="str">
        <f>IF(NOT(ISBLANK(Curs!C94)),ROUND(SUM(C90:G90),0),"")</f>
        <v/>
      </c>
      <c r="I90" s="23" t="str">
        <f>IF(NOT(ISBLANK(Curs!C94)),
IF(H90=0,"n/p",
IF(AND(H90&gt;=$J$3,H90&lt;=$K$3),$L$3,
IF(AND(H90&gt;=$J$4,H90&lt;=$K$4),$L$4,
IF(AND(H90&gt;=$J$5,H90&lt;=$K$5),$L$5,
IF(AND(H90&gt;=$J$6,H90&lt;=$K$6),$L$6,
IF(AND(H90&gt;=$J$7,H90&lt;=$K$7),$L$7,
IF(AND(H90&gt;=$J$8,H90&lt;=$K$8),$L$8,
IF(AND(H90&gt;=$J$9,H90&lt;=$K$9),$L$9,
IF(AND(H90&gt;=$J$10,H90&lt;=$K$10),$L$10,
IF(AND(H90&gt;=$J$11,H90&lt;=$K$11),$L$11)))))))))),
"")</f>
        <v/>
      </c>
    </row>
    <row r="91" spans="1:9" x14ac:dyDescent="0.35">
      <c r="A91" s="30" t="str">
        <f>IF(NOT(ISBLANK(Curs!B95)),Curs!B95,"")</f>
        <v/>
      </c>
      <c r="B91" s="31" t="str">
        <f>IF(NOT(ISBLANK(Curs!C95)),Curs!C95,"")</f>
        <v/>
      </c>
      <c r="C91" s="10"/>
      <c r="D91" s="10"/>
      <c r="E91" s="10"/>
      <c r="F91" s="10"/>
      <c r="G91" s="10"/>
      <c r="H91" s="24" t="str">
        <f>IF(NOT(ISBLANK(Curs!C95)),ROUND(SUM(C91:G91),0),"")</f>
        <v/>
      </c>
      <c r="I91" s="23" t="str">
        <f>IF(NOT(ISBLANK(Curs!C95)),
IF(H91=0,"n/p",
IF(AND(H91&gt;=$J$3,H91&lt;=$K$3),$L$3,
IF(AND(H91&gt;=$J$4,H91&lt;=$K$4),$L$4,
IF(AND(H91&gt;=$J$5,H91&lt;=$K$5),$L$5,
IF(AND(H91&gt;=$J$6,H91&lt;=$K$6),$L$6,
IF(AND(H91&gt;=$J$7,H91&lt;=$K$7),$L$7,
IF(AND(H91&gt;=$J$8,H91&lt;=$K$8),$L$8,
IF(AND(H91&gt;=$J$9,H91&lt;=$K$9),$L$9,
IF(AND(H91&gt;=$J$10,H91&lt;=$K$10),$L$10,
IF(AND(H91&gt;=$J$11,H91&lt;=$K$11),$L$11)))))))))),
"")</f>
        <v/>
      </c>
    </row>
    <row r="92" spans="1:9" x14ac:dyDescent="0.35">
      <c r="A92" s="30" t="str">
        <f>IF(NOT(ISBLANK(Curs!B96)),Curs!B96,"")</f>
        <v/>
      </c>
      <c r="B92" s="31" t="str">
        <f>IF(NOT(ISBLANK(Curs!C96)),Curs!C96,"")</f>
        <v/>
      </c>
      <c r="C92" s="10"/>
      <c r="D92" s="10"/>
      <c r="E92" s="10"/>
      <c r="F92" s="10"/>
      <c r="G92" s="10"/>
      <c r="H92" s="24" t="str">
        <f>IF(NOT(ISBLANK(Curs!C96)),ROUND(SUM(C92:G92),0),"")</f>
        <v/>
      </c>
      <c r="I92" s="23" t="str">
        <f>IF(NOT(ISBLANK(Curs!C96)),
IF(H92=0,"n/p",
IF(AND(H92&gt;=$J$3,H92&lt;=$K$3),$L$3,
IF(AND(H92&gt;=$J$4,H92&lt;=$K$4),$L$4,
IF(AND(H92&gt;=$J$5,H92&lt;=$K$5),$L$5,
IF(AND(H92&gt;=$J$6,H92&lt;=$K$6),$L$6,
IF(AND(H92&gt;=$J$7,H92&lt;=$K$7),$L$7,
IF(AND(H92&gt;=$J$8,H92&lt;=$K$8),$L$8,
IF(AND(H92&gt;=$J$9,H92&lt;=$K$9),$L$9,
IF(AND(H92&gt;=$J$10,H92&lt;=$K$10),$L$10,
IF(AND(H92&gt;=$J$11,H92&lt;=$K$11),$L$11)))))))))),
"")</f>
        <v/>
      </c>
    </row>
    <row r="93" spans="1:9" x14ac:dyDescent="0.35">
      <c r="A93" s="30" t="str">
        <f>IF(NOT(ISBLANK(Curs!B97)),Curs!B97,"")</f>
        <v/>
      </c>
      <c r="B93" s="31" t="str">
        <f>IF(NOT(ISBLANK(Curs!C97)),Curs!C97,"")</f>
        <v/>
      </c>
      <c r="C93" s="10"/>
      <c r="D93" s="10"/>
      <c r="E93" s="10"/>
      <c r="F93" s="10"/>
      <c r="G93" s="10"/>
      <c r="H93" s="24" t="str">
        <f>IF(NOT(ISBLANK(Curs!C97)),ROUND(SUM(C93:G93),0),"")</f>
        <v/>
      </c>
      <c r="I93" s="23" t="str">
        <f>IF(NOT(ISBLANK(Curs!C97)),
IF(H93=0,"n/p",
IF(AND(H93&gt;=$J$3,H93&lt;=$K$3),$L$3,
IF(AND(H93&gt;=$J$4,H93&lt;=$K$4),$L$4,
IF(AND(H93&gt;=$J$5,H93&lt;=$K$5),$L$5,
IF(AND(H93&gt;=$J$6,H93&lt;=$K$6),$L$6,
IF(AND(H93&gt;=$J$7,H93&lt;=$K$7),$L$7,
IF(AND(H93&gt;=$J$8,H93&lt;=$K$8),$L$8,
IF(AND(H93&gt;=$J$9,H93&lt;=$K$9),$L$9,
IF(AND(H93&gt;=$J$10,H93&lt;=$K$10),$L$10,
IF(AND(H93&gt;=$J$11,H93&lt;=$K$11),$L$11)))))))))),
"")</f>
        <v/>
      </c>
    </row>
    <row r="94" spans="1:9" x14ac:dyDescent="0.35">
      <c r="A94" s="30" t="str">
        <f>IF(NOT(ISBLANK(Curs!B98)),Curs!B98,"")</f>
        <v/>
      </c>
      <c r="B94" s="31" t="str">
        <f>IF(NOT(ISBLANK(Curs!C98)),Curs!C98,"")</f>
        <v/>
      </c>
      <c r="C94" s="10"/>
      <c r="D94" s="10"/>
      <c r="E94" s="10"/>
      <c r="F94" s="10"/>
      <c r="G94" s="10"/>
      <c r="H94" s="24" t="str">
        <f>IF(NOT(ISBLANK(Curs!C98)),ROUND(SUM(C94:G94),0),"")</f>
        <v/>
      </c>
      <c r="I94" s="23" t="str">
        <f>IF(NOT(ISBLANK(Curs!C98)),
IF(H94=0,"n/p",
IF(AND(H94&gt;=$J$3,H94&lt;=$K$3),$L$3,
IF(AND(H94&gt;=$J$4,H94&lt;=$K$4),$L$4,
IF(AND(H94&gt;=$J$5,H94&lt;=$K$5),$L$5,
IF(AND(H94&gt;=$J$6,H94&lt;=$K$6),$L$6,
IF(AND(H94&gt;=$J$7,H94&lt;=$K$7),$L$7,
IF(AND(H94&gt;=$J$8,H94&lt;=$K$8),$L$8,
IF(AND(H94&gt;=$J$9,H94&lt;=$K$9),$L$9,
IF(AND(H94&gt;=$J$10,H94&lt;=$K$10),$L$10,
IF(AND(H94&gt;=$J$11,H94&lt;=$K$11),$L$11)))))))))),
"")</f>
        <v/>
      </c>
    </row>
    <row r="95" spans="1:9" x14ac:dyDescent="0.35">
      <c r="A95" s="30" t="str">
        <f>IF(NOT(ISBLANK(Curs!B99)),Curs!B99,"")</f>
        <v/>
      </c>
      <c r="B95" s="31" t="str">
        <f>IF(NOT(ISBLANK(Curs!C99)),Curs!C99,"")</f>
        <v/>
      </c>
      <c r="C95" s="10"/>
      <c r="D95" s="10"/>
      <c r="E95" s="10"/>
      <c r="F95" s="10"/>
      <c r="G95" s="10"/>
      <c r="H95" s="24" t="str">
        <f>IF(NOT(ISBLANK(Curs!C99)),ROUND(SUM(C95:G95),0),"")</f>
        <v/>
      </c>
      <c r="I95" s="23" t="str">
        <f>IF(NOT(ISBLANK(Curs!C99)),
IF(H95=0,"n/p",
IF(AND(H95&gt;=$J$3,H95&lt;=$K$3),$L$3,
IF(AND(H95&gt;=$J$4,H95&lt;=$K$4),$L$4,
IF(AND(H95&gt;=$J$5,H95&lt;=$K$5),$L$5,
IF(AND(H95&gt;=$J$6,H95&lt;=$K$6),$L$6,
IF(AND(H95&gt;=$J$7,H95&lt;=$K$7),$L$7,
IF(AND(H95&gt;=$J$8,H95&lt;=$K$8),$L$8,
IF(AND(H95&gt;=$J$9,H95&lt;=$K$9),$L$9,
IF(AND(H95&gt;=$J$10,H95&lt;=$K$10),$L$10,
IF(AND(H95&gt;=$J$11,H95&lt;=$K$11),$L$11)))))))))),
"")</f>
        <v/>
      </c>
    </row>
    <row r="96" spans="1:9" x14ac:dyDescent="0.35">
      <c r="A96" s="30" t="str">
        <f>IF(NOT(ISBLANK(Curs!B100)),Curs!B100,"")</f>
        <v/>
      </c>
      <c r="B96" s="31" t="str">
        <f>IF(NOT(ISBLANK(Curs!C100)),Curs!C100,"")</f>
        <v/>
      </c>
      <c r="C96" s="10"/>
      <c r="D96" s="10"/>
      <c r="E96" s="10"/>
      <c r="F96" s="10"/>
      <c r="G96" s="10"/>
      <c r="H96" s="24" t="str">
        <f>IF(NOT(ISBLANK(Curs!C100)),ROUND(SUM(C96:G96),0),"")</f>
        <v/>
      </c>
      <c r="I96" s="23" t="str">
        <f>IF(NOT(ISBLANK(Curs!C100)),
IF(H96=0,"n/p",
IF(AND(H96&gt;=$J$3,H96&lt;=$K$3),$L$3,
IF(AND(H96&gt;=$J$4,H96&lt;=$K$4),$L$4,
IF(AND(H96&gt;=$J$5,H96&lt;=$K$5),$L$5,
IF(AND(H96&gt;=$J$6,H96&lt;=$K$6),$L$6,
IF(AND(H96&gt;=$J$7,H96&lt;=$K$7),$L$7,
IF(AND(H96&gt;=$J$8,H96&lt;=$K$8),$L$8,
IF(AND(H96&gt;=$J$9,H96&lt;=$K$9),$L$9,
IF(AND(H96&gt;=$J$10,H96&lt;=$K$10),$L$10,
IF(AND(H96&gt;=$J$11,H96&lt;=$K$11),$L$11)))))))))),
"")</f>
        <v/>
      </c>
    </row>
    <row r="97" spans="1:9" x14ac:dyDescent="0.35">
      <c r="A97" s="30" t="str">
        <f>IF(NOT(ISBLANK(Curs!B101)),Curs!B101,"")</f>
        <v/>
      </c>
      <c r="B97" s="31" t="str">
        <f>IF(NOT(ISBLANK(Curs!C101)),Curs!C101,"")</f>
        <v/>
      </c>
      <c r="C97" s="10"/>
      <c r="D97" s="10"/>
      <c r="E97" s="10"/>
      <c r="F97" s="10"/>
      <c r="G97" s="10"/>
      <c r="H97" s="24" t="str">
        <f>IF(NOT(ISBLANK(Curs!C101)),ROUND(SUM(C97:G97),0),"")</f>
        <v/>
      </c>
      <c r="I97" s="23" t="str">
        <f>IF(NOT(ISBLANK(Curs!C101)),
IF(H97=0,"n/p",
IF(AND(H97&gt;=$J$3,H97&lt;=$K$3),$L$3,
IF(AND(H97&gt;=$J$4,H97&lt;=$K$4),$L$4,
IF(AND(H97&gt;=$J$5,H97&lt;=$K$5),$L$5,
IF(AND(H97&gt;=$J$6,H97&lt;=$K$6),$L$6,
IF(AND(H97&gt;=$J$7,H97&lt;=$K$7),$L$7,
IF(AND(H97&gt;=$J$8,H97&lt;=$K$8),$L$8,
IF(AND(H97&gt;=$J$9,H97&lt;=$K$9),$L$9,
IF(AND(H97&gt;=$J$10,H97&lt;=$K$10),$L$10,
IF(AND(H97&gt;=$J$11,H97&lt;=$K$11),$L$11)))))))))),
"")</f>
        <v/>
      </c>
    </row>
    <row r="98" spans="1:9" x14ac:dyDescent="0.35">
      <c r="A98" s="30" t="str">
        <f>IF(NOT(ISBLANK(Curs!B102)),Curs!B102,"")</f>
        <v/>
      </c>
      <c r="B98" s="31" t="str">
        <f>IF(NOT(ISBLANK(Curs!C102)),Curs!C102,"")</f>
        <v/>
      </c>
      <c r="C98" s="10"/>
      <c r="D98" s="10"/>
      <c r="E98" s="10"/>
      <c r="F98" s="10"/>
      <c r="G98" s="10"/>
      <c r="H98" s="24" t="str">
        <f>IF(NOT(ISBLANK(Curs!C102)),ROUND(SUM(C98:G98),0),"")</f>
        <v/>
      </c>
      <c r="I98" s="23" t="str">
        <f>IF(NOT(ISBLANK(Curs!C102)),
IF(H98=0,"n/p",
IF(AND(H98&gt;=$J$3,H98&lt;=$K$3),$L$3,
IF(AND(H98&gt;=$J$4,H98&lt;=$K$4),$L$4,
IF(AND(H98&gt;=$J$5,H98&lt;=$K$5),$L$5,
IF(AND(H98&gt;=$J$6,H98&lt;=$K$6),$L$6,
IF(AND(H98&gt;=$J$7,H98&lt;=$K$7),$L$7,
IF(AND(H98&gt;=$J$8,H98&lt;=$K$8),$L$8,
IF(AND(H98&gt;=$J$9,H98&lt;=$K$9),$L$9,
IF(AND(H98&gt;=$J$10,H98&lt;=$K$10),$L$10,
IF(AND(H98&gt;=$J$11,H98&lt;=$K$11),$L$11)))))))))),
"")</f>
        <v/>
      </c>
    </row>
    <row r="99" spans="1:9" x14ac:dyDescent="0.35">
      <c r="A99" s="30" t="str">
        <f>IF(NOT(ISBLANK(Curs!B103)),Curs!B103,"")</f>
        <v/>
      </c>
      <c r="B99" s="31" t="str">
        <f>IF(NOT(ISBLANK(Curs!C103)),Curs!C103,"")</f>
        <v/>
      </c>
      <c r="C99" s="10"/>
      <c r="D99" s="10"/>
      <c r="E99" s="10"/>
      <c r="F99" s="10"/>
      <c r="G99" s="10"/>
      <c r="H99" s="24" t="str">
        <f>IF(NOT(ISBLANK(Curs!C103)),ROUND(SUM(C99:G99),0),"")</f>
        <v/>
      </c>
      <c r="I99" s="23" t="str">
        <f>IF(NOT(ISBLANK(Curs!C103)),
IF(H99=0,"n/p",
IF(AND(H99&gt;=$J$3,H99&lt;=$K$3),$L$3,
IF(AND(H99&gt;=$J$4,H99&lt;=$K$4),$L$4,
IF(AND(H99&gt;=$J$5,H99&lt;=$K$5),$L$5,
IF(AND(H99&gt;=$J$6,H99&lt;=$K$6),$L$6,
IF(AND(H99&gt;=$J$7,H99&lt;=$K$7),$L$7,
IF(AND(H99&gt;=$J$8,H99&lt;=$K$8),$L$8,
IF(AND(H99&gt;=$J$9,H99&lt;=$K$9),$L$9,
IF(AND(H99&gt;=$J$10,H99&lt;=$K$10),$L$10,
IF(AND(H99&gt;=$J$11,H99&lt;=$K$11),$L$11)))))))))),
"")</f>
        <v/>
      </c>
    </row>
    <row r="100" spans="1:9" x14ac:dyDescent="0.35">
      <c r="A100" s="30" t="str">
        <f>IF(NOT(ISBLANK(Curs!B104)),Curs!B104,"")</f>
        <v/>
      </c>
      <c r="B100" s="31" t="str">
        <f>IF(NOT(ISBLANK(Curs!C104)),Curs!C104,"")</f>
        <v/>
      </c>
      <c r="C100" s="10"/>
      <c r="D100" s="10"/>
      <c r="E100" s="10"/>
      <c r="F100" s="10"/>
      <c r="G100" s="10"/>
      <c r="H100" s="24" t="str">
        <f>IF(NOT(ISBLANK(Curs!C104)),ROUND(SUM(C100:G100),0),"")</f>
        <v/>
      </c>
      <c r="I100" s="23" t="str">
        <f>IF(NOT(ISBLANK(Curs!C104)),
IF(H100=0,"n/p",
IF(AND(H100&gt;=$J$3,H100&lt;=$K$3),$L$3,
IF(AND(H100&gt;=$J$4,H100&lt;=$K$4),$L$4,
IF(AND(H100&gt;=$J$5,H100&lt;=$K$5),$L$5,
IF(AND(H100&gt;=$J$6,H100&lt;=$K$6),$L$6,
IF(AND(H100&gt;=$J$7,H100&lt;=$K$7),$L$7,
IF(AND(H100&gt;=$J$8,H100&lt;=$K$8),$L$8,
IF(AND(H100&gt;=$J$9,H100&lt;=$K$9),$L$9,
IF(AND(H100&gt;=$J$10,H100&lt;=$K$10),$L$10,
IF(AND(H100&gt;=$J$11,H100&lt;=$K$11),$L$11)))))))))),
"")</f>
        <v/>
      </c>
    </row>
    <row r="101" spans="1:9" x14ac:dyDescent="0.35">
      <c r="A101" s="30" t="str">
        <f>IF(NOT(ISBLANK(Curs!B105)),Curs!B105,"")</f>
        <v/>
      </c>
      <c r="B101" s="31" t="str">
        <f>IF(NOT(ISBLANK(Curs!C105)),Curs!C105,"")</f>
        <v/>
      </c>
      <c r="C101" s="10"/>
      <c r="D101" s="10"/>
      <c r="E101" s="10"/>
      <c r="F101" s="10"/>
      <c r="G101" s="10"/>
      <c r="H101" s="24" t="str">
        <f>IF(NOT(ISBLANK(Curs!C105)),ROUND(SUM(C101:G101),0),"")</f>
        <v/>
      </c>
      <c r="I101" s="23" t="str">
        <f>IF(NOT(ISBLANK(Curs!C105)),
IF(H101=0,"n/p",
IF(AND(H101&gt;=$J$3,H101&lt;=$K$3),$L$3,
IF(AND(H101&gt;=$J$4,H101&lt;=$K$4),$L$4,
IF(AND(H101&gt;=$J$5,H101&lt;=$K$5),$L$5,
IF(AND(H101&gt;=$J$6,H101&lt;=$K$6),$L$6,
IF(AND(H101&gt;=$J$7,H101&lt;=$K$7),$L$7,
IF(AND(H101&gt;=$J$8,H101&lt;=$K$8),$L$8,
IF(AND(H101&gt;=$J$9,H101&lt;=$K$9),$L$9,
IF(AND(H101&gt;=$J$10,H101&lt;=$K$10),$L$10,
IF(AND(H101&gt;=$J$11,H101&lt;=$K$11),$L$11)))))))))),
"")</f>
        <v/>
      </c>
    </row>
  </sheetData>
  <mergeCells count="1">
    <mergeCell ref="M1:N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P101"/>
  <sheetViews>
    <sheetView zoomScale="85" zoomScaleNormal="85" workbookViewId="0">
      <selection activeCell="H20" sqref="H20"/>
    </sheetView>
  </sheetViews>
  <sheetFormatPr defaultRowHeight="14.4" x14ac:dyDescent="0.3"/>
  <cols>
    <col min="1" max="1" width="4.44140625" customWidth="1"/>
    <col min="2" max="2" width="26" customWidth="1"/>
    <col min="3" max="3" width="7.33203125" customWidth="1"/>
    <col min="4" max="5" width="8.6640625" customWidth="1"/>
    <col min="6" max="6" width="10.109375" customWidth="1"/>
    <col min="7" max="8" width="8.6640625" customWidth="1"/>
    <col min="9" max="9" width="10.109375" customWidth="1"/>
    <col min="10" max="10" width="8.6640625" customWidth="1"/>
    <col min="11" max="11" width="11.109375" bestFit="1" customWidth="1"/>
    <col min="12" max="12" width="11.5546875" customWidth="1"/>
    <col min="16" max="16" width="8.6640625" customWidth="1"/>
  </cols>
  <sheetData>
    <row r="1" spans="1:16" ht="36" x14ac:dyDescent="0.35">
      <c r="A1" s="3" t="s">
        <v>0</v>
      </c>
      <c r="B1" s="4" t="s">
        <v>1</v>
      </c>
      <c r="C1" s="21" t="s">
        <v>18</v>
      </c>
      <c r="D1" s="21" t="s">
        <v>20</v>
      </c>
      <c r="E1" s="21" t="s">
        <v>19</v>
      </c>
      <c r="F1" s="25" t="s">
        <v>13</v>
      </c>
      <c r="G1" s="5" t="s">
        <v>8</v>
      </c>
      <c r="H1" s="6" t="s">
        <v>9</v>
      </c>
      <c r="I1" s="7"/>
      <c r="J1" s="6"/>
      <c r="K1" s="51" t="s">
        <v>21</v>
      </c>
      <c r="L1" s="51"/>
      <c r="M1" s="8"/>
      <c r="N1" s="9"/>
      <c r="O1" s="9"/>
      <c r="P1" s="9"/>
    </row>
    <row r="2" spans="1:16" ht="18" x14ac:dyDescent="0.35">
      <c r="A2" s="30">
        <f>IF(NOT(ISBLANK(Curs!B2)),Curs!B2,"")</f>
        <v>1</v>
      </c>
      <c r="B2" s="31" t="str">
        <f>IF(NOT(ISBLANK(Curs!C2)),Curs!C2,"")</f>
        <v>Nume, Prenume</v>
      </c>
      <c r="C2" s="10"/>
      <c r="D2" s="10"/>
      <c r="E2" s="10"/>
      <c r="F2" s="24">
        <f>IF(NOT(ISBLANK(Curs!C2)),
IF(Curs!AI6,"Eliberat",
ROUND(SUM(C2:E2),0)),
"")</f>
        <v>0</v>
      </c>
      <c r="G2" s="23" t="str">
        <f>IF(NOT(ISBLANK(Curs!C2)),
IF(Curs!AI6,Curs!AI6,
IF(F2=0,"n/p",
IF(AND(F2&gt;=$H$3,F2&lt;=$I$3),$J$3,
IF(AND(F2&gt;=$H$4,F2&lt;=$I$4),$J$4,
IF(AND(F2&gt;=$H$5,F2&lt;=$I$5),$J$5,
IF(AND(F2&gt;=$H$6,F2&lt;=$I$6),$J$6,
IF(AND(F2&gt;=$H$7,F2&lt;=$I$7),$J$7,
IF(AND(F2&gt;=$H$8,F2&lt;=$I$8),$J$8,
IF(AND(F2&gt;=$H$9,F2&lt;=$I$9),$J$9,
IF(AND(F2&gt;=$H$10,F2&lt;=$I$10),$J$10,
IF(AND(F2&gt;=$H$11,F2&lt;=$I$11),$J$11))))))))))),
"")</f>
        <v>n/p</v>
      </c>
      <c r="H2" s="6" t="s">
        <v>11</v>
      </c>
      <c r="I2" s="6"/>
      <c r="J2" s="12" t="s">
        <v>8</v>
      </c>
      <c r="K2" s="27" t="s">
        <v>8</v>
      </c>
      <c r="L2" s="27" t="s">
        <v>10</v>
      </c>
      <c r="M2" s="8"/>
      <c r="N2" s="13"/>
      <c r="O2" s="13"/>
      <c r="P2" s="13"/>
    </row>
    <row r="3" spans="1:16" ht="18" x14ac:dyDescent="0.35">
      <c r="A3" s="30" t="str">
        <f>IF(NOT(ISBLANK(Curs!B7)),Curs!B7,"")</f>
        <v/>
      </c>
      <c r="B3" s="31" t="str">
        <f>IF(NOT(ISBLANK(Curs!C7)),Curs!C7,"")</f>
        <v/>
      </c>
      <c r="C3" s="10"/>
      <c r="D3" s="10"/>
      <c r="E3" s="10"/>
      <c r="F3" s="24" t="str">
        <f>IF(NOT(ISBLANK(Curs!C7)),
IF(Curs!AI7,"Eliberat",
ROUND(SUM(C3:E3),0)),
"")</f>
        <v/>
      </c>
      <c r="G3" s="23" t="str">
        <f>IF(NOT(ISBLANK(Curs!C7)),
IF(Curs!AI7,Curs!AI7,
IF(F3=0,"n/p",
IF(AND(F3&gt;=$H$3,F3&lt;=$I$3),$J$3,
IF(AND(F3&gt;=$H$4,F3&lt;=$I$4),$J$4,
IF(AND(F3&gt;=$H$5,F3&lt;=$I$5),$J$5,
IF(AND(F3&gt;=$H$6,F3&lt;=$I$6),$J$6,
IF(AND(F3&gt;=$H$7,F3&lt;=$I$7),$J$7,
IF(AND(F3&gt;=$H$8,F3&lt;=$I$8),$J$8,
IF(AND(F3&gt;=$H$9,F3&lt;=$I$9),$J$9,
IF(AND(F3&gt;=$H$10,F3&lt;=$I$10),$J$10,
IF(AND(F3&gt;=$H$11,F3&lt;=$I$11),$J$11))))))))))),
"")</f>
        <v/>
      </c>
      <c r="H3" s="22">
        <v>0</v>
      </c>
      <c r="I3" s="22">
        <v>3</v>
      </c>
      <c r="J3" s="12">
        <v>2</v>
      </c>
      <c r="K3" s="29">
        <v>1</v>
      </c>
      <c r="L3" s="27">
        <f>COUNTIF($G$2:$G101,K3)</f>
        <v>0</v>
      </c>
      <c r="M3" s="8"/>
      <c r="N3" s="13"/>
      <c r="O3" s="13"/>
      <c r="P3" s="13"/>
    </row>
    <row r="4" spans="1:16" ht="18" x14ac:dyDescent="0.35">
      <c r="A4" s="30" t="str">
        <f>IF(NOT(ISBLANK(Curs!B8)),Curs!B8,"")</f>
        <v/>
      </c>
      <c r="B4" s="31" t="str">
        <f>IF(NOT(ISBLANK(Curs!C8)),Curs!C8,"")</f>
        <v/>
      </c>
      <c r="C4" s="10"/>
      <c r="D4" s="10"/>
      <c r="E4" s="10"/>
      <c r="F4" s="24" t="str">
        <f>IF(NOT(ISBLANK(Curs!C8)),
IF(Curs!AI8,"Eliberat",
ROUND(SUM(C4:E4),0)),
"")</f>
        <v/>
      </c>
      <c r="G4" s="23" t="str">
        <f>IF(NOT(ISBLANK(Curs!C8)),
IF(Curs!AI8,Curs!AI8,
IF(F4=0,"n/p",
IF(AND(F4&gt;=$H$3,F4&lt;=$I$3),$J$3,
IF(AND(F4&gt;=$H$4,F4&lt;=$I$4),$J$4,
IF(AND(F4&gt;=$H$5,F4&lt;=$I$5),$J$5,
IF(AND(F4&gt;=$H$6,F4&lt;=$I$6),$J$6,
IF(AND(F4&gt;=$H$7,F4&lt;=$I$7),$J$7,
IF(AND(F4&gt;=$H$8,F4&lt;=$I$8),$J$8,
IF(AND(F4&gt;=$H$9,F4&lt;=$I$9),$J$9,
IF(AND(F4&gt;=$H$10,F4&lt;=$I$10),$J$10,
IF(AND(F4&gt;=$H$11,F4&lt;=$I$11),$J$11))))))))))),
"")</f>
        <v/>
      </c>
      <c r="H4" s="22">
        <v>4</v>
      </c>
      <c r="I4" s="22">
        <v>7</v>
      </c>
      <c r="J4" s="12">
        <v>3</v>
      </c>
      <c r="K4" s="28">
        <v>2</v>
      </c>
      <c r="L4" s="27">
        <f>COUNTIF($G$2:$G102,K4)</f>
        <v>0</v>
      </c>
      <c r="M4" s="8"/>
      <c r="N4" s="13"/>
      <c r="O4" s="13"/>
      <c r="P4" s="13"/>
    </row>
    <row r="5" spans="1:16" ht="18" x14ac:dyDescent="0.35">
      <c r="A5" s="30" t="str">
        <f>IF(NOT(ISBLANK(Curs!B9)),Curs!B9,"")</f>
        <v/>
      </c>
      <c r="B5" s="31" t="str">
        <f>IF(NOT(ISBLANK(Curs!C9)),Curs!C9,"")</f>
        <v/>
      </c>
      <c r="C5" s="10"/>
      <c r="D5" s="10"/>
      <c r="E5" s="10"/>
      <c r="F5" s="24" t="str">
        <f>IF(NOT(ISBLANK(Curs!C9)),
IF(Curs!AI9,"Eliberat",
ROUND(SUM(C5:E5),0)),
"")</f>
        <v/>
      </c>
      <c r="G5" s="23" t="str">
        <f>IF(NOT(ISBLANK(Curs!C9)),
IF(Curs!AI9,Curs!AI9,
IF(F5=0,"n/p",
IF(AND(F5&gt;=$H$3,F5&lt;=$I$3),$J$3,
IF(AND(F5&gt;=$H$4,F5&lt;=$I$4),$J$4,
IF(AND(F5&gt;=$H$5,F5&lt;=$I$5),$J$5,
IF(AND(F5&gt;=$H$6,F5&lt;=$I$6),$J$6,
IF(AND(F5&gt;=$H$7,F5&lt;=$I$7),$J$7,
IF(AND(F5&gt;=$H$8,F5&lt;=$I$8),$J$8,
IF(AND(F5&gt;=$H$9,F5&lt;=$I$9),$J$9,
IF(AND(F5&gt;=$H$10,F5&lt;=$I$10),$J$10,
IF(AND(F5&gt;=$H$11,F5&lt;=$I$11),$J$11))))))))))),
"")</f>
        <v/>
      </c>
      <c r="H5" s="22">
        <v>8</v>
      </c>
      <c r="I5" s="22">
        <v>12</v>
      </c>
      <c r="J5" s="12">
        <v>4</v>
      </c>
      <c r="K5" s="28">
        <v>3</v>
      </c>
      <c r="L5" s="27">
        <f>COUNTIF($G$2:$G103,K5)</f>
        <v>0</v>
      </c>
      <c r="M5" s="8"/>
      <c r="N5" s="13"/>
      <c r="O5" s="13"/>
      <c r="P5" s="13"/>
    </row>
    <row r="6" spans="1:16" ht="18" x14ac:dyDescent="0.35">
      <c r="A6" s="30" t="str">
        <f>IF(NOT(ISBLANK(Curs!B10)),Curs!B10,"")</f>
        <v/>
      </c>
      <c r="B6" s="31" t="str">
        <f>IF(NOT(ISBLANK(Curs!C10)),Curs!C10,"")</f>
        <v/>
      </c>
      <c r="C6" s="10"/>
      <c r="D6" s="10"/>
      <c r="E6" s="10"/>
      <c r="F6" s="24" t="str">
        <f>IF(NOT(ISBLANK(Curs!C10)),
IF(Curs!AI10,"Eliberat",
ROUND(SUM(C6:E6),0)),
"")</f>
        <v/>
      </c>
      <c r="G6" s="23" t="str">
        <f>IF(NOT(ISBLANK(Curs!C10)),
IF(Curs!AI10,Curs!AI10,
IF(F6=0,"n/p",
IF(AND(F6&gt;=$H$3,F6&lt;=$I$3),$J$3,
IF(AND(F6&gt;=$H$4,F6&lt;=$I$4),$J$4,
IF(AND(F6&gt;=$H$5,F6&lt;=$I$5),$J$5,
IF(AND(F6&gt;=$H$6,F6&lt;=$I$6),$J$6,
IF(AND(F6&gt;=$H$7,F6&lt;=$I$7),$J$7,
IF(AND(F6&gt;=$H$8,F6&lt;=$I$8),$J$8,
IF(AND(F6&gt;=$H$9,F6&lt;=$I$9),$J$9,
IF(AND(F6&gt;=$H$10,F6&lt;=$I$10),$J$10,
IF(AND(F6&gt;=$H$11,F6&lt;=$I$11),$J$11))))))))))),
"")</f>
        <v/>
      </c>
      <c r="H6" s="22">
        <v>13</v>
      </c>
      <c r="I6" s="22">
        <v>15</v>
      </c>
      <c r="J6" s="12">
        <v>5</v>
      </c>
      <c r="K6" s="29">
        <v>4</v>
      </c>
      <c r="L6" s="27">
        <f>COUNTIF($G$2:$G104,K6)</f>
        <v>0</v>
      </c>
      <c r="M6" s="8"/>
      <c r="N6" s="13"/>
      <c r="O6" s="13"/>
      <c r="P6" s="13"/>
    </row>
    <row r="7" spans="1:16" ht="18" x14ac:dyDescent="0.35">
      <c r="A7" s="30" t="str">
        <f>IF(NOT(ISBLANK(Curs!B11)),Curs!B11,"")</f>
        <v/>
      </c>
      <c r="B7" s="31" t="str">
        <f>IF(NOT(ISBLANK(Curs!C11)),Curs!C11,"")</f>
        <v/>
      </c>
      <c r="C7" s="10"/>
      <c r="D7" s="10"/>
      <c r="E7" s="10"/>
      <c r="F7" s="24" t="str">
        <f>IF(NOT(ISBLANK(Curs!C11)),
IF(Curs!AI11,"Eliberat",
ROUND(SUM(C7:E7),0)),
"")</f>
        <v/>
      </c>
      <c r="G7" s="23" t="str">
        <f>IF(NOT(ISBLANK(Curs!C11)),
IF(Curs!AI11,Curs!AI11,
IF(F7=0,"n/p",
IF(AND(F7&gt;=$H$3,F7&lt;=$I$3),$J$3,
IF(AND(F7&gt;=$H$4,F7&lt;=$I$4),$J$4,
IF(AND(F7&gt;=$H$5,F7&lt;=$I$5),$J$5,
IF(AND(F7&gt;=$H$6,F7&lt;=$I$6),$J$6,
IF(AND(F7&gt;=$H$7,F7&lt;=$I$7),$J$7,
IF(AND(F7&gt;=$H$8,F7&lt;=$I$8),$J$8,
IF(AND(F7&gt;=$H$9,F7&lt;=$I$9),$J$9,
IF(AND(F7&gt;=$H$10,F7&lt;=$I$10),$J$10,
IF(AND(F7&gt;=$H$11,F7&lt;=$I$11),$J$11))))))))))),
"")</f>
        <v/>
      </c>
      <c r="H7" s="22">
        <v>16</v>
      </c>
      <c r="I7" s="22">
        <v>18</v>
      </c>
      <c r="J7" s="12">
        <v>6</v>
      </c>
      <c r="K7" s="29">
        <v>5</v>
      </c>
      <c r="L7" s="27">
        <f>COUNTIF($G$2:$G105,K7)</f>
        <v>0</v>
      </c>
      <c r="M7" s="8"/>
      <c r="N7" s="13"/>
      <c r="O7" s="13"/>
      <c r="P7" s="13"/>
    </row>
    <row r="8" spans="1:16" ht="18" x14ac:dyDescent="0.35">
      <c r="A8" s="30" t="str">
        <f>IF(NOT(ISBLANK(Curs!B12)),Curs!B12,"")</f>
        <v/>
      </c>
      <c r="B8" s="31" t="str">
        <f>IF(NOT(ISBLANK(Curs!C12)),Curs!C12,"")</f>
        <v/>
      </c>
      <c r="C8" s="10"/>
      <c r="D8" s="10"/>
      <c r="E8" s="10"/>
      <c r="F8" s="24" t="str">
        <f>IF(NOT(ISBLANK(Curs!C12)),
IF(Curs!AI12,"Eliberat",
ROUND(SUM(C8:E8),0)),
"")</f>
        <v/>
      </c>
      <c r="G8" s="23" t="str">
        <f>IF(NOT(ISBLANK(Curs!C12)),
IF(Curs!AI12,Curs!AI12,
IF(F8=0,"n/p",
IF(AND(F8&gt;=$H$3,F8&lt;=$I$3),$J$3,
IF(AND(F8&gt;=$H$4,F8&lt;=$I$4),$J$4,
IF(AND(F8&gt;=$H$5,F8&lt;=$I$5),$J$5,
IF(AND(F8&gt;=$H$6,F8&lt;=$I$6),$J$6,
IF(AND(F8&gt;=$H$7,F8&lt;=$I$7),$J$7,
IF(AND(F8&gt;=$H$8,F8&lt;=$I$8),$J$8,
IF(AND(F8&gt;=$H$9,F8&lt;=$I$9),$J$9,
IF(AND(F8&gt;=$H$10,F8&lt;=$I$10),$J$10,
IF(AND(F8&gt;=$H$11,F8&lt;=$I$11),$J$11))))))))))),
"")</f>
        <v/>
      </c>
      <c r="H8" s="22">
        <v>19</v>
      </c>
      <c r="I8" s="22">
        <v>21</v>
      </c>
      <c r="J8" s="12">
        <v>7</v>
      </c>
      <c r="K8" s="29">
        <v>6</v>
      </c>
      <c r="L8" s="27">
        <f>COUNTIF($G$2:$G106,K8)</f>
        <v>0</v>
      </c>
      <c r="M8" s="8"/>
      <c r="N8" s="13"/>
      <c r="O8" s="13"/>
      <c r="P8" s="13"/>
    </row>
    <row r="9" spans="1:16" ht="18" x14ac:dyDescent="0.35">
      <c r="A9" s="30" t="str">
        <f>IF(NOT(ISBLANK(Curs!B13)),Curs!B13,"")</f>
        <v/>
      </c>
      <c r="B9" s="31" t="str">
        <f>IF(NOT(ISBLANK(Curs!C13)),Curs!C13,"")</f>
        <v/>
      </c>
      <c r="C9" s="10"/>
      <c r="D9" s="10"/>
      <c r="E9" s="10"/>
      <c r="F9" s="24" t="str">
        <f>IF(NOT(ISBLANK(Curs!C13)),
IF(Curs!AI13,"Eliberat",
ROUND(SUM(C9:E9),0)),
"")</f>
        <v/>
      </c>
      <c r="G9" s="23" t="str">
        <f>IF(NOT(ISBLANK(Curs!C13)),
IF(Curs!AI13,Curs!AI13,
IF(F9=0,"n/p",
IF(AND(F9&gt;=$H$3,F9&lt;=$I$3),$J$3,
IF(AND(F9&gt;=$H$4,F9&lt;=$I$4),$J$4,
IF(AND(F9&gt;=$H$5,F9&lt;=$I$5),$J$5,
IF(AND(F9&gt;=$H$6,F9&lt;=$I$6),$J$6,
IF(AND(F9&gt;=$H$7,F9&lt;=$I$7),$J$7,
IF(AND(F9&gt;=$H$8,F9&lt;=$I$8),$J$8,
IF(AND(F9&gt;=$H$9,F9&lt;=$I$9),$J$9,
IF(AND(F9&gt;=$H$10,F9&lt;=$I$10),$J$10,
IF(AND(F9&gt;=$H$11,F9&lt;=$I$11),$J$11))))))))))),
"")</f>
        <v/>
      </c>
      <c r="H9" s="22">
        <v>22</v>
      </c>
      <c r="I9" s="22">
        <v>24</v>
      </c>
      <c r="J9" s="12">
        <v>8</v>
      </c>
      <c r="K9" s="29">
        <v>7</v>
      </c>
      <c r="L9" s="27">
        <f>COUNTIF($G$2:$G107,K9)</f>
        <v>0</v>
      </c>
      <c r="M9" s="8"/>
      <c r="N9" s="13"/>
      <c r="O9" s="13"/>
      <c r="P9" s="13"/>
    </row>
    <row r="10" spans="1:16" ht="18" x14ac:dyDescent="0.35">
      <c r="A10" s="30" t="str">
        <f>IF(NOT(ISBLANK(Curs!B14)),Curs!B14,"")</f>
        <v/>
      </c>
      <c r="B10" s="31" t="str">
        <f>IF(NOT(ISBLANK(Curs!C14)),Curs!C14,"")</f>
        <v/>
      </c>
      <c r="C10" s="10"/>
      <c r="D10" s="10"/>
      <c r="E10" s="10"/>
      <c r="F10" s="24" t="str">
        <f>IF(NOT(ISBLANK(Curs!C14)),
IF(Curs!AI14,"Eliberat",
ROUND(SUM(C10:E10),0)),
"")</f>
        <v/>
      </c>
      <c r="G10" s="23" t="str">
        <f>IF(NOT(ISBLANK(Curs!C14)),
IF(Curs!AI14,Curs!AI14,
IF(F10=0,"n/p",
IF(AND(F10&gt;=$H$3,F10&lt;=$I$3),$J$3,
IF(AND(F10&gt;=$H$4,F10&lt;=$I$4),$J$4,
IF(AND(F10&gt;=$H$5,F10&lt;=$I$5),$J$5,
IF(AND(F10&gt;=$H$6,F10&lt;=$I$6),$J$6,
IF(AND(F10&gt;=$H$7,F10&lt;=$I$7),$J$7,
IF(AND(F10&gt;=$H$8,F10&lt;=$I$8),$J$8,
IF(AND(F10&gt;=$H$9,F10&lt;=$I$9),$J$9,
IF(AND(F10&gt;=$H$10,F10&lt;=$I$10),$J$10,
IF(AND(F10&gt;=$H$11,F10&lt;=$I$11),$J$11))))))))))),
"")</f>
        <v/>
      </c>
      <c r="H10" s="22">
        <v>25</v>
      </c>
      <c r="I10" s="22">
        <v>27</v>
      </c>
      <c r="J10" s="12">
        <v>9</v>
      </c>
      <c r="K10" s="29">
        <v>8</v>
      </c>
      <c r="L10" s="27">
        <f>COUNTIF($G$2:$G108,K10)</f>
        <v>0</v>
      </c>
      <c r="M10" s="8"/>
      <c r="N10" s="13"/>
      <c r="O10" s="13"/>
      <c r="P10" s="13"/>
    </row>
    <row r="11" spans="1:16" ht="18" x14ac:dyDescent="0.35">
      <c r="A11" s="30" t="str">
        <f>IF(NOT(ISBLANK(Curs!B15)),Curs!B15,"")</f>
        <v/>
      </c>
      <c r="B11" s="31" t="str">
        <f>IF(NOT(ISBLANK(Curs!C15)),Curs!C15,"")</f>
        <v/>
      </c>
      <c r="C11" s="10"/>
      <c r="D11" s="10"/>
      <c r="E11" s="10"/>
      <c r="F11" s="24" t="str">
        <f>IF(NOT(ISBLANK(Curs!C15)),
IF(Curs!AI15,"Eliberat",
ROUND(SUM(C11:E11),0)),
"")</f>
        <v/>
      </c>
      <c r="G11" s="23" t="str">
        <f>IF(NOT(ISBLANK(Curs!C15)),
IF(Curs!AI15,Curs!AI15,
IF(F11=0,"n/p",
IF(AND(F11&gt;=$H$3,F11&lt;=$I$3),$J$3,
IF(AND(F11&gt;=$H$4,F11&lt;=$I$4),$J$4,
IF(AND(F11&gt;=$H$5,F11&lt;=$I$5),$J$5,
IF(AND(F11&gt;=$H$6,F11&lt;=$I$6),$J$6,
IF(AND(F11&gt;=$H$7,F11&lt;=$I$7),$J$7,
IF(AND(F11&gt;=$H$8,F11&lt;=$I$8),$J$8,
IF(AND(F11&gt;=$H$9,F11&lt;=$I$9),$J$9,
IF(AND(F11&gt;=$H$10,F11&lt;=$I$10),$J$10,
IF(AND(F11&gt;=$H$11,F11&lt;=$I$11),$J$11))))))))))),
"")</f>
        <v/>
      </c>
      <c r="H11" s="22">
        <v>28</v>
      </c>
      <c r="I11" s="22">
        <v>30</v>
      </c>
      <c r="J11" s="12">
        <v>10</v>
      </c>
      <c r="K11" s="29">
        <v>9</v>
      </c>
      <c r="L11" s="27">
        <f>COUNTIF($G$2:$G109,K11)</f>
        <v>0</v>
      </c>
      <c r="M11" s="8"/>
      <c r="N11" s="13"/>
      <c r="O11" s="13"/>
      <c r="P11" s="13"/>
    </row>
    <row r="12" spans="1:16" ht="18" x14ac:dyDescent="0.35">
      <c r="A12" s="30" t="str">
        <f>IF(NOT(ISBLANK(Curs!B16)),Curs!B16,"")</f>
        <v/>
      </c>
      <c r="B12" s="31" t="str">
        <f>IF(NOT(ISBLANK(Curs!C16)),Curs!C16,"")</f>
        <v/>
      </c>
      <c r="C12" s="10"/>
      <c r="D12" s="10"/>
      <c r="E12" s="10"/>
      <c r="F12" s="24" t="str">
        <f>IF(NOT(ISBLANK(Curs!C16)),
IF(Curs!AI16,"Eliberat",
ROUND(SUM(C12:E12),0)),
"")</f>
        <v/>
      </c>
      <c r="G12" s="23" t="str">
        <f>IF(NOT(ISBLANK(Curs!C16)),
IF(Curs!AI16,Curs!AI16,
IF(F12=0,"n/p",
IF(AND(F12&gt;=$H$3,F12&lt;=$I$3),$J$3,
IF(AND(F12&gt;=$H$4,F12&lt;=$I$4),$J$4,
IF(AND(F12&gt;=$H$5,F12&lt;=$I$5),$J$5,
IF(AND(F12&gt;=$H$6,F12&lt;=$I$6),$J$6,
IF(AND(F12&gt;=$H$7,F12&lt;=$I$7),$J$7,
IF(AND(F12&gt;=$H$8,F12&lt;=$I$8),$J$8,
IF(AND(F12&gt;=$H$9,F12&lt;=$I$9),$J$9,
IF(AND(F12&gt;=$H$10,F12&lt;=$I$10),$J$10,
IF(AND(F12&gt;=$H$11,F12&lt;=$I$11),$J$11))))))))))),
"")</f>
        <v/>
      </c>
      <c r="H12" s="22"/>
      <c r="I12" s="22"/>
      <c r="J12" s="12"/>
      <c r="K12" s="29">
        <v>10</v>
      </c>
      <c r="L12" s="27">
        <f>COUNTIF($G$2:$G110,K12)</f>
        <v>0</v>
      </c>
      <c r="M12" s="8"/>
      <c r="N12" s="13"/>
      <c r="O12" s="13"/>
      <c r="P12" s="13"/>
    </row>
    <row r="13" spans="1:16" ht="18" x14ac:dyDescent="0.35">
      <c r="A13" s="30" t="str">
        <f>IF(NOT(ISBLANK(Curs!B17)),Curs!B17,"")</f>
        <v/>
      </c>
      <c r="B13" s="31" t="str">
        <f>IF(NOT(ISBLANK(Curs!C17)),Curs!C17,"")</f>
        <v/>
      </c>
      <c r="C13" s="10"/>
      <c r="D13" s="10"/>
      <c r="E13" s="10"/>
      <c r="F13" s="24" t="str">
        <f>IF(NOT(ISBLANK(Curs!C17)),
IF(Curs!AI17,"Eliberat",
ROUND(SUM(C13:E13),0)),
"")</f>
        <v/>
      </c>
      <c r="G13" s="23" t="str">
        <f>IF(NOT(ISBLANK(Curs!C17)),
IF(Curs!AI17,Curs!AI17,
IF(F13=0,"n/p",
IF(AND(F13&gt;=$H$3,F13&lt;=$I$3),$J$3,
IF(AND(F13&gt;=$H$4,F13&lt;=$I$4),$J$4,
IF(AND(F13&gt;=$H$5,F13&lt;=$I$5),$J$5,
IF(AND(F13&gt;=$H$6,F13&lt;=$I$6),$J$6,
IF(AND(F13&gt;=$H$7,F13&lt;=$I$7),$J$7,
IF(AND(F13&gt;=$H$8,F13&lt;=$I$8),$J$8,
IF(AND(F13&gt;=$H$9,F13&lt;=$I$9),$J$9,
IF(AND(F13&gt;=$H$10,F13&lt;=$I$10),$J$10,
IF(AND(F13&gt;=$H$11,F13&lt;=$I$11),$J$11))))))))))),
"")</f>
        <v/>
      </c>
      <c r="H13" s="22"/>
      <c r="I13" s="22"/>
      <c r="J13" s="12"/>
      <c r="K13" s="29" t="s">
        <v>12</v>
      </c>
      <c r="L13" s="27">
        <f>COUNTIF($G$2:$G111,K13)</f>
        <v>1</v>
      </c>
      <c r="M13" s="8"/>
      <c r="N13" s="13"/>
      <c r="O13" s="16"/>
      <c r="P13" s="13"/>
    </row>
    <row r="14" spans="1:16" ht="18" x14ac:dyDescent="0.35">
      <c r="A14" s="30" t="str">
        <f>IF(NOT(ISBLANK(Curs!B18)),Curs!B18,"")</f>
        <v/>
      </c>
      <c r="B14" s="31" t="str">
        <f>IF(NOT(ISBLANK(Curs!C18)),Curs!C18,"")</f>
        <v/>
      </c>
      <c r="C14" s="10"/>
      <c r="D14" s="10"/>
      <c r="E14" s="10"/>
      <c r="F14" s="24" t="str">
        <f>IF(NOT(ISBLANK(Curs!C18)),
IF(Curs!AI18,"Eliberat",
ROUND(SUM(C14:E14),0)),
"")</f>
        <v/>
      </c>
      <c r="G14" s="23" t="str">
        <f>IF(NOT(ISBLANK(Curs!C18)),
IF(Curs!AI18,Curs!AI18,
IF(F14=0,"n/p",
IF(AND(F14&gt;=$H$3,F14&lt;=$I$3),$J$3,
IF(AND(F14&gt;=$H$4,F14&lt;=$I$4),$J$4,
IF(AND(F14&gt;=$H$5,F14&lt;=$I$5),$J$5,
IF(AND(F14&gt;=$H$6,F14&lt;=$I$6),$J$6,
IF(AND(F14&gt;=$H$7,F14&lt;=$I$7),$J$7,
IF(AND(F14&gt;=$H$8,F14&lt;=$I$8),$J$8,
IF(AND(F14&gt;=$H$9,F14&lt;=$I$9),$J$9,
IF(AND(F14&gt;=$H$10,F14&lt;=$I$10),$J$10,
IF(AND(F14&gt;=$H$11,F14&lt;=$I$11),$J$11))))))))))),
"")</f>
        <v/>
      </c>
      <c r="H14" s="7"/>
      <c r="I14" s="14"/>
      <c r="J14" s="7"/>
      <c r="N14" s="15"/>
      <c r="O14" s="13"/>
      <c r="P14" s="16"/>
    </row>
    <row r="15" spans="1:16" ht="18" x14ac:dyDescent="0.35">
      <c r="A15" s="30" t="str">
        <f>IF(NOT(ISBLANK(Curs!B19)),Curs!B19,"")</f>
        <v/>
      </c>
      <c r="B15" s="31" t="str">
        <f>IF(NOT(ISBLANK(Curs!C19)),Curs!C19,"")</f>
        <v/>
      </c>
      <c r="C15" s="10"/>
      <c r="D15" s="10"/>
      <c r="E15" s="10"/>
      <c r="F15" s="24" t="str">
        <f>IF(NOT(ISBLANK(Curs!C19)),
IF(Curs!AI19,"Eliberat",
ROUND(SUM(C15:E15),0)),
"")</f>
        <v/>
      </c>
      <c r="G15" s="23" t="str">
        <f>IF(NOT(ISBLANK(Curs!C19)),
IF(Curs!AI19,Curs!AI19,
IF(F15=0,"n/p",
IF(AND(F15&gt;=$H$3,F15&lt;=$I$3),$J$3,
IF(AND(F15&gt;=$H$4,F15&lt;=$I$4),$J$4,
IF(AND(F15&gt;=$H$5,F15&lt;=$I$5),$J$5,
IF(AND(F15&gt;=$H$6,F15&lt;=$I$6),$J$6,
IF(AND(F15&gt;=$H$7,F15&lt;=$I$7),$J$7,
IF(AND(F15&gt;=$H$8,F15&lt;=$I$8),$J$8,
IF(AND(F15&gt;=$H$9,F15&lt;=$I$9),$J$9,
IF(AND(F15&gt;=$H$10,F15&lt;=$I$10),$J$10,
IF(AND(F15&gt;=$H$11,F15&lt;=$I$11),$J$11))))))))))),
"")</f>
        <v/>
      </c>
      <c r="H15" s="7"/>
      <c r="I15" s="14"/>
      <c r="J15" s="7"/>
      <c r="K15" s="1"/>
      <c r="N15" s="17"/>
    </row>
    <row r="16" spans="1:16" ht="18" x14ac:dyDescent="0.35">
      <c r="A16" s="30" t="str">
        <f>IF(NOT(ISBLANK(Curs!B20)),Curs!B20,"")</f>
        <v/>
      </c>
      <c r="B16" s="31" t="str">
        <f>IF(NOT(ISBLANK(Curs!C20)),Curs!C20,"")</f>
        <v/>
      </c>
      <c r="C16" s="10"/>
      <c r="D16" s="10"/>
      <c r="E16" s="10"/>
      <c r="F16" s="24" t="str">
        <f>IF(NOT(ISBLANK(Curs!C20)),
IF(Curs!AI20,"Eliberat",
ROUND(SUM(C16:E16),0)),
"")</f>
        <v/>
      </c>
      <c r="G16" s="23" t="str">
        <f>IF(NOT(ISBLANK(Curs!C20)),
IF(Curs!AI20,Curs!AI20,
IF(F16=0,"n/p",
IF(AND(F16&gt;=$H$3,F16&lt;=$I$3),$J$3,
IF(AND(F16&gt;=$H$4,F16&lt;=$I$4),$J$4,
IF(AND(F16&gt;=$H$5,F16&lt;=$I$5),$J$5,
IF(AND(F16&gt;=$H$6,F16&lt;=$I$6),$J$6,
IF(AND(F16&gt;=$H$7,F16&lt;=$I$7),$J$7,
IF(AND(F16&gt;=$H$8,F16&lt;=$I$8),$J$8,
IF(AND(F16&gt;=$H$9,F16&lt;=$I$9),$J$9,
IF(AND(F16&gt;=$H$10,F16&lt;=$I$10),$J$10,
IF(AND(F16&gt;=$H$11,F16&lt;=$I$11),$J$11))))))))))),
"")</f>
        <v/>
      </c>
      <c r="H16" s="7"/>
      <c r="I16" s="14"/>
      <c r="J16" s="7"/>
      <c r="K16" s="1"/>
      <c r="N16" s="17"/>
    </row>
    <row r="17" spans="1:16" ht="18" x14ac:dyDescent="0.35">
      <c r="A17" s="30" t="str">
        <f>IF(NOT(ISBLANK(Curs!B21)),Curs!B21,"")</f>
        <v/>
      </c>
      <c r="B17" s="31" t="str">
        <f>IF(NOT(ISBLANK(Curs!C21)),Curs!C21,"")</f>
        <v/>
      </c>
      <c r="C17" s="10"/>
      <c r="D17" s="10"/>
      <c r="E17" s="10"/>
      <c r="F17" s="24" t="str">
        <f>IF(NOT(ISBLANK(Curs!C21)),
IF(Curs!AI21,"Eliberat",
ROUND(SUM(C17:E17),0)),
"")</f>
        <v/>
      </c>
      <c r="G17" s="23" t="str">
        <f>IF(NOT(ISBLANK(Curs!C21)),
IF(Curs!AI21,Curs!AI21,
IF(F17=0,"n/p",
IF(AND(F17&gt;=$H$3,F17&lt;=$I$3),$J$3,
IF(AND(F17&gt;=$H$4,F17&lt;=$I$4),$J$4,
IF(AND(F17&gt;=$H$5,F17&lt;=$I$5),$J$5,
IF(AND(F17&gt;=$H$6,F17&lt;=$I$6),$J$6,
IF(AND(F17&gt;=$H$7,F17&lt;=$I$7),$J$7,
IF(AND(F17&gt;=$H$8,F17&lt;=$I$8),$J$8,
IF(AND(F17&gt;=$H$9,F17&lt;=$I$9),$J$9,
IF(AND(F17&gt;=$H$10,F17&lt;=$I$10),$J$10,
IF(AND(F17&gt;=$H$11,F17&lt;=$I$11),$J$11))))))))))),
"")</f>
        <v/>
      </c>
      <c r="H17" s="7"/>
      <c r="I17" s="14"/>
      <c r="J17" s="7"/>
      <c r="K17" s="1"/>
      <c r="N17" s="17"/>
    </row>
    <row r="18" spans="1:16" ht="18" x14ac:dyDescent="0.35">
      <c r="A18" s="30" t="str">
        <f>IF(NOT(ISBLANK(Curs!B22)),Curs!B22,"")</f>
        <v/>
      </c>
      <c r="B18" s="31" t="str">
        <f>IF(NOT(ISBLANK(Curs!C22)),Curs!C22,"")</f>
        <v/>
      </c>
      <c r="C18" s="10"/>
      <c r="D18" s="10"/>
      <c r="E18" s="10"/>
      <c r="F18" s="24" t="str">
        <f>IF(NOT(ISBLANK(Curs!C22)),
IF(Curs!AI22,"Eliberat",
ROUND(SUM(C18:E18),0)),
"")</f>
        <v/>
      </c>
      <c r="G18" s="23" t="str">
        <f>IF(NOT(ISBLANK(Curs!C22)),
IF(Curs!AI22,Curs!AI22,
IF(F18=0,"n/p",
IF(AND(F18&gt;=$H$3,F18&lt;=$I$3),$J$3,
IF(AND(F18&gt;=$H$4,F18&lt;=$I$4),$J$4,
IF(AND(F18&gt;=$H$5,F18&lt;=$I$5),$J$5,
IF(AND(F18&gt;=$H$6,F18&lt;=$I$6),$J$6,
IF(AND(F18&gt;=$H$7,F18&lt;=$I$7),$J$7,
IF(AND(F18&gt;=$H$8,F18&lt;=$I$8),$J$8,
IF(AND(F18&gt;=$H$9,F18&lt;=$I$9),$J$9,
IF(AND(F18&gt;=$H$10,F18&lt;=$I$10),$J$10,
IF(AND(F18&gt;=$H$11,F18&lt;=$I$11),$J$11))))))))))),
"")</f>
        <v/>
      </c>
      <c r="H18" s="7"/>
      <c r="I18" s="14"/>
      <c r="J18" s="7"/>
      <c r="K18" s="1"/>
      <c r="N18" s="17"/>
    </row>
    <row r="19" spans="1:16" ht="18" x14ac:dyDescent="0.35">
      <c r="A19" s="30" t="str">
        <f>IF(NOT(ISBLANK(Curs!B23)),Curs!B23,"")</f>
        <v/>
      </c>
      <c r="B19" s="31" t="str">
        <f>IF(NOT(ISBLANK(Curs!C23)),Curs!C23,"")</f>
        <v/>
      </c>
      <c r="C19" s="10"/>
      <c r="D19" s="10"/>
      <c r="E19" s="10"/>
      <c r="F19" s="24" t="str">
        <f>IF(NOT(ISBLANK(Curs!C23)),
IF(Curs!AI23,"Eliberat",
ROUND(SUM(C19:E19),0)),
"")</f>
        <v/>
      </c>
      <c r="G19" s="23" t="str">
        <f>IF(NOT(ISBLANK(Curs!C23)),
IF(Curs!AI23,Curs!AI23,
IF(F19=0,"n/p",
IF(AND(F19&gt;=$H$3,F19&lt;=$I$3),$J$3,
IF(AND(F19&gt;=$H$4,F19&lt;=$I$4),$J$4,
IF(AND(F19&gt;=$H$5,F19&lt;=$I$5),$J$5,
IF(AND(F19&gt;=$H$6,F19&lt;=$I$6),$J$6,
IF(AND(F19&gt;=$H$7,F19&lt;=$I$7),$J$7,
IF(AND(F19&gt;=$H$8,F19&lt;=$I$8),$J$8,
IF(AND(F19&gt;=$H$9,F19&lt;=$I$9),$J$9,
IF(AND(F19&gt;=$H$10,F19&lt;=$I$10),$J$10,
IF(AND(F19&gt;=$H$11,F19&lt;=$I$11),$J$11))))))))))),
"")</f>
        <v/>
      </c>
      <c r="H19" s="7"/>
      <c r="I19" s="14"/>
      <c r="J19" s="7"/>
      <c r="K19" s="1"/>
      <c r="N19" s="17"/>
    </row>
    <row r="20" spans="1:16" ht="18" x14ac:dyDescent="0.35">
      <c r="A20" s="30" t="str">
        <f>IF(NOT(ISBLANK(Curs!B24)),Curs!B24,"")</f>
        <v/>
      </c>
      <c r="B20" s="31" t="str">
        <f>IF(NOT(ISBLANK(Curs!C24)),Curs!C24,"")</f>
        <v/>
      </c>
      <c r="C20" s="10"/>
      <c r="D20" s="10"/>
      <c r="E20" s="10"/>
      <c r="F20" s="24" t="str">
        <f>IF(NOT(ISBLANK(Curs!C24)),
IF(Curs!AI24,"Eliberat",
ROUND(SUM(C20:E20),0)),
"")</f>
        <v/>
      </c>
      <c r="G20" s="23" t="str">
        <f>IF(NOT(ISBLANK(Curs!C24)),
IF(Curs!AI24,Curs!AI24,
IF(F20=0,"n/p",
IF(AND(F20&gt;=$H$3,F20&lt;=$I$3),$J$3,
IF(AND(F20&gt;=$H$4,F20&lt;=$I$4),$J$4,
IF(AND(F20&gt;=$H$5,F20&lt;=$I$5),$J$5,
IF(AND(F20&gt;=$H$6,F20&lt;=$I$6),$J$6,
IF(AND(F20&gt;=$H$7,F20&lt;=$I$7),$J$7,
IF(AND(F20&gt;=$H$8,F20&lt;=$I$8),$J$8,
IF(AND(F20&gt;=$H$9,F20&lt;=$I$9),$J$9,
IF(AND(F20&gt;=$H$10,F20&lt;=$I$10),$J$10,
IF(AND(F20&gt;=$H$11,F20&lt;=$I$11),$J$11))))))))))),
"")</f>
        <v/>
      </c>
      <c r="H20" s="7"/>
      <c r="I20" s="14"/>
      <c r="J20" s="7"/>
      <c r="K20" s="1"/>
      <c r="N20" s="17"/>
    </row>
    <row r="21" spans="1:16" ht="18" x14ac:dyDescent="0.35">
      <c r="A21" s="30" t="str">
        <f>IF(NOT(ISBLANK(Curs!B25)),Curs!B25,"")</f>
        <v/>
      </c>
      <c r="B21" s="31" t="str">
        <f>IF(NOT(ISBLANK(Curs!C25)),Curs!C25,"")</f>
        <v/>
      </c>
      <c r="C21" s="10"/>
      <c r="D21" s="10"/>
      <c r="E21" s="10"/>
      <c r="F21" s="24" t="str">
        <f>IF(NOT(ISBLANK(Curs!C25)),
IF(Curs!AI25,"Eliberat",
ROUND(SUM(C21:E21),0)),
"")</f>
        <v/>
      </c>
      <c r="G21" s="23" t="str">
        <f>IF(NOT(ISBLANK(Curs!C25)),
IF(Curs!AI25,Curs!AI25,
IF(F21=0,"n/p",
IF(AND(F21&gt;=$H$3,F21&lt;=$I$3),$J$3,
IF(AND(F21&gt;=$H$4,F21&lt;=$I$4),$J$4,
IF(AND(F21&gt;=$H$5,F21&lt;=$I$5),$J$5,
IF(AND(F21&gt;=$H$6,F21&lt;=$I$6),$J$6,
IF(AND(F21&gt;=$H$7,F21&lt;=$I$7),$J$7,
IF(AND(F21&gt;=$H$8,F21&lt;=$I$8),$J$8,
IF(AND(F21&gt;=$H$9,F21&lt;=$I$9),$J$9,
IF(AND(F21&gt;=$H$10,F21&lt;=$I$10),$J$10,
IF(AND(F21&gt;=$H$11,F21&lt;=$I$11),$J$11))))))))))),
"")</f>
        <v/>
      </c>
      <c r="H21" s="7"/>
      <c r="I21" s="14"/>
      <c r="J21" s="7"/>
      <c r="K21" s="1"/>
      <c r="N21" s="17"/>
    </row>
    <row r="22" spans="1:16" ht="18" x14ac:dyDescent="0.35">
      <c r="A22" s="30" t="str">
        <f>IF(NOT(ISBLANK(Curs!B26)),Curs!B26,"")</f>
        <v/>
      </c>
      <c r="B22" s="31" t="str">
        <f>IF(NOT(ISBLANK(Curs!C26)),Curs!C26,"")</f>
        <v/>
      </c>
      <c r="C22" s="10"/>
      <c r="D22" s="10"/>
      <c r="E22" s="10"/>
      <c r="F22" s="24" t="str">
        <f>IF(NOT(ISBLANK(Curs!C26)),
IF(Curs!AI26,"Eliberat",
ROUND(SUM(C22:E22),0)),
"")</f>
        <v/>
      </c>
      <c r="G22" s="23" t="str">
        <f>IF(NOT(ISBLANK(Curs!C26)),
IF(Curs!AI26,Curs!AI26,
IF(F22=0,"n/p",
IF(AND(F22&gt;=$H$3,F22&lt;=$I$3),$J$3,
IF(AND(F22&gt;=$H$4,F22&lt;=$I$4),$J$4,
IF(AND(F22&gt;=$H$5,F22&lt;=$I$5),$J$5,
IF(AND(F22&gt;=$H$6,F22&lt;=$I$6),$J$6,
IF(AND(F22&gt;=$H$7,F22&lt;=$I$7),$J$7,
IF(AND(F22&gt;=$H$8,F22&lt;=$I$8),$J$8,
IF(AND(F22&gt;=$H$9,F22&lt;=$I$9),$J$9,
IF(AND(F22&gt;=$H$10,F22&lt;=$I$10),$J$10,
IF(AND(F22&gt;=$H$11,F22&lt;=$I$11),$J$11))))))))))),
"")</f>
        <v/>
      </c>
      <c r="H22" s="7"/>
      <c r="I22" s="14"/>
      <c r="J22" s="7"/>
      <c r="K22" s="1"/>
      <c r="N22" s="17"/>
    </row>
    <row r="23" spans="1:16" ht="18" x14ac:dyDescent="0.35">
      <c r="A23" s="30" t="str">
        <f>IF(NOT(ISBLANK(Curs!B27)),Curs!B27,"")</f>
        <v/>
      </c>
      <c r="B23" s="31" t="str">
        <f>IF(NOT(ISBLANK(Curs!C27)),Curs!C27,"")</f>
        <v/>
      </c>
      <c r="C23" s="10"/>
      <c r="D23" s="10"/>
      <c r="E23" s="10"/>
      <c r="F23" s="24" t="str">
        <f>IF(NOT(ISBLANK(Curs!C27)),
IF(Curs!AI27,"Eliberat",
ROUND(SUM(C23:E23),0)),
"")</f>
        <v/>
      </c>
      <c r="G23" s="23" t="str">
        <f>IF(NOT(ISBLANK(Curs!C27)),
IF(Curs!AI27,Curs!AI27,
IF(F23=0,"n/p",
IF(AND(F23&gt;=$H$3,F23&lt;=$I$3),$J$3,
IF(AND(F23&gt;=$H$4,F23&lt;=$I$4),$J$4,
IF(AND(F23&gt;=$H$5,F23&lt;=$I$5),$J$5,
IF(AND(F23&gt;=$H$6,F23&lt;=$I$6),$J$6,
IF(AND(F23&gt;=$H$7,F23&lt;=$I$7),$J$7,
IF(AND(F23&gt;=$H$8,F23&lt;=$I$8),$J$8,
IF(AND(F23&gt;=$H$9,F23&lt;=$I$9),$J$9,
IF(AND(F23&gt;=$H$10,F23&lt;=$I$10),$J$10,
IF(AND(F23&gt;=$H$11,F23&lt;=$I$11),$J$11))))))))))),
"")</f>
        <v/>
      </c>
      <c r="H23" s="7"/>
      <c r="I23" s="14"/>
      <c r="J23" s="7"/>
      <c r="K23" s="1"/>
      <c r="N23" s="17"/>
    </row>
    <row r="24" spans="1:16" ht="18" x14ac:dyDescent="0.35">
      <c r="A24" s="30" t="str">
        <f>IF(NOT(ISBLANK(Curs!B28)),Curs!B28,"")</f>
        <v/>
      </c>
      <c r="B24" s="31" t="str">
        <f>IF(NOT(ISBLANK(Curs!C28)),Curs!C28,"")</f>
        <v/>
      </c>
      <c r="C24" s="10"/>
      <c r="D24" s="10"/>
      <c r="E24" s="10"/>
      <c r="F24" s="24" t="str">
        <f>IF(NOT(ISBLANK(Curs!C28)),
IF(Curs!AI28,"Eliberat",
ROUND(SUM(C24:E24),0)),
"")</f>
        <v/>
      </c>
      <c r="G24" s="23" t="str">
        <f>IF(NOT(ISBLANK(Curs!C28)),
IF(Curs!AI28,Curs!AI28,
IF(F24=0,"n/p",
IF(AND(F24&gt;=$H$3,F24&lt;=$I$3),$J$3,
IF(AND(F24&gt;=$H$4,F24&lt;=$I$4),$J$4,
IF(AND(F24&gt;=$H$5,F24&lt;=$I$5),$J$5,
IF(AND(F24&gt;=$H$6,F24&lt;=$I$6),$J$6,
IF(AND(F24&gt;=$H$7,F24&lt;=$I$7),$J$7,
IF(AND(F24&gt;=$H$8,F24&lt;=$I$8),$J$8,
IF(AND(F24&gt;=$H$9,F24&lt;=$I$9),$J$9,
IF(AND(F24&gt;=$H$10,F24&lt;=$I$10),$J$10,
IF(AND(F24&gt;=$H$11,F24&lt;=$I$11),$J$11))))))))))),
"")</f>
        <v/>
      </c>
      <c r="H24" s="7"/>
      <c r="I24" s="14"/>
      <c r="J24" s="7"/>
      <c r="K24" s="1"/>
      <c r="N24" s="17"/>
    </row>
    <row r="25" spans="1:16" ht="18" x14ac:dyDescent="0.35">
      <c r="A25" s="30" t="str">
        <f>IF(NOT(ISBLANK(Curs!B29)),Curs!B29,"")</f>
        <v/>
      </c>
      <c r="B25" s="31" t="str">
        <f>IF(NOT(ISBLANK(Curs!C29)),Curs!C29,"")</f>
        <v/>
      </c>
      <c r="C25" s="10"/>
      <c r="D25" s="10"/>
      <c r="E25" s="10"/>
      <c r="F25" s="24" t="str">
        <f>IF(NOT(ISBLANK(Curs!C29)),
IF(Curs!AI29,"Eliberat",
ROUND(SUM(C25:E25),0)),
"")</f>
        <v/>
      </c>
      <c r="G25" s="23" t="str">
        <f>IF(NOT(ISBLANK(Curs!C29)),
IF(Curs!AI29,Curs!AI29,
IF(F25=0,"n/p",
IF(AND(F25&gt;=$H$3,F25&lt;=$I$3),$J$3,
IF(AND(F25&gt;=$H$4,F25&lt;=$I$4),$J$4,
IF(AND(F25&gt;=$H$5,F25&lt;=$I$5),$J$5,
IF(AND(F25&gt;=$H$6,F25&lt;=$I$6),$J$6,
IF(AND(F25&gt;=$H$7,F25&lt;=$I$7),$J$7,
IF(AND(F25&gt;=$H$8,F25&lt;=$I$8),$J$8,
IF(AND(F25&gt;=$H$9,F25&lt;=$I$9),$J$9,
IF(AND(F25&gt;=$H$10,F25&lt;=$I$10),$J$10,
IF(AND(F25&gt;=$H$11,F25&lt;=$I$11),$J$11))))))))))),
"")</f>
        <v/>
      </c>
      <c r="H25" s="7"/>
      <c r="I25" s="14"/>
      <c r="J25" s="7"/>
      <c r="K25" s="1"/>
      <c r="N25" s="17"/>
    </row>
    <row r="26" spans="1:16" ht="18" x14ac:dyDescent="0.35">
      <c r="A26" s="30" t="str">
        <f>IF(NOT(ISBLANK(Curs!B30)),Curs!B30,"")</f>
        <v/>
      </c>
      <c r="B26" s="31" t="str">
        <f>IF(NOT(ISBLANK(Curs!C30)),Curs!C30,"")</f>
        <v/>
      </c>
      <c r="C26" s="10"/>
      <c r="D26" s="10"/>
      <c r="E26" s="10"/>
      <c r="F26" s="24" t="str">
        <f>IF(NOT(ISBLANK(Curs!C30)),
IF(Curs!AI30,"Eliberat",
ROUND(SUM(C26:E26),0)),
"")</f>
        <v/>
      </c>
      <c r="G26" s="23" t="str">
        <f>IF(NOT(ISBLANK(Curs!C30)),
IF(Curs!AI30,Curs!AI30,
IF(F26=0,"n/p",
IF(AND(F26&gt;=$H$3,F26&lt;=$I$3),$J$3,
IF(AND(F26&gt;=$H$4,F26&lt;=$I$4),$J$4,
IF(AND(F26&gt;=$H$5,F26&lt;=$I$5),$J$5,
IF(AND(F26&gt;=$H$6,F26&lt;=$I$6),$J$6,
IF(AND(F26&gt;=$H$7,F26&lt;=$I$7),$J$7,
IF(AND(F26&gt;=$H$8,F26&lt;=$I$8),$J$8,
IF(AND(F26&gt;=$H$9,F26&lt;=$I$9),$J$9,
IF(AND(F26&gt;=$H$10,F26&lt;=$I$10),$J$10,
IF(AND(F26&gt;=$H$11,F26&lt;=$I$11),$J$11))))))))))),
"")</f>
        <v/>
      </c>
      <c r="H26" s="7"/>
      <c r="I26" s="14"/>
      <c r="J26" s="7"/>
      <c r="K26" s="1"/>
      <c r="N26" s="17"/>
    </row>
    <row r="27" spans="1:16" ht="18" x14ac:dyDescent="0.35">
      <c r="A27" s="30" t="str">
        <f>IF(NOT(ISBLANK(Curs!B31)),Curs!B31,"")</f>
        <v/>
      </c>
      <c r="B27" s="31" t="str">
        <f>IF(NOT(ISBLANK(Curs!C31)),Curs!C31,"")</f>
        <v/>
      </c>
      <c r="C27" s="10"/>
      <c r="D27" s="10"/>
      <c r="E27" s="10"/>
      <c r="F27" s="24" t="str">
        <f>IF(NOT(ISBLANK(Curs!C31)),
IF(Curs!AI31,"Eliberat",
ROUND(SUM(C27:E27),0)),
"")</f>
        <v/>
      </c>
      <c r="G27" s="23" t="str">
        <f>IF(NOT(ISBLANK(Curs!C31)),
IF(Curs!AI31,Curs!AI31,
IF(F27=0,"n/p",
IF(AND(F27&gt;=$H$3,F27&lt;=$I$3),$J$3,
IF(AND(F27&gt;=$H$4,F27&lt;=$I$4),$J$4,
IF(AND(F27&gt;=$H$5,F27&lt;=$I$5),$J$5,
IF(AND(F27&gt;=$H$6,F27&lt;=$I$6),$J$6,
IF(AND(F27&gt;=$H$7,F27&lt;=$I$7),$J$7,
IF(AND(F27&gt;=$H$8,F27&lt;=$I$8),$J$8,
IF(AND(F27&gt;=$H$9,F27&lt;=$I$9),$J$9,
IF(AND(F27&gt;=$H$10,F27&lt;=$I$10),$J$10,
IF(AND(F27&gt;=$H$11,F27&lt;=$I$11),$J$11))))))))))),
"")</f>
        <v/>
      </c>
      <c r="H27" s="10"/>
      <c r="I27" s="10"/>
      <c r="J27" s="10"/>
      <c r="K27" s="11"/>
      <c r="L27" s="23"/>
      <c r="M27" s="7"/>
      <c r="N27" s="14"/>
      <c r="O27" s="7"/>
      <c r="P27" s="1"/>
    </row>
    <row r="28" spans="1:16" ht="18" x14ac:dyDescent="0.35">
      <c r="A28" s="30" t="str">
        <f>IF(NOT(ISBLANK(Curs!B32)),Curs!B32,"")</f>
        <v/>
      </c>
      <c r="B28" s="31" t="str">
        <f>IF(NOT(ISBLANK(Curs!C32)),Curs!C32,"")</f>
        <v/>
      </c>
      <c r="C28" s="10"/>
      <c r="D28" s="10"/>
      <c r="E28" s="10"/>
      <c r="F28" s="24" t="str">
        <f>IF(NOT(ISBLANK(Curs!C32)),
IF(Curs!AI32,"Eliberat",
ROUND(SUM(C28:E28),0)),
"")</f>
        <v/>
      </c>
      <c r="G28" s="23" t="str">
        <f>IF(NOT(ISBLANK(Curs!C32)),
IF(Curs!AI32,Curs!AI32,
IF(F28=0,"n/p",
IF(AND(F28&gt;=$H$3,F28&lt;=$I$3),$J$3,
IF(AND(F28&gt;=$H$4,F28&lt;=$I$4),$J$4,
IF(AND(F28&gt;=$H$5,F28&lt;=$I$5),$J$5,
IF(AND(F28&gt;=$H$6,F28&lt;=$I$6),$J$6,
IF(AND(F28&gt;=$H$7,F28&lt;=$I$7),$J$7,
IF(AND(F28&gt;=$H$8,F28&lt;=$I$8),$J$8,
IF(AND(F28&gt;=$H$9,F28&lt;=$I$9),$J$9,
IF(AND(F28&gt;=$H$10,F28&lt;=$I$10),$J$10,
IF(AND(F28&gt;=$H$11,F28&lt;=$I$11),$J$11))))))))))),
"")</f>
        <v/>
      </c>
    </row>
    <row r="29" spans="1:16" ht="18" x14ac:dyDescent="0.35">
      <c r="A29" s="30" t="str">
        <f>IF(NOT(ISBLANK(Curs!B33)),Curs!B33,"")</f>
        <v/>
      </c>
      <c r="B29" s="31" t="str">
        <f>IF(NOT(ISBLANK(Curs!C33)),Curs!C33,"")</f>
        <v/>
      </c>
      <c r="C29" s="10"/>
      <c r="D29" s="10"/>
      <c r="E29" s="10"/>
      <c r="F29" s="24" t="str">
        <f>IF(NOT(ISBLANK(Curs!C33)),
IF(Curs!AI33,"Eliberat",
ROUND(SUM(C29:E29),0)),
"")</f>
        <v/>
      </c>
      <c r="G29" s="23" t="str">
        <f>IF(NOT(ISBLANK(Curs!C33)),
IF(Curs!AI33,Curs!AI33,
IF(F29=0,"n/p",
IF(AND(F29&gt;=$H$3,F29&lt;=$I$3),$J$3,
IF(AND(F29&gt;=$H$4,F29&lt;=$I$4),$J$4,
IF(AND(F29&gt;=$H$5,F29&lt;=$I$5),$J$5,
IF(AND(F29&gt;=$H$6,F29&lt;=$I$6),$J$6,
IF(AND(F29&gt;=$H$7,F29&lt;=$I$7),$J$7,
IF(AND(F29&gt;=$H$8,F29&lt;=$I$8),$J$8,
IF(AND(F29&gt;=$H$9,F29&lt;=$I$9),$J$9,
IF(AND(F29&gt;=$H$10,F29&lt;=$I$10),$J$10,
IF(AND(F29&gt;=$H$11,F29&lt;=$I$11),$J$11))))))))))),
"")</f>
        <v/>
      </c>
    </row>
    <row r="30" spans="1:16" ht="18" x14ac:dyDescent="0.35">
      <c r="A30" s="30" t="str">
        <f>IF(NOT(ISBLANK(Curs!B34)),Curs!B34,"")</f>
        <v/>
      </c>
      <c r="B30" s="31" t="str">
        <f>IF(NOT(ISBLANK(Curs!C34)),Curs!C34,"")</f>
        <v/>
      </c>
      <c r="C30" s="10"/>
      <c r="D30" s="10"/>
      <c r="E30" s="10"/>
      <c r="F30" s="24" t="str">
        <f>IF(NOT(ISBLANK(Curs!C34)),
IF(Curs!AI34,"Eliberat",
ROUND(SUM(C30:E30),0)),
"")</f>
        <v/>
      </c>
      <c r="G30" s="23" t="str">
        <f>IF(NOT(ISBLANK(Curs!C34)),
IF(Curs!AI34,Curs!AI34,
IF(F30=0,"n/p",
IF(AND(F30&gt;=$H$3,F30&lt;=$I$3),$J$3,
IF(AND(F30&gt;=$H$4,F30&lt;=$I$4),$J$4,
IF(AND(F30&gt;=$H$5,F30&lt;=$I$5),$J$5,
IF(AND(F30&gt;=$H$6,F30&lt;=$I$6),$J$6,
IF(AND(F30&gt;=$H$7,F30&lt;=$I$7),$J$7,
IF(AND(F30&gt;=$H$8,F30&lt;=$I$8),$J$8,
IF(AND(F30&gt;=$H$9,F30&lt;=$I$9),$J$9,
IF(AND(F30&gt;=$H$10,F30&lt;=$I$10),$J$10,
IF(AND(F30&gt;=$H$11,F30&lt;=$I$11),$J$11))))))))))),
"")</f>
        <v/>
      </c>
    </row>
    <row r="31" spans="1:16" ht="18" x14ac:dyDescent="0.35">
      <c r="A31" s="30" t="str">
        <f>IF(NOT(ISBLANK(Curs!B35)),Curs!B35,"")</f>
        <v/>
      </c>
      <c r="B31" s="31" t="str">
        <f>IF(NOT(ISBLANK(Curs!C35)),Curs!C35,"")</f>
        <v/>
      </c>
      <c r="C31" s="10"/>
      <c r="D31" s="10"/>
      <c r="E31" s="10"/>
      <c r="F31" s="24" t="str">
        <f>IF(NOT(ISBLANK(Curs!C35)),
IF(Curs!AI35,"Eliberat",
ROUND(SUM(C31:E31),0)),
"")</f>
        <v/>
      </c>
      <c r="G31" s="23" t="str">
        <f>IF(NOT(ISBLANK(Curs!C35)),
IF(Curs!AI35,Curs!AI35,
IF(F31=0,"n/p",
IF(AND(F31&gt;=$H$3,F31&lt;=$I$3),$J$3,
IF(AND(F31&gt;=$H$4,F31&lt;=$I$4),$J$4,
IF(AND(F31&gt;=$H$5,F31&lt;=$I$5),$J$5,
IF(AND(F31&gt;=$H$6,F31&lt;=$I$6),$J$6,
IF(AND(F31&gt;=$H$7,F31&lt;=$I$7),$J$7,
IF(AND(F31&gt;=$H$8,F31&lt;=$I$8),$J$8,
IF(AND(F31&gt;=$H$9,F31&lt;=$I$9),$J$9,
IF(AND(F31&gt;=$H$10,F31&lt;=$I$10),$J$10,
IF(AND(F31&gt;=$H$11,F31&lt;=$I$11),$J$11))))))))))),
"")</f>
        <v/>
      </c>
    </row>
    <row r="32" spans="1:16" ht="18" x14ac:dyDescent="0.35">
      <c r="A32" s="30" t="str">
        <f>IF(NOT(ISBLANK(Curs!B36)),Curs!B36,"")</f>
        <v/>
      </c>
      <c r="B32" s="31" t="str">
        <f>IF(NOT(ISBLANK(Curs!C36)),Curs!C36,"")</f>
        <v/>
      </c>
      <c r="C32" s="10"/>
      <c r="D32" s="10"/>
      <c r="E32" s="10"/>
      <c r="F32" s="24" t="str">
        <f>IF(NOT(ISBLANK(Curs!C36)),
IF(Curs!AI36,"Eliberat",
ROUND(SUM(C32:E32),0)),
"")</f>
        <v/>
      </c>
      <c r="G32" s="23" t="str">
        <f>IF(NOT(ISBLANK(Curs!C36)),
IF(Curs!AI36,Curs!AI36,
IF(F32=0,"n/p",
IF(AND(F32&gt;=$H$3,F32&lt;=$I$3),$J$3,
IF(AND(F32&gt;=$H$4,F32&lt;=$I$4),$J$4,
IF(AND(F32&gt;=$H$5,F32&lt;=$I$5),$J$5,
IF(AND(F32&gt;=$H$6,F32&lt;=$I$6),$J$6,
IF(AND(F32&gt;=$H$7,F32&lt;=$I$7),$J$7,
IF(AND(F32&gt;=$H$8,F32&lt;=$I$8),$J$8,
IF(AND(F32&gt;=$H$9,F32&lt;=$I$9),$J$9,
IF(AND(F32&gt;=$H$10,F32&lt;=$I$10),$J$10,
IF(AND(F32&gt;=$H$11,F32&lt;=$I$11),$J$11))))))))))),
"")</f>
        <v/>
      </c>
    </row>
    <row r="33" spans="1:7" ht="18" x14ac:dyDescent="0.35">
      <c r="A33" s="30" t="str">
        <f>IF(NOT(ISBLANK(Curs!B37)),Curs!B37,"")</f>
        <v/>
      </c>
      <c r="B33" s="31" t="str">
        <f>IF(NOT(ISBLANK(Curs!C37)),Curs!C37,"")</f>
        <v/>
      </c>
      <c r="C33" s="10"/>
      <c r="D33" s="10"/>
      <c r="E33" s="10"/>
      <c r="F33" s="24" t="str">
        <f>IF(NOT(ISBLANK(Curs!C37)),
IF(Curs!AI37,"Eliberat",
ROUND(SUM(C33:E33),0)),
"")</f>
        <v/>
      </c>
      <c r="G33" s="23" t="str">
        <f>IF(NOT(ISBLANK(Curs!C37)),
IF(Curs!AI37,Curs!AI37,
IF(F33=0,"n/p",
IF(AND(F33&gt;=$H$3,F33&lt;=$I$3),$J$3,
IF(AND(F33&gt;=$H$4,F33&lt;=$I$4),$J$4,
IF(AND(F33&gt;=$H$5,F33&lt;=$I$5),$J$5,
IF(AND(F33&gt;=$H$6,F33&lt;=$I$6),$J$6,
IF(AND(F33&gt;=$H$7,F33&lt;=$I$7),$J$7,
IF(AND(F33&gt;=$H$8,F33&lt;=$I$8),$J$8,
IF(AND(F33&gt;=$H$9,F33&lt;=$I$9),$J$9,
IF(AND(F33&gt;=$H$10,F33&lt;=$I$10),$J$10,
IF(AND(F33&gt;=$H$11,F33&lt;=$I$11),$J$11))))))))))),
"")</f>
        <v/>
      </c>
    </row>
    <row r="34" spans="1:7" ht="18" x14ac:dyDescent="0.35">
      <c r="A34" s="30" t="str">
        <f>IF(NOT(ISBLANK(Curs!B38)),Curs!B38,"")</f>
        <v/>
      </c>
      <c r="B34" s="31" t="str">
        <f>IF(NOT(ISBLANK(Curs!C38)),Curs!C38,"")</f>
        <v/>
      </c>
      <c r="C34" s="10"/>
      <c r="D34" s="10"/>
      <c r="E34" s="10"/>
      <c r="F34" s="24" t="str">
        <f>IF(NOT(ISBLANK(Curs!C38)),
IF(Curs!AI38,"Eliberat",
ROUND(SUM(C34:E34),0)),
"")</f>
        <v/>
      </c>
      <c r="G34" s="23" t="str">
        <f>IF(NOT(ISBLANK(Curs!C38)),
IF(Curs!AI38,Curs!AI38,
IF(F34=0,"n/p",
IF(AND(F34&gt;=$H$3,F34&lt;=$I$3),$J$3,
IF(AND(F34&gt;=$H$4,F34&lt;=$I$4),$J$4,
IF(AND(F34&gt;=$H$5,F34&lt;=$I$5),$J$5,
IF(AND(F34&gt;=$H$6,F34&lt;=$I$6),$J$6,
IF(AND(F34&gt;=$H$7,F34&lt;=$I$7),$J$7,
IF(AND(F34&gt;=$H$8,F34&lt;=$I$8),$J$8,
IF(AND(F34&gt;=$H$9,F34&lt;=$I$9),$J$9,
IF(AND(F34&gt;=$H$10,F34&lt;=$I$10),$J$10,
IF(AND(F34&gt;=$H$11,F34&lt;=$I$11),$J$11))))))))))),
"")</f>
        <v/>
      </c>
    </row>
    <row r="35" spans="1:7" ht="18" x14ac:dyDescent="0.35">
      <c r="A35" s="30" t="str">
        <f>IF(NOT(ISBLANK(Curs!B39)),Curs!B39,"")</f>
        <v/>
      </c>
      <c r="B35" s="31" t="str">
        <f>IF(NOT(ISBLANK(Curs!C39)),Curs!C39,"")</f>
        <v/>
      </c>
      <c r="C35" s="10"/>
      <c r="D35" s="10"/>
      <c r="E35" s="10"/>
      <c r="F35" s="24" t="str">
        <f>IF(NOT(ISBLANK(Curs!C39)),
IF(Curs!AI39,"Eliberat",
ROUND(SUM(C35:E35),0)),
"")</f>
        <v/>
      </c>
      <c r="G35" s="23" t="str">
        <f>IF(NOT(ISBLANK(Curs!C39)),
IF(Curs!AI39,Curs!AI39,
IF(F35=0,"n/p",
IF(AND(F35&gt;=$H$3,F35&lt;=$I$3),$J$3,
IF(AND(F35&gt;=$H$4,F35&lt;=$I$4),$J$4,
IF(AND(F35&gt;=$H$5,F35&lt;=$I$5),$J$5,
IF(AND(F35&gt;=$H$6,F35&lt;=$I$6),$J$6,
IF(AND(F35&gt;=$H$7,F35&lt;=$I$7),$J$7,
IF(AND(F35&gt;=$H$8,F35&lt;=$I$8),$J$8,
IF(AND(F35&gt;=$H$9,F35&lt;=$I$9),$J$9,
IF(AND(F35&gt;=$H$10,F35&lt;=$I$10),$J$10,
IF(AND(F35&gt;=$H$11,F35&lt;=$I$11),$J$11))))))))))),
"")</f>
        <v/>
      </c>
    </row>
    <row r="36" spans="1:7" ht="18" x14ac:dyDescent="0.35">
      <c r="A36" s="30" t="str">
        <f>IF(NOT(ISBLANK(Curs!B40)),Curs!B40,"")</f>
        <v/>
      </c>
      <c r="B36" s="31" t="str">
        <f>IF(NOT(ISBLANK(Curs!C40)),Curs!C40,"")</f>
        <v/>
      </c>
      <c r="C36" s="10"/>
      <c r="D36" s="10"/>
      <c r="E36" s="10"/>
      <c r="F36" s="24" t="str">
        <f>IF(NOT(ISBLANK(Curs!C40)),
IF(Curs!AI40,"Eliberat",
ROUND(SUM(C36:E36),0)),
"")</f>
        <v/>
      </c>
      <c r="G36" s="23" t="str">
        <f>IF(NOT(ISBLANK(Curs!C40)),
IF(Curs!AI40,Curs!AI40,
IF(F36=0,"n/p",
IF(AND(F36&gt;=$H$3,F36&lt;=$I$3),$J$3,
IF(AND(F36&gt;=$H$4,F36&lt;=$I$4),$J$4,
IF(AND(F36&gt;=$H$5,F36&lt;=$I$5),$J$5,
IF(AND(F36&gt;=$H$6,F36&lt;=$I$6),$J$6,
IF(AND(F36&gt;=$H$7,F36&lt;=$I$7),$J$7,
IF(AND(F36&gt;=$H$8,F36&lt;=$I$8),$J$8,
IF(AND(F36&gt;=$H$9,F36&lt;=$I$9),$J$9,
IF(AND(F36&gt;=$H$10,F36&lt;=$I$10),$J$10,
IF(AND(F36&gt;=$H$11,F36&lt;=$I$11),$J$11))))))))))),
"")</f>
        <v/>
      </c>
    </row>
    <row r="37" spans="1:7" ht="18" x14ac:dyDescent="0.35">
      <c r="A37" s="30" t="str">
        <f>IF(NOT(ISBLANK(Curs!B41)),Curs!B41,"")</f>
        <v/>
      </c>
      <c r="B37" s="31" t="str">
        <f>IF(NOT(ISBLANK(Curs!C41)),Curs!C41,"")</f>
        <v/>
      </c>
      <c r="C37" s="10"/>
      <c r="D37" s="10"/>
      <c r="E37" s="10"/>
      <c r="F37" s="24" t="str">
        <f>IF(NOT(ISBLANK(Curs!C41)),
IF(Curs!AI41,"Eliberat",
ROUND(SUM(C37:E37),0)),
"")</f>
        <v/>
      </c>
      <c r="G37" s="23" t="str">
        <f>IF(NOT(ISBLANK(Curs!C41)),
IF(Curs!AI41,Curs!AI41,
IF(F37=0,"n/p",
IF(AND(F37&gt;=$H$3,F37&lt;=$I$3),$J$3,
IF(AND(F37&gt;=$H$4,F37&lt;=$I$4),$J$4,
IF(AND(F37&gt;=$H$5,F37&lt;=$I$5),$J$5,
IF(AND(F37&gt;=$H$6,F37&lt;=$I$6),$J$6,
IF(AND(F37&gt;=$H$7,F37&lt;=$I$7),$J$7,
IF(AND(F37&gt;=$H$8,F37&lt;=$I$8),$J$8,
IF(AND(F37&gt;=$H$9,F37&lt;=$I$9),$J$9,
IF(AND(F37&gt;=$H$10,F37&lt;=$I$10),$J$10,
IF(AND(F37&gt;=$H$11,F37&lt;=$I$11),$J$11))))))))))),
"")</f>
        <v/>
      </c>
    </row>
    <row r="38" spans="1:7" ht="18" x14ac:dyDescent="0.35">
      <c r="A38" s="30" t="str">
        <f>IF(NOT(ISBLANK(Curs!B42)),Curs!B42,"")</f>
        <v/>
      </c>
      <c r="B38" s="31" t="str">
        <f>IF(NOT(ISBLANK(Curs!C42)),Curs!C42,"")</f>
        <v/>
      </c>
      <c r="C38" s="10"/>
      <c r="D38" s="10"/>
      <c r="E38" s="10"/>
      <c r="F38" s="24" t="str">
        <f>IF(NOT(ISBLANK(Curs!C42)),
IF(Curs!AI42,"Eliberat",
ROUND(SUM(C38:E38),0)),
"")</f>
        <v/>
      </c>
      <c r="G38" s="23" t="str">
        <f>IF(NOT(ISBLANK(Curs!C42)),
IF(Curs!AI42,Curs!AI42,
IF(F38=0,"n/p",
IF(AND(F38&gt;=$H$3,F38&lt;=$I$3),$J$3,
IF(AND(F38&gt;=$H$4,F38&lt;=$I$4),$J$4,
IF(AND(F38&gt;=$H$5,F38&lt;=$I$5),$J$5,
IF(AND(F38&gt;=$H$6,F38&lt;=$I$6),$J$6,
IF(AND(F38&gt;=$H$7,F38&lt;=$I$7),$J$7,
IF(AND(F38&gt;=$H$8,F38&lt;=$I$8),$J$8,
IF(AND(F38&gt;=$H$9,F38&lt;=$I$9),$J$9,
IF(AND(F38&gt;=$H$10,F38&lt;=$I$10),$J$10,
IF(AND(F38&gt;=$H$11,F38&lt;=$I$11),$J$11))))))))))),
"")</f>
        <v/>
      </c>
    </row>
    <row r="39" spans="1:7" ht="18" x14ac:dyDescent="0.35">
      <c r="A39" s="30" t="str">
        <f>IF(NOT(ISBLANK(Curs!B43)),Curs!B43,"")</f>
        <v/>
      </c>
      <c r="B39" s="31" t="str">
        <f>IF(NOT(ISBLANK(Curs!C43)),Curs!C43,"")</f>
        <v/>
      </c>
      <c r="C39" s="10"/>
      <c r="D39" s="10"/>
      <c r="E39" s="10"/>
      <c r="F39" s="24" t="str">
        <f>IF(NOT(ISBLANK(Curs!C43)),
IF(Curs!AI43,"Eliberat",
ROUND(SUM(C39:E39),0)),
"")</f>
        <v/>
      </c>
      <c r="G39" s="23" t="str">
        <f>IF(NOT(ISBLANK(Curs!C43)),
IF(Curs!AI43,Curs!AI43,
IF(F39=0,"n/p",
IF(AND(F39&gt;=$H$3,F39&lt;=$I$3),$J$3,
IF(AND(F39&gt;=$H$4,F39&lt;=$I$4),$J$4,
IF(AND(F39&gt;=$H$5,F39&lt;=$I$5),$J$5,
IF(AND(F39&gt;=$H$6,F39&lt;=$I$6),$J$6,
IF(AND(F39&gt;=$H$7,F39&lt;=$I$7),$J$7,
IF(AND(F39&gt;=$H$8,F39&lt;=$I$8),$J$8,
IF(AND(F39&gt;=$H$9,F39&lt;=$I$9),$J$9,
IF(AND(F39&gt;=$H$10,F39&lt;=$I$10),$J$10,
IF(AND(F39&gt;=$H$11,F39&lt;=$I$11),$J$11))))))))))),
"")</f>
        <v/>
      </c>
    </row>
    <row r="40" spans="1:7" ht="18" x14ac:dyDescent="0.35">
      <c r="A40" s="30" t="str">
        <f>IF(NOT(ISBLANK(Curs!B44)),Curs!B44,"")</f>
        <v/>
      </c>
      <c r="B40" s="31" t="str">
        <f>IF(NOT(ISBLANK(Curs!C44)),Curs!C44,"")</f>
        <v/>
      </c>
      <c r="C40" s="10"/>
      <c r="D40" s="10"/>
      <c r="E40" s="10"/>
      <c r="F40" s="24" t="str">
        <f>IF(NOT(ISBLANK(Curs!C44)),
IF(Curs!AI44,"Eliberat",
ROUND(SUM(C40:E40),0)),
"")</f>
        <v/>
      </c>
      <c r="G40" s="23" t="str">
        <f>IF(NOT(ISBLANK(Curs!C44)),
IF(Curs!AI44,Curs!AI44,
IF(F40=0,"n/p",
IF(AND(F40&gt;=$H$3,F40&lt;=$I$3),$J$3,
IF(AND(F40&gt;=$H$4,F40&lt;=$I$4),$J$4,
IF(AND(F40&gt;=$H$5,F40&lt;=$I$5),$J$5,
IF(AND(F40&gt;=$H$6,F40&lt;=$I$6),$J$6,
IF(AND(F40&gt;=$H$7,F40&lt;=$I$7),$J$7,
IF(AND(F40&gt;=$H$8,F40&lt;=$I$8),$J$8,
IF(AND(F40&gt;=$H$9,F40&lt;=$I$9),$J$9,
IF(AND(F40&gt;=$H$10,F40&lt;=$I$10),$J$10,
IF(AND(F40&gt;=$H$11,F40&lt;=$I$11),$J$11))))))))))),
"")</f>
        <v/>
      </c>
    </row>
    <row r="41" spans="1:7" ht="18" x14ac:dyDescent="0.35">
      <c r="A41" s="30" t="str">
        <f>IF(NOT(ISBLANK(Curs!B45)),Curs!B45,"")</f>
        <v/>
      </c>
      <c r="B41" s="31" t="str">
        <f>IF(NOT(ISBLANK(Curs!C45)),Curs!C45,"")</f>
        <v/>
      </c>
      <c r="C41" s="10"/>
      <c r="D41" s="10"/>
      <c r="E41" s="10"/>
      <c r="F41" s="24" t="str">
        <f>IF(NOT(ISBLANK(Curs!C45)),
IF(Curs!AI45,"Eliberat",
ROUND(SUM(C41:E41),0)),
"")</f>
        <v/>
      </c>
      <c r="G41" s="23" t="str">
        <f>IF(NOT(ISBLANK(Curs!C45)),
IF(Curs!AI45,Curs!AI45,
IF(F41=0,"n/p",
IF(AND(F41&gt;=$H$3,F41&lt;=$I$3),$J$3,
IF(AND(F41&gt;=$H$4,F41&lt;=$I$4),$J$4,
IF(AND(F41&gt;=$H$5,F41&lt;=$I$5),$J$5,
IF(AND(F41&gt;=$H$6,F41&lt;=$I$6),$J$6,
IF(AND(F41&gt;=$H$7,F41&lt;=$I$7),$J$7,
IF(AND(F41&gt;=$H$8,F41&lt;=$I$8),$J$8,
IF(AND(F41&gt;=$H$9,F41&lt;=$I$9),$J$9,
IF(AND(F41&gt;=$H$10,F41&lt;=$I$10),$J$10,
IF(AND(F41&gt;=$H$11,F41&lt;=$I$11),$J$11))))))))))),
"")</f>
        <v/>
      </c>
    </row>
    <row r="42" spans="1:7" ht="18" x14ac:dyDescent="0.35">
      <c r="A42" s="30" t="str">
        <f>IF(NOT(ISBLANK(Curs!B46)),Curs!B46,"")</f>
        <v/>
      </c>
      <c r="B42" s="31" t="str">
        <f>IF(NOT(ISBLANK(Curs!C46)),Curs!C46,"")</f>
        <v/>
      </c>
      <c r="C42" s="10"/>
      <c r="D42" s="10"/>
      <c r="E42" s="10"/>
      <c r="F42" s="24" t="str">
        <f>IF(NOT(ISBLANK(Curs!C46)),
IF(Curs!AI46,"Eliberat",
ROUND(SUM(C42:E42),0)),
"")</f>
        <v/>
      </c>
      <c r="G42" s="23" t="str">
        <f>IF(NOT(ISBLANK(Curs!C46)),
IF(Curs!AI46,Curs!AI46,
IF(F42=0,"n/p",
IF(AND(F42&gt;=$H$3,F42&lt;=$I$3),$J$3,
IF(AND(F42&gt;=$H$4,F42&lt;=$I$4),$J$4,
IF(AND(F42&gt;=$H$5,F42&lt;=$I$5),$J$5,
IF(AND(F42&gt;=$H$6,F42&lt;=$I$6),$J$6,
IF(AND(F42&gt;=$H$7,F42&lt;=$I$7),$J$7,
IF(AND(F42&gt;=$H$8,F42&lt;=$I$8),$J$8,
IF(AND(F42&gt;=$H$9,F42&lt;=$I$9),$J$9,
IF(AND(F42&gt;=$H$10,F42&lt;=$I$10),$J$10,
IF(AND(F42&gt;=$H$11,F42&lt;=$I$11),$J$11))))))))))),
"")</f>
        <v/>
      </c>
    </row>
    <row r="43" spans="1:7" ht="18" x14ac:dyDescent="0.35">
      <c r="A43" s="30" t="str">
        <f>IF(NOT(ISBLANK(Curs!B47)),Curs!B47,"")</f>
        <v/>
      </c>
      <c r="B43" s="31" t="str">
        <f>IF(NOT(ISBLANK(Curs!C47)),Curs!C47,"")</f>
        <v/>
      </c>
      <c r="C43" s="10"/>
      <c r="D43" s="10"/>
      <c r="E43" s="10"/>
      <c r="F43" s="24" t="str">
        <f>IF(NOT(ISBLANK(Curs!C47)),
IF(Curs!AI47,"Eliberat",
ROUND(SUM(C43:E43),0)),
"")</f>
        <v/>
      </c>
      <c r="G43" s="23" t="str">
        <f>IF(NOT(ISBLANK(Curs!C47)),
IF(Curs!AI47,Curs!AI47,
IF(F43=0,"n/p",
IF(AND(F43&gt;=$H$3,F43&lt;=$I$3),$J$3,
IF(AND(F43&gt;=$H$4,F43&lt;=$I$4),$J$4,
IF(AND(F43&gt;=$H$5,F43&lt;=$I$5),$J$5,
IF(AND(F43&gt;=$H$6,F43&lt;=$I$6),$J$6,
IF(AND(F43&gt;=$H$7,F43&lt;=$I$7),$J$7,
IF(AND(F43&gt;=$H$8,F43&lt;=$I$8),$J$8,
IF(AND(F43&gt;=$H$9,F43&lt;=$I$9),$J$9,
IF(AND(F43&gt;=$H$10,F43&lt;=$I$10),$J$10,
IF(AND(F43&gt;=$H$11,F43&lt;=$I$11),$J$11))))))))))),
"")</f>
        <v/>
      </c>
    </row>
    <row r="44" spans="1:7" ht="18" x14ac:dyDescent="0.35">
      <c r="A44" s="30" t="str">
        <f>IF(NOT(ISBLANK(Curs!B48)),Curs!B48,"")</f>
        <v/>
      </c>
      <c r="B44" s="31" t="str">
        <f>IF(NOT(ISBLANK(Curs!C48)),Curs!C48,"")</f>
        <v/>
      </c>
      <c r="C44" s="10"/>
      <c r="D44" s="10"/>
      <c r="E44" s="10"/>
      <c r="F44" s="24" t="str">
        <f>IF(NOT(ISBLANK(Curs!C48)),
IF(Curs!AI48,"Eliberat",
ROUND(SUM(C44:E44),0)),
"")</f>
        <v/>
      </c>
      <c r="G44" s="23" t="str">
        <f>IF(NOT(ISBLANK(Curs!C48)),
IF(Curs!AI48,Curs!AI48,
IF(F44=0,"n/p",
IF(AND(F44&gt;=$H$3,F44&lt;=$I$3),$J$3,
IF(AND(F44&gt;=$H$4,F44&lt;=$I$4),$J$4,
IF(AND(F44&gt;=$H$5,F44&lt;=$I$5),$J$5,
IF(AND(F44&gt;=$H$6,F44&lt;=$I$6),$J$6,
IF(AND(F44&gt;=$H$7,F44&lt;=$I$7),$J$7,
IF(AND(F44&gt;=$H$8,F44&lt;=$I$8),$J$8,
IF(AND(F44&gt;=$H$9,F44&lt;=$I$9),$J$9,
IF(AND(F44&gt;=$H$10,F44&lt;=$I$10),$J$10,
IF(AND(F44&gt;=$H$11,F44&lt;=$I$11),$J$11))))))))))),
"")</f>
        <v/>
      </c>
    </row>
    <row r="45" spans="1:7" ht="18" x14ac:dyDescent="0.35">
      <c r="A45" s="30" t="str">
        <f>IF(NOT(ISBLANK(Curs!B49)),Curs!B49,"")</f>
        <v/>
      </c>
      <c r="B45" s="31" t="str">
        <f>IF(NOT(ISBLANK(Curs!C49)),Curs!C49,"")</f>
        <v/>
      </c>
      <c r="C45" s="10"/>
      <c r="D45" s="10"/>
      <c r="E45" s="10"/>
      <c r="F45" s="24" t="str">
        <f>IF(NOT(ISBLANK(Curs!C49)),
IF(Curs!AI49,"Eliberat",
ROUND(SUM(C45:E45),0)),
"")</f>
        <v/>
      </c>
      <c r="G45" s="23" t="str">
        <f>IF(NOT(ISBLANK(Curs!C49)),
IF(Curs!AI49,Curs!AI49,
IF(F45=0,"n/p",
IF(AND(F45&gt;=$H$3,F45&lt;=$I$3),$J$3,
IF(AND(F45&gt;=$H$4,F45&lt;=$I$4),$J$4,
IF(AND(F45&gt;=$H$5,F45&lt;=$I$5),$J$5,
IF(AND(F45&gt;=$H$6,F45&lt;=$I$6),$J$6,
IF(AND(F45&gt;=$H$7,F45&lt;=$I$7),$J$7,
IF(AND(F45&gt;=$H$8,F45&lt;=$I$8),$J$8,
IF(AND(F45&gt;=$H$9,F45&lt;=$I$9),$J$9,
IF(AND(F45&gt;=$H$10,F45&lt;=$I$10),$J$10,
IF(AND(F45&gt;=$H$11,F45&lt;=$I$11),$J$11))))))))))),
"")</f>
        <v/>
      </c>
    </row>
    <row r="46" spans="1:7" ht="18" x14ac:dyDescent="0.35">
      <c r="A46" s="30" t="str">
        <f>IF(NOT(ISBLANK(Curs!B50)),Curs!B50,"")</f>
        <v/>
      </c>
      <c r="B46" s="31" t="str">
        <f>IF(NOT(ISBLANK(Curs!C50)),Curs!C50,"")</f>
        <v/>
      </c>
      <c r="C46" s="10"/>
      <c r="D46" s="10"/>
      <c r="E46" s="10"/>
      <c r="F46" s="24" t="str">
        <f>IF(NOT(ISBLANK(Curs!C50)),
IF(Curs!AI50,"Eliberat",
ROUND(SUM(C46:E46),0)),
"")</f>
        <v/>
      </c>
      <c r="G46" s="23" t="str">
        <f>IF(NOT(ISBLANK(Curs!C50)),
IF(Curs!AI50,Curs!AI50,
IF(F46=0,"n/p",
IF(AND(F46&gt;=$H$3,F46&lt;=$I$3),$J$3,
IF(AND(F46&gt;=$H$4,F46&lt;=$I$4),$J$4,
IF(AND(F46&gt;=$H$5,F46&lt;=$I$5),$J$5,
IF(AND(F46&gt;=$H$6,F46&lt;=$I$6),$J$6,
IF(AND(F46&gt;=$H$7,F46&lt;=$I$7),$J$7,
IF(AND(F46&gt;=$H$8,F46&lt;=$I$8),$J$8,
IF(AND(F46&gt;=$H$9,F46&lt;=$I$9),$J$9,
IF(AND(F46&gt;=$H$10,F46&lt;=$I$10),$J$10,
IF(AND(F46&gt;=$H$11,F46&lt;=$I$11),$J$11))))))))))),
"")</f>
        <v/>
      </c>
    </row>
    <row r="47" spans="1:7" ht="18" x14ac:dyDescent="0.35">
      <c r="A47" s="30" t="str">
        <f>IF(NOT(ISBLANK(Curs!B51)),Curs!B51,"")</f>
        <v/>
      </c>
      <c r="B47" s="31" t="str">
        <f>IF(NOT(ISBLANK(Curs!C51)),Curs!C51,"")</f>
        <v/>
      </c>
      <c r="C47" s="10"/>
      <c r="D47" s="10"/>
      <c r="E47" s="10"/>
      <c r="F47" s="24" t="str">
        <f>IF(NOT(ISBLANK(Curs!C51)),
IF(Curs!AI51,"Eliberat",
ROUND(SUM(C47:E47),0)),
"")</f>
        <v/>
      </c>
      <c r="G47" s="23" t="str">
        <f>IF(NOT(ISBLANK(Curs!C51)),
IF(Curs!AI51,Curs!AI51,
IF(F47=0,"n/p",
IF(AND(F47&gt;=$H$3,F47&lt;=$I$3),$J$3,
IF(AND(F47&gt;=$H$4,F47&lt;=$I$4),$J$4,
IF(AND(F47&gt;=$H$5,F47&lt;=$I$5),$J$5,
IF(AND(F47&gt;=$H$6,F47&lt;=$I$6),$J$6,
IF(AND(F47&gt;=$H$7,F47&lt;=$I$7),$J$7,
IF(AND(F47&gt;=$H$8,F47&lt;=$I$8),$J$8,
IF(AND(F47&gt;=$H$9,F47&lt;=$I$9),$J$9,
IF(AND(F47&gt;=$H$10,F47&lt;=$I$10),$J$10,
IF(AND(F47&gt;=$H$11,F47&lt;=$I$11),$J$11))))))))))),
"")</f>
        <v/>
      </c>
    </row>
    <row r="48" spans="1:7" ht="18" x14ac:dyDescent="0.35">
      <c r="A48" s="30" t="str">
        <f>IF(NOT(ISBLANK(Curs!B52)),Curs!B52,"")</f>
        <v/>
      </c>
      <c r="B48" s="31" t="str">
        <f>IF(NOT(ISBLANK(Curs!C52)),Curs!C52,"")</f>
        <v/>
      </c>
      <c r="C48" s="10"/>
      <c r="D48" s="10"/>
      <c r="E48" s="10"/>
      <c r="F48" s="24" t="str">
        <f>IF(NOT(ISBLANK(Curs!C52)),
IF(Curs!AI52,"Eliberat",
ROUND(SUM(C48:E48),0)),
"")</f>
        <v/>
      </c>
      <c r="G48" s="23" t="str">
        <f>IF(NOT(ISBLANK(Curs!C52)),
IF(Curs!AI52,Curs!AI52,
IF(F48=0,"n/p",
IF(AND(F48&gt;=$H$3,F48&lt;=$I$3),$J$3,
IF(AND(F48&gt;=$H$4,F48&lt;=$I$4),$J$4,
IF(AND(F48&gt;=$H$5,F48&lt;=$I$5),$J$5,
IF(AND(F48&gt;=$H$6,F48&lt;=$I$6),$J$6,
IF(AND(F48&gt;=$H$7,F48&lt;=$I$7),$J$7,
IF(AND(F48&gt;=$H$8,F48&lt;=$I$8),$J$8,
IF(AND(F48&gt;=$H$9,F48&lt;=$I$9),$J$9,
IF(AND(F48&gt;=$H$10,F48&lt;=$I$10),$J$10,
IF(AND(F48&gt;=$H$11,F48&lt;=$I$11),$J$11))))))))))),
"")</f>
        <v/>
      </c>
    </row>
    <row r="49" spans="1:7" ht="18" x14ac:dyDescent="0.35">
      <c r="A49" s="30" t="str">
        <f>IF(NOT(ISBLANK(Curs!B53)),Curs!B53,"")</f>
        <v/>
      </c>
      <c r="B49" s="31" t="str">
        <f>IF(NOT(ISBLANK(Curs!C53)),Curs!C53,"")</f>
        <v/>
      </c>
      <c r="C49" s="10"/>
      <c r="D49" s="10"/>
      <c r="E49" s="10"/>
      <c r="F49" s="24" t="str">
        <f>IF(NOT(ISBLANK(Curs!C53)),
IF(Curs!AI53,"Eliberat",
ROUND(SUM(C49:E49),0)),
"")</f>
        <v/>
      </c>
      <c r="G49" s="23" t="str">
        <f>IF(NOT(ISBLANK(Curs!C53)),
IF(Curs!AI53,Curs!AI53,
IF(F49=0,"n/p",
IF(AND(F49&gt;=$H$3,F49&lt;=$I$3),$J$3,
IF(AND(F49&gt;=$H$4,F49&lt;=$I$4),$J$4,
IF(AND(F49&gt;=$H$5,F49&lt;=$I$5),$J$5,
IF(AND(F49&gt;=$H$6,F49&lt;=$I$6),$J$6,
IF(AND(F49&gt;=$H$7,F49&lt;=$I$7),$J$7,
IF(AND(F49&gt;=$H$8,F49&lt;=$I$8),$J$8,
IF(AND(F49&gt;=$H$9,F49&lt;=$I$9),$J$9,
IF(AND(F49&gt;=$H$10,F49&lt;=$I$10),$J$10,
IF(AND(F49&gt;=$H$11,F49&lt;=$I$11),$J$11))))))))))),
"")</f>
        <v/>
      </c>
    </row>
    <row r="50" spans="1:7" ht="18" x14ac:dyDescent="0.35">
      <c r="A50" s="30" t="str">
        <f>IF(NOT(ISBLANK(Curs!B54)),Curs!B54,"")</f>
        <v/>
      </c>
      <c r="B50" s="31" t="str">
        <f>IF(NOT(ISBLANK(Curs!C54)),Curs!C54,"")</f>
        <v/>
      </c>
      <c r="C50" s="10"/>
      <c r="D50" s="10"/>
      <c r="E50" s="10"/>
      <c r="F50" s="24" t="str">
        <f>IF(NOT(ISBLANK(Curs!C54)),
IF(Curs!AI54,"Eliberat",
ROUND(SUM(C50:E50),0)),
"")</f>
        <v/>
      </c>
      <c r="G50" s="23" t="str">
        <f>IF(NOT(ISBLANK(Curs!C54)),
IF(Curs!AI54,Curs!AI54,
IF(F50=0,"n/p",
IF(AND(F50&gt;=$H$3,F50&lt;=$I$3),$J$3,
IF(AND(F50&gt;=$H$4,F50&lt;=$I$4),$J$4,
IF(AND(F50&gt;=$H$5,F50&lt;=$I$5),$J$5,
IF(AND(F50&gt;=$H$6,F50&lt;=$I$6),$J$6,
IF(AND(F50&gt;=$H$7,F50&lt;=$I$7),$J$7,
IF(AND(F50&gt;=$H$8,F50&lt;=$I$8),$J$8,
IF(AND(F50&gt;=$H$9,F50&lt;=$I$9),$J$9,
IF(AND(F50&gt;=$H$10,F50&lt;=$I$10),$J$10,
IF(AND(F50&gt;=$H$11,F50&lt;=$I$11),$J$11))))))))))),
"")</f>
        <v/>
      </c>
    </row>
    <row r="51" spans="1:7" ht="18" x14ac:dyDescent="0.35">
      <c r="A51" s="30" t="str">
        <f>IF(NOT(ISBLANK(Curs!B55)),Curs!B55,"")</f>
        <v/>
      </c>
      <c r="B51" s="31" t="str">
        <f>IF(NOT(ISBLANK(Curs!C55)),Curs!C55,"")</f>
        <v/>
      </c>
      <c r="C51" s="10"/>
      <c r="D51" s="10"/>
      <c r="E51" s="10"/>
      <c r="F51" s="24" t="str">
        <f>IF(NOT(ISBLANK(Curs!C55)),
IF(Curs!AI55,"Eliberat",
ROUND(SUM(C51:E51),0)),
"")</f>
        <v/>
      </c>
      <c r="G51" s="23" t="str">
        <f>IF(NOT(ISBLANK(Curs!C55)),
IF(Curs!AI55,Curs!AI55,
IF(F51=0,"n/p",
IF(AND(F51&gt;=$H$3,F51&lt;=$I$3),$J$3,
IF(AND(F51&gt;=$H$4,F51&lt;=$I$4),$J$4,
IF(AND(F51&gt;=$H$5,F51&lt;=$I$5),$J$5,
IF(AND(F51&gt;=$H$6,F51&lt;=$I$6),$J$6,
IF(AND(F51&gt;=$H$7,F51&lt;=$I$7),$J$7,
IF(AND(F51&gt;=$H$8,F51&lt;=$I$8),$J$8,
IF(AND(F51&gt;=$H$9,F51&lt;=$I$9),$J$9,
IF(AND(F51&gt;=$H$10,F51&lt;=$I$10),$J$10,
IF(AND(F51&gt;=$H$11,F51&lt;=$I$11),$J$11))))))))))),
"")</f>
        <v/>
      </c>
    </row>
    <row r="52" spans="1:7" ht="18" x14ac:dyDescent="0.35">
      <c r="A52" s="30" t="str">
        <f>IF(NOT(ISBLANK(Curs!B56)),Curs!B56,"")</f>
        <v/>
      </c>
      <c r="B52" s="31" t="str">
        <f>IF(NOT(ISBLANK(Curs!C56)),Curs!C56,"")</f>
        <v/>
      </c>
      <c r="C52" s="10"/>
      <c r="D52" s="10"/>
      <c r="E52" s="10"/>
      <c r="F52" s="24" t="str">
        <f>IF(NOT(ISBLANK(Curs!C56)),
IF(Curs!AI56,"Eliberat",
ROUND(SUM(C52:E52),0)),
"")</f>
        <v/>
      </c>
      <c r="G52" s="23" t="str">
        <f>IF(NOT(ISBLANK(Curs!C56)),
IF(Curs!AI56,Curs!AI56,
IF(F52=0,"n/p",
IF(AND(F52&gt;=$H$3,F52&lt;=$I$3),$J$3,
IF(AND(F52&gt;=$H$4,F52&lt;=$I$4),$J$4,
IF(AND(F52&gt;=$H$5,F52&lt;=$I$5),$J$5,
IF(AND(F52&gt;=$H$6,F52&lt;=$I$6),$J$6,
IF(AND(F52&gt;=$H$7,F52&lt;=$I$7),$J$7,
IF(AND(F52&gt;=$H$8,F52&lt;=$I$8),$J$8,
IF(AND(F52&gt;=$H$9,F52&lt;=$I$9),$J$9,
IF(AND(F52&gt;=$H$10,F52&lt;=$I$10),$J$10,
IF(AND(F52&gt;=$H$11,F52&lt;=$I$11),$J$11))))))))))),
"")</f>
        <v/>
      </c>
    </row>
    <row r="53" spans="1:7" ht="18" x14ac:dyDescent="0.35">
      <c r="A53" s="30" t="str">
        <f>IF(NOT(ISBLANK(Curs!B57)),Curs!B57,"")</f>
        <v/>
      </c>
      <c r="B53" s="31" t="str">
        <f>IF(NOT(ISBLANK(Curs!C57)),Curs!C57,"")</f>
        <v/>
      </c>
      <c r="C53" s="10"/>
      <c r="D53" s="10"/>
      <c r="E53" s="10"/>
      <c r="F53" s="24" t="str">
        <f>IF(NOT(ISBLANK(Curs!C57)),
IF(Curs!AI57,"Eliberat",
ROUND(SUM(C53:E53),0)),
"")</f>
        <v/>
      </c>
      <c r="G53" s="23" t="str">
        <f>IF(NOT(ISBLANK(Curs!C57)),
IF(Curs!AI57,Curs!AI57,
IF(F53=0,"n/p",
IF(AND(F53&gt;=$H$3,F53&lt;=$I$3),$J$3,
IF(AND(F53&gt;=$H$4,F53&lt;=$I$4),$J$4,
IF(AND(F53&gt;=$H$5,F53&lt;=$I$5),$J$5,
IF(AND(F53&gt;=$H$6,F53&lt;=$I$6),$J$6,
IF(AND(F53&gt;=$H$7,F53&lt;=$I$7),$J$7,
IF(AND(F53&gt;=$H$8,F53&lt;=$I$8),$J$8,
IF(AND(F53&gt;=$H$9,F53&lt;=$I$9),$J$9,
IF(AND(F53&gt;=$H$10,F53&lt;=$I$10),$J$10,
IF(AND(F53&gt;=$H$11,F53&lt;=$I$11),$J$11))))))))))),
"")</f>
        <v/>
      </c>
    </row>
    <row r="54" spans="1:7" ht="18" x14ac:dyDescent="0.35">
      <c r="A54" s="30" t="str">
        <f>IF(NOT(ISBLANK(Curs!B58)),Curs!B58,"")</f>
        <v/>
      </c>
      <c r="B54" s="31" t="str">
        <f>IF(NOT(ISBLANK(Curs!C58)),Curs!C58,"")</f>
        <v/>
      </c>
      <c r="C54" s="10"/>
      <c r="D54" s="10"/>
      <c r="E54" s="10"/>
      <c r="F54" s="24" t="str">
        <f>IF(NOT(ISBLANK(Curs!C58)),
IF(Curs!AI58,"Eliberat",
ROUND(SUM(C54:E54),0)),
"")</f>
        <v/>
      </c>
      <c r="G54" s="23" t="str">
        <f>IF(NOT(ISBLANK(Curs!C58)),
IF(Curs!AI58,Curs!AI58,
IF(F54=0,"n/p",
IF(AND(F54&gt;=$H$3,F54&lt;=$I$3),$J$3,
IF(AND(F54&gt;=$H$4,F54&lt;=$I$4),$J$4,
IF(AND(F54&gt;=$H$5,F54&lt;=$I$5),$J$5,
IF(AND(F54&gt;=$H$6,F54&lt;=$I$6),$J$6,
IF(AND(F54&gt;=$H$7,F54&lt;=$I$7),$J$7,
IF(AND(F54&gt;=$H$8,F54&lt;=$I$8),$J$8,
IF(AND(F54&gt;=$H$9,F54&lt;=$I$9),$J$9,
IF(AND(F54&gt;=$H$10,F54&lt;=$I$10),$J$10,
IF(AND(F54&gt;=$H$11,F54&lt;=$I$11),$J$11))))))))))),
"")</f>
        <v/>
      </c>
    </row>
    <row r="55" spans="1:7" ht="18" x14ac:dyDescent="0.35">
      <c r="A55" s="30" t="str">
        <f>IF(NOT(ISBLANK(Curs!B59)),Curs!B59,"")</f>
        <v/>
      </c>
      <c r="B55" s="31" t="str">
        <f>IF(NOT(ISBLANK(Curs!C59)),Curs!C59,"")</f>
        <v/>
      </c>
      <c r="C55" s="10"/>
      <c r="D55" s="10"/>
      <c r="E55" s="10"/>
      <c r="F55" s="24" t="str">
        <f>IF(NOT(ISBLANK(Curs!C59)),
IF(Curs!AI59,"Eliberat",
ROUND(SUM(C55:E55),0)),
"")</f>
        <v/>
      </c>
      <c r="G55" s="23" t="str">
        <f>IF(NOT(ISBLANK(Curs!C59)),
IF(Curs!AI59,Curs!AI59,
IF(F55=0,"n/p",
IF(AND(F55&gt;=$H$3,F55&lt;=$I$3),$J$3,
IF(AND(F55&gt;=$H$4,F55&lt;=$I$4),$J$4,
IF(AND(F55&gt;=$H$5,F55&lt;=$I$5),$J$5,
IF(AND(F55&gt;=$H$6,F55&lt;=$I$6),$J$6,
IF(AND(F55&gt;=$H$7,F55&lt;=$I$7),$J$7,
IF(AND(F55&gt;=$H$8,F55&lt;=$I$8),$J$8,
IF(AND(F55&gt;=$H$9,F55&lt;=$I$9),$J$9,
IF(AND(F55&gt;=$H$10,F55&lt;=$I$10),$J$10,
IF(AND(F55&gt;=$H$11,F55&lt;=$I$11),$J$11))))))))))),
"")</f>
        <v/>
      </c>
    </row>
    <row r="56" spans="1:7" ht="18" x14ac:dyDescent="0.35">
      <c r="A56" s="30" t="str">
        <f>IF(NOT(ISBLANK(Curs!B60)),Curs!B60,"")</f>
        <v/>
      </c>
      <c r="B56" s="31" t="str">
        <f>IF(NOT(ISBLANK(Curs!C60)),Curs!C60,"")</f>
        <v/>
      </c>
      <c r="C56" s="10"/>
      <c r="D56" s="10"/>
      <c r="E56" s="10"/>
      <c r="F56" s="24" t="str">
        <f>IF(NOT(ISBLANK(Curs!C60)),
IF(Curs!AI60,"Eliberat",
ROUND(SUM(C56:E56),0)),
"")</f>
        <v/>
      </c>
      <c r="G56" s="23" t="str">
        <f>IF(NOT(ISBLANK(Curs!C60)),
IF(Curs!AI60,Curs!AI60,
IF(F56=0,"n/p",
IF(AND(F56&gt;=$H$3,F56&lt;=$I$3),$J$3,
IF(AND(F56&gt;=$H$4,F56&lt;=$I$4),$J$4,
IF(AND(F56&gt;=$H$5,F56&lt;=$I$5),$J$5,
IF(AND(F56&gt;=$H$6,F56&lt;=$I$6),$J$6,
IF(AND(F56&gt;=$H$7,F56&lt;=$I$7),$J$7,
IF(AND(F56&gt;=$H$8,F56&lt;=$I$8),$J$8,
IF(AND(F56&gt;=$H$9,F56&lt;=$I$9),$J$9,
IF(AND(F56&gt;=$H$10,F56&lt;=$I$10),$J$10,
IF(AND(F56&gt;=$H$11,F56&lt;=$I$11),$J$11))))))))))),
"")</f>
        <v/>
      </c>
    </row>
    <row r="57" spans="1:7" ht="18" x14ac:dyDescent="0.35">
      <c r="A57" s="30" t="str">
        <f>IF(NOT(ISBLANK(Curs!B61)),Curs!B61,"")</f>
        <v/>
      </c>
      <c r="B57" s="31" t="str">
        <f>IF(NOT(ISBLANK(Curs!C61)),Curs!C61,"")</f>
        <v/>
      </c>
      <c r="C57" s="10"/>
      <c r="D57" s="10"/>
      <c r="E57" s="10"/>
      <c r="F57" s="24" t="str">
        <f>IF(NOT(ISBLANK(Curs!C61)),
IF(Curs!AI61,"Eliberat",
ROUND(SUM(C57:E57),0)),
"")</f>
        <v/>
      </c>
      <c r="G57" s="23" t="str">
        <f>IF(NOT(ISBLANK(Curs!C61)),
IF(Curs!AI61,Curs!AI61,
IF(F57=0,"n/p",
IF(AND(F57&gt;=$H$3,F57&lt;=$I$3),$J$3,
IF(AND(F57&gt;=$H$4,F57&lt;=$I$4),$J$4,
IF(AND(F57&gt;=$H$5,F57&lt;=$I$5),$J$5,
IF(AND(F57&gt;=$H$6,F57&lt;=$I$6),$J$6,
IF(AND(F57&gt;=$H$7,F57&lt;=$I$7),$J$7,
IF(AND(F57&gt;=$H$8,F57&lt;=$I$8),$J$8,
IF(AND(F57&gt;=$H$9,F57&lt;=$I$9),$J$9,
IF(AND(F57&gt;=$H$10,F57&lt;=$I$10),$J$10,
IF(AND(F57&gt;=$H$11,F57&lt;=$I$11),$J$11))))))))))),
"")</f>
        <v/>
      </c>
    </row>
    <row r="58" spans="1:7" ht="18" x14ac:dyDescent="0.35">
      <c r="A58" s="30" t="str">
        <f>IF(NOT(ISBLANK(Curs!B62)),Curs!B62,"")</f>
        <v/>
      </c>
      <c r="B58" s="31" t="str">
        <f>IF(NOT(ISBLANK(Curs!C62)),Curs!C62,"")</f>
        <v/>
      </c>
      <c r="C58" s="10"/>
      <c r="D58" s="10"/>
      <c r="E58" s="10"/>
      <c r="F58" s="24" t="str">
        <f>IF(NOT(ISBLANK(Curs!C62)),
IF(Curs!AI62,"Eliberat",
ROUND(SUM(C58:E58),0)),
"")</f>
        <v/>
      </c>
      <c r="G58" s="23" t="str">
        <f>IF(NOT(ISBLANK(Curs!C62)),
IF(Curs!AI62,Curs!AI62,
IF(F58=0,"n/p",
IF(AND(F58&gt;=$H$3,F58&lt;=$I$3),$J$3,
IF(AND(F58&gt;=$H$4,F58&lt;=$I$4),$J$4,
IF(AND(F58&gt;=$H$5,F58&lt;=$I$5),$J$5,
IF(AND(F58&gt;=$H$6,F58&lt;=$I$6),$J$6,
IF(AND(F58&gt;=$H$7,F58&lt;=$I$7),$J$7,
IF(AND(F58&gt;=$H$8,F58&lt;=$I$8),$J$8,
IF(AND(F58&gt;=$H$9,F58&lt;=$I$9),$J$9,
IF(AND(F58&gt;=$H$10,F58&lt;=$I$10),$J$10,
IF(AND(F58&gt;=$H$11,F58&lt;=$I$11),$J$11))))))))))),
"")</f>
        <v/>
      </c>
    </row>
    <row r="59" spans="1:7" ht="18" x14ac:dyDescent="0.35">
      <c r="A59" s="30" t="str">
        <f>IF(NOT(ISBLANK(Curs!B63)),Curs!B63,"")</f>
        <v/>
      </c>
      <c r="B59" s="31" t="str">
        <f>IF(NOT(ISBLANK(Curs!C63)),Curs!C63,"")</f>
        <v/>
      </c>
      <c r="C59" s="10"/>
      <c r="D59" s="10"/>
      <c r="E59" s="10"/>
      <c r="F59" s="24" t="str">
        <f>IF(NOT(ISBLANK(Curs!C63)),
IF(Curs!AI63,"Eliberat",
ROUND(SUM(C59:E59),0)),
"")</f>
        <v/>
      </c>
      <c r="G59" s="23" t="str">
        <f>IF(NOT(ISBLANK(Curs!C63)),
IF(Curs!AI63,Curs!AI63,
IF(F59=0,"n/p",
IF(AND(F59&gt;=$H$3,F59&lt;=$I$3),$J$3,
IF(AND(F59&gt;=$H$4,F59&lt;=$I$4),$J$4,
IF(AND(F59&gt;=$H$5,F59&lt;=$I$5),$J$5,
IF(AND(F59&gt;=$H$6,F59&lt;=$I$6),$J$6,
IF(AND(F59&gt;=$H$7,F59&lt;=$I$7),$J$7,
IF(AND(F59&gt;=$H$8,F59&lt;=$I$8),$J$8,
IF(AND(F59&gt;=$H$9,F59&lt;=$I$9),$J$9,
IF(AND(F59&gt;=$H$10,F59&lt;=$I$10),$J$10,
IF(AND(F59&gt;=$H$11,F59&lt;=$I$11),$J$11))))))))))),
"")</f>
        <v/>
      </c>
    </row>
    <row r="60" spans="1:7" ht="18" x14ac:dyDescent="0.35">
      <c r="A60" s="30" t="str">
        <f>IF(NOT(ISBLANK(Curs!B64)),Curs!B64,"")</f>
        <v/>
      </c>
      <c r="B60" s="31" t="str">
        <f>IF(NOT(ISBLANK(Curs!C64)),Curs!C64,"")</f>
        <v/>
      </c>
      <c r="C60" s="10"/>
      <c r="D60" s="10"/>
      <c r="E60" s="10"/>
      <c r="F60" s="24" t="str">
        <f>IF(NOT(ISBLANK(Curs!C64)),
IF(Curs!AI64,"Eliberat",
ROUND(SUM(C60:E60),0)),
"")</f>
        <v/>
      </c>
      <c r="G60" s="23" t="str">
        <f>IF(NOT(ISBLANK(Curs!C64)),
IF(Curs!AI64,Curs!AI64,
IF(F60=0,"n/p",
IF(AND(F60&gt;=$H$3,F60&lt;=$I$3),$J$3,
IF(AND(F60&gt;=$H$4,F60&lt;=$I$4),$J$4,
IF(AND(F60&gt;=$H$5,F60&lt;=$I$5),$J$5,
IF(AND(F60&gt;=$H$6,F60&lt;=$I$6),$J$6,
IF(AND(F60&gt;=$H$7,F60&lt;=$I$7),$J$7,
IF(AND(F60&gt;=$H$8,F60&lt;=$I$8),$J$8,
IF(AND(F60&gt;=$H$9,F60&lt;=$I$9),$J$9,
IF(AND(F60&gt;=$H$10,F60&lt;=$I$10),$J$10,
IF(AND(F60&gt;=$H$11,F60&lt;=$I$11),$J$11))))))))))),
"")</f>
        <v/>
      </c>
    </row>
    <row r="61" spans="1:7" ht="18" x14ac:dyDescent="0.35">
      <c r="A61" s="30" t="str">
        <f>IF(NOT(ISBLANK(Curs!B65)),Curs!B65,"")</f>
        <v/>
      </c>
      <c r="B61" s="31" t="str">
        <f>IF(NOT(ISBLANK(Curs!C65)),Curs!C65,"")</f>
        <v/>
      </c>
      <c r="C61" s="10"/>
      <c r="D61" s="10"/>
      <c r="E61" s="10"/>
      <c r="F61" s="24" t="str">
        <f>IF(NOT(ISBLANK(Curs!C65)),
IF(Curs!AI65,"Eliberat",
ROUND(SUM(C61:E61),0)),
"")</f>
        <v/>
      </c>
      <c r="G61" s="23" t="str">
        <f>IF(NOT(ISBLANK(Curs!C65)),
IF(Curs!AI65,Curs!AI65,
IF(F61=0,"n/p",
IF(AND(F61&gt;=$H$3,F61&lt;=$I$3),$J$3,
IF(AND(F61&gt;=$H$4,F61&lt;=$I$4),$J$4,
IF(AND(F61&gt;=$H$5,F61&lt;=$I$5),$J$5,
IF(AND(F61&gt;=$H$6,F61&lt;=$I$6),$J$6,
IF(AND(F61&gt;=$H$7,F61&lt;=$I$7),$J$7,
IF(AND(F61&gt;=$H$8,F61&lt;=$I$8),$J$8,
IF(AND(F61&gt;=$H$9,F61&lt;=$I$9),$J$9,
IF(AND(F61&gt;=$H$10,F61&lt;=$I$10),$J$10,
IF(AND(F61&gt;=$H$11,F61&lt;=$I$11),$J$11))))))))))),
"")</f>
        <v/>
      </c>
    </row>
    <row r="62" spans="1:7" ht="18" x14ac:dyDescent="0.35">
      <c r="A62" s="30" t="str">
        <f>IF(NOT(ISBLANK(Curs!B66)),Curs!B66,"")</f>
        <v/>
      </c>
      <c r="B62" s="31" t="str">
        <f>IF(NOT(ISBLANK(Curs!C66)),Curs!C66,"")</f>
        <v/>
      </c>
      <c r="C62" s="10"/>
      <c r="D62" s="10"/>
      <c r="E62" s="10"/>
      <c r="F62" s="24" t="str">
        <f>IF(NOT(ISBLANK(Curs!C66)),
IF(Curs!AI66,"Eliberat",
ROUND(SUM(C62:E62),0)),
"")</f>
        <v/>
      </c>
      <c r="G62" s="23" t="str">
        <f>IF(NOT(ISBLANK(Curs!C66)),
IF(Curs!AI66,Curs!AI66,
IF(F62=0,"n/p",
IF(AND(F62&gt;=$H$3,F62&lt;=$I$3),$J$3,
IF(AND(F62&gt;=$H$4,F62&lt;=$I$4),$J$4,
IF(AND(F62&gt;=$H$5,F62&lt;=$I$5),$J$5,
IF(AND(F62&gt;=$H$6,F62&lt;=$I$6),$J$6,
IF(AND(F62&gt;=$H$7,F62&lt;=$I$7),$J$7,
IF(AND(F62&gt;=$H$8,F62&lt;=$I$8),$J$8,
IF(AND(F62&gt;=$H$9,F62&lt;=$I$9),$J$9,
IF(AND(F62&gt;=$H$10,F62&lt;=$I$10),$J$10,
IF(AND(F62&gt;=$H$11,F62&lt;=$I$11),$J$11))))))))))),
"")</f>
        <v/>
      </c>
    </row>
    <row r="63" spans="1:7" ht="18" x14ac:dyDescent="0.35">
      <c r="A63" s="30" t="str">
        <f>IF(NOT(ISBLANK(Curs!B67)),Curs!B67,"")</f>
        <v/>
      </c>
      <c r="B63" s="31" t="str">
        <f>IF(NOT(ISBLANK(Curs!C67)),Curs!C67,"")</f>
        <v/>
      </c>
      <c r="C63" s="10"/>
      <c r="D63" s="10"/>
      <c r="E63" s="10"/>
      <c r="F63" s="24" t="str">
        <f>IF(NOT(ISBLANK(Curs!C67)),
IF(Curs!AI67,"Eliberat",
ROUND(SUM(C63:E63),0)),
"")</f>
        <v/>
      </c>
      <c r="G63" s="23" t="str">
        <f>IF(NOT(ISBLANK(Curs!C67)),
IF(Curs!AI67,Curs!AI67,
IF(F63=0,"n/p",
IF(AND(F63&gt;=$H$3,F63&lt;=$I$3),$J$3,
IF(AND(F63&gt;=$H$4,F63&lt;=$I$4),$J$4,
IF(AND(F63&gt;=$H$5,F63&lt;=$I$5),$J$5,
IF(AND(F63&gt;=$H$6,F63&lt;=$I$6),$J$6,
IF(AND(F63&gt;=$H$7,F63&lt;=$I$7),$J$7,
IF(AND(F63&gt;=$H$8,F63&lt;=$I$8),$J$8,
IF(AND(F63&gt;=$H$9,F63&lt;=$I$9),$J$9,
IF(AND(F63&gt;=$H$10,F63&lt;=$I$10),$J$10,
IF(AND(F63&gt;=$H$11,F63&lt;=$I$11),$J$11))))))))))),
"")</f>
        <v/>
      </c>
    </row>
    <row r="64" spans="1:7" ht="18" x14ac:dyDescent="0.35">
      <c r="A64" s="30" t="str">
        <f>IF(NOT(ISBLANK(Curs!B68)),Curs!B68,"")</f>
        <v/>
      </c>
      <c r="B64" s="31" t="str">
        <f>IF(NOT(ISBLANK(Curs!C68)),Curs!C68,"")</f>
        <v/>
      </c>
      <c r="C64" s="10"/>
      <c r="D64" s="10"/>
      <c r="E64" s="10"/>
      <c r="F64" s="24" t="str">
        <f>IF(NOT(ISBLANK(Curs!C68)),
IF(Curs!AI68,"Eliberat",
ROUND(SUM(C64:E64),0)),
"")</f>
        <v/>
      </c>
      <c r="G64" s="23" t="str">
        <f>IF(NOT(ISBLANK(Curs!C68)),
IF(Curs!AI68,Curs!AI68,
IF(F64=0,"n/p",
IF(AND(F64&gt;=$H$3,F64&lt;=$I$3),$J$3,
IF(AND(F64&gt;=$H$4,F64&lt;=$I$4),$J$4,
IF(AND(F64&gt;=$H$5,F64&lt;=$I$5),$J$5,
IF(AND(F64&gt;=$H$6,F64&lt;=$I$6),$J$6,
IF(AND(F64&gt;=$H$7,F64&lt;=$I$7),$J$7,
IF(AND(F64&gt;=$H$8,F64&lt;=$I$8),$J$8,
IF(AND(F64&gt;=$H$9,F64&lt;=$I$9),$J$9,
IF(AND(F64&gt;=$H$10,F64&lt;=$I$10),$J$10,
IF(AND(F64&gt;=$H$11,F64&lt;=$I$11),$J$11))))))))))),
"")</f>
        <v/>
      </c>
    </row>
    <row r="65" spans="1:7" ht="18" x14ac:dyDescent="0.35">
      <c r="A65" s="30" t="str">
        <f>IF(NOT(ISBLANK(Curs!B69)),Curs!B69,"")</f>
        <v/>
      </c>
      <c r="B65" s="31" t="str">
        <f>IF(NOT(ISBLANK(Curs!C69)),Curs!C69,"")</f>
        <v/>
      </c>
      <c r="C65" s="10"/>
      <c r="D65" s="10"/>
      <c r="E65" s="10"/>
      <c r="F65" s="24" t="str">
        <f>IF(NOT(ISBLANK(Curs!C69)),
IF(Curs!AI69,"Eliberat",
ROUND(SUM(C65:E65),0)),
"")</f>
        <v/>
      </c>
      <c r="G65" s="23" t="str">
        <f>IF(NOT(ISBLANK(Curs!C69)),
IF(Curs!AI69,Curs!AI69,
IF(F65=0,"n/p",
IF(AND(F65&gt;=$H$3,F65&lt;=$I$3),$J$3,
IF(AND(F65&gt;=$H$4,F65&lt;=$I$4),$J$4,
IF(AND(F65&gt;=$H$5,F65&lt;=$I$5),$J$5,
IF(AND(F65&gt;=$H$6,F65&lt;=$I$6),$J$6,
IF(AND(F65&gt;=$H$7,F65&lt;=$I$7),$J$7,
IF(AND(F65&gt;=$H$8,F65&lt;=$I$8),$J$8,
IF(AND(F65&gt;=$H$9,F65&lt;=$I$9),$J$9,
IF(AND(F65&gt;=$H$10,F65&lt;=$I$10),$J$10,
IF(AND(F65&gt;=$H$11,F65&lt;=$I$11),$J$11))))))))))),
"")</f>
        <v/>
      </c>
    </row>
    <row r="66" spans="1:7" ht="18" x14ac:dyDescent="0.35">
      <c r="A66" s="30" t="str">
        <f>IF(NOT(ISBLANK(Curs!B70)),Curs!B70,"")</f>
        <v/>
      </c>
      <c r="B66" s="31" t="str">
        <f>IF(NOT(ISBLANK(Curs!C70)),Curs!C70,"")</f>
        <v/>
      </c>
      <c r="C66" s="10"/>
      <c r="D66" s="10"/>
      <c r="E66" s="10"/>
      <c r="F66" s="24" t="str">
        <f>IF(NOT(ISBLANK(Curs!C70)),
IF(Curs!AI70,"Eliberat",
ROUND(SUM(C66:E66),0)),
"")</f>
        <v/>
      </c>
      <c r="G66" s="23" t="str">
        <f>IF(NOT(ISBLANK(Curs!C70)),
IF(Curs!AI70,Curs!AI70,
IF(F66=0,"n/p",
IF(AND(F66&gt;=$H$3,F66&lt;=$I$3),$J$3,
IF(AND(F66&gt;=$H$4,F66&lt;=$I$4),$J$4,
IF(AND(F66&gt;=$H$5,F66&lt;=$I$5),$J$5,
IF(AND(F66&gt;=$H$6,F66&lt;=$I$6),$J$6,
IF(AND(F66&gt;=$H$7,F66&lt;=$I$7),$J$7,
IF(AND(F66&gt;=$H$8,F66&lt;=$I$8),$J$8,
IF(AND(F66&gt;=$H$9,F66&lt;=$I$9),$J$9,
IF(AND(F66&gt;=$H$10,F66&lt;=$I$10),$J$10,
IF(AND(F66&gt;=$H$11,F66&lt;=$I$11),$J$11))))))))))),
"")</f>
        <v/>
      </c>
    </row>
    <row r="67" spans="1:7" ht="18" x14ac:dyDescent="0.35">
      <c r="A67" s="30" t="str">
        <f>IF(NOT(ISBLANK(Curs!B71)),Curs!B71,"")</f>
        <v/>
      </c>
      <c r="B67" s="31" t="str">
        <f>IF(NOT(ISBLANK(Curs!C71)),Curs!C71,"")</f>
        <v/>
      </c>
      <c r="C67" s="10"/>
      <c r="D67" s="10"/>
      <c r="E67" s="10"/>
      <c r="F67" s="24" t="str">
        <f>IF(NOT(ISBLANK(Curs!C71)),
IF(Curs!AI71,"Eliberat",
ROUND(SUM(C67:E67),0)),
"")</f>
        <v/>
      </c>
      <c r="G67" s="23" t="str">
        <f>IF(NOT(ISBLANK(Curs!C71)),
IF(Curs!AI71,Curs!AI71,
IF(F67=0,"n/p",
IF(AND(F67&gt;=$H$3,F67&lt;=$I$3),$J$3,
IF(AND(F67&gt;=$H$4,F67&lt;=$I$4),$J$4,
IF(AND(F67&gt;=$H$5,F67&lt;=$I$5),$J$5,
IF(AND(F67&gt;=$H$6,F67&lt;=$I$6),$J$6,
IF(AND(F67&gt;=$H$7,F67&lt;=$I$7),$J$7,
IF(AND(F67&gt;=$H$8,F67&lt;=$I$8),$J$8,
IF(AND(F67&gt;=$H$9,F67&lt;=$I$9),$J$9,
IF(AND(F67&gt;=$H$10,F67&lt;=$I$10),$J$10,
IF(AND(F67&gt;=$H$11,F67&lt;=$I$11),$J$11))))))))))),
"")</f>
        <v/>
      </c>
    </row>
    <row r="68" spans="1:7" ht="18" x14ac:dyDescent="0.35">
      <c r="A68" s="30" t="str">
        <f>IF(NOT(ISBLANK(Curs!B72)),Curs!B72,"")</f>
        <v/>
      </c>
      <c r="B68" s="31" t="str">
        <f>IF(NOT(ISBLANK(Curs!C72)),Curs!C72,"")</f>
        <v/>
      </c>
      <c r="C68" s="10"/>
      <c r="D68" s="10"/>
      <c r="E68" s="10"/>
      <c r="F68" s="24" t="str">
        <f>IF(NOT(ISBLANK(Curs!C72)),
IF(Curs!AI72,"Eliberat",
ROUND(SUM(C68:E68),0)),
"")</f>
        <v/>
      </c>
      <c r="G68" s="23" t="str">
        <f>IF(NOT(ISBLANK(Curs!C72)),
IF(Curs!AI72,Curs!AI72,
IF(F68=0,"n/p",
IF(AND(F68&gt;=$H$3,F68&lt;=$I$3),$J$3,
IF(AND(F68&gt;=$H$4,F68&lt;=$I$4),$J$4,
IF(AND(F68&gt;=$H$5,F68&lt;=$I$5),$J$5,
IF(AND(F68&gt;=$H$6,F68&lt;=$I$6),$J$6,
IF(AND(F68&gt;=$H$7,F68&lt;=$I$7),$J$7,
IF(AND(F68&gt;=$H$8,F68&lt;=$I$8),$J$8,
IF(AND(F68&gt;=$H$9,F68&lt;=$I$9),$J$9,
IF(AND(F68&gt;=$H$10,F68&lt;=$I$10),$J$10,
IF(AND(F68&gt;=$H$11,F68&lt;=$I$11),$J$11))))))))))),
"")</f>
        <v/>
      </c>
    </row>
    <row r="69" spans="1:7" ht="18" x14ac:dyDescent="0.35">
      <c r="A69" s="30" t="str">
        <f>IF(NOT(ISBLANK(Curs!B73)),Curs!B73,"")</f>
        <v/>
      </c>
      <c r="B69" s="31" t="str">
        <f>IF(NOT(ISBLANK(Curs!C73)),Curs!C73,"")</f>
        <v/>
      </c>
      <c r="C69" s="10"/>
      <c r="D69" s="10"/>
      <c r="E69" s="10"/>
      <c r="F69" s="24" t="str">
        <f>IF(NOT(ISBLANK(Curs!C73)),
IF(Curs!AI73,"Eliberat",
ROUND(SUM(C69:E69),0)),
"")</f>
        <v/>
      </c>
      <c r="G69" s="23" t="str">
        <f>IF(NOT(ISBLANK(Curs!C73)),
IF(Curs!AI73,Curs!AI73,
IF(F69=0,"n/p",
IF(AND(F69&gt;=$H$3,F69&lt;=$I$3),$J$3,
IF(AND(F69&gt;=$H$4,F69&lt;=$I$4),$J$4,
IF(AND(F69&gt;=$H$5,F69&lt;=$I$5),$J$5,
IF(AND(F69&gt;=$H$6,F69&lt;=$I$6),$J$6,
IF(AND(F69&gt;=$H$7,F69&lt;=$I$7),$J$7,
IF(AND(F69&gt;=$H$8,F69&lt;=$I$8),$J$8,
IF(AND(F69&gt;=$H$9,F69&lt;=$I$9),$J$9,
IF(AND(F69&gt;=$H$10,F69&lt;=$I$10),$J$10,
IF(AND(F69&gt;=$H$11,F69&lt;=$I$11),$J$11))))))))))),
"")</f>
        <v/>
      </c>
    </row>
    <row r="70" spans="1:7" ht="18" x14ac:dyDescent="0.35">
      <c r="A70" s="30" t="str">
        <f>IF(NOT(ISBLANK(Curs!B74)),Curs!B74,"")</f>
        <v/>
      </c>
      <c r="B70" s="31" t="str">
        <f>IF(NOT(ISBLANK(Curs!C74)),Curs!C74,"")</f>
        <v/>
      </c>
      <c r="C70" s="10"/>
      <c r="D70" s="10"/>
      <c r="E70" s="10"/>
      <c r="F70" s="24" t="str">
        <f>IF(NOT(ISBLANK(Curs!C74)),
IF(Curs!AI74,"Eliberat",
ROUND(SUM(C70:E70),0)),
"")</f>
        <v/>
      </c>
      <c r="G70" s="23" t="str">
        <f>IF(NOT(ISBLANK(Curs!C74)),
IF(Curs!AI74,Curs!AI74,
IF(F70=0,"n/p",
IF(AND(F70&gt;=$H$3,F70&lt;=$I$3),$J$3,
IF(AND(F70&gt;=$H$4,F70&lt;=$I$4),$J$4,
IF(AND(F70&gt;=$H$5,F70&lt;=$I$5),$J$5,
IF(AND(F70&gt;=$H$6,F70&lt;=$I$6),$J$6,
IF(AND(F70&gt;=$H$7,F70&lt;=$I$7),$J$7,
IF(AND(F70&gt;=$H$8,F70&lt;=$I$8),$J$8,
IF(AND(F70&gt;=$H$9,F70&lt;=$I$9),$J$9,
IF(AND(F70&gt;=$H$10,F70&lt;=$I$10),$J$10,
IF(AND(F70&gt;=$H$11,F70&lt;=$I$11),$J$11))))))))))),
"")</f>
        <v/>
      </c>
    </row>
    <row r="71" spans="1:7" ht="18" x14ac:dyDescent="0.35">
      <c r="A71" s="30" t="str">
        <f>IF(NOT(ISBLANK(Curs!B75)),Curs!B75,"")</f>
        <v/>
      </c>
      <c r="B71" s="31" t="str">
        <f>IF(NOT(ISBLANK(Curs!C75)),Curs!C75,"")</f>
        <v/>
      </c>
      <c r="C71" s="10"/>
      <c r="D71" s="10"/>
      <c r="E71" s="10"/>
      <c r="F71" s="24" t="str">
        <f>IF(NOT(ISBLANK(Curs!C75)),
IF(Curs!AI75,"Eliberat",
ROUND(SUM(C71:E71),0)),
"")</f>
        <v/>
      </c>
      <c r="G71" s="23" t="str">
        <f>IF(NOT(ISBLANK(Curs!C75)),
IF(Curs!AI75,Curs!AI75,
IF(F71=0,"n/p",
IF(AND(F71&gt;=$H$3,F71&lt;=$I$3),$J$3,
IF(AND(F71&gt;=$H$4,F71&lt;=$I$4),$J$4,
IF(AND(F71&gt;=$H$5,F71&lt;=$I$5),$J$5,
IF(AND(F71&gt;=$H$6,F71&lt;=$I$6),$J$6,
IF(AND(F71&gt;=$H$7,F71&lt;=$I$7),$J$7,
IF(AND(F71&gt;=$H$8,F71&lt;=$I$8),$J$8,
IF(AND(F71&gt;=$H$9,F71&lt;=$I$9),$J$9,
IF(AND(F71&gt;=$H$10,F71&lt;=$I$10),$J$10,
IF(AND(F71&gt;=$H$11,F71&lt;=$I$11),$J$11))))))))))),
"")</f>
        <v/>
      </c>
    </row>
    <row r="72" spans="1:7" ht="18" x14ac:dyDescent="0.35">
      <c r="A72" s="30" t="str">
        <f>IF(NOT(ISBLANK(Curs!B76)),Curs!B76,"")</f>
        <v/>
      </c>
      <c r="B72" s="31" t="str">
        <f>IF(NOT(ISBLANK(Curs!C76)),Curs!C76,"")</f>
        <v/>
      </c>
      <c r="C72" s="10"/>
      <c r="D72" s="10"/>
      <c r="E72" s="10"/>
      <c r="F72" s="24" t="str">
        <f>IF(NOT(ISBLANK(Curs!C76)),
IF(Curs!AI76,"Eliberat",
ROUND(SUM(C72:E72),0)),
"")</f>
        <v/>
      </c>
      <c r="G72" s="23" t="str">
        <f>IF(NOT(ISBLANK(Curs!C76)),
IF(Curs!AI76,Curs!AI76,
IF(F72=0,"n/p",
IF(AND(F72&gt;=$H$3,F72&lt;=$I$3),$J$3,
IF(AND(F72&gt;=$H$4,F72&lt;=$I$4),$J$4,
IF(AND(F72&gt;=$H$5,F72&lt;=$I$5),$J$5,
IF(AND(F72&gt;=$H$6,F72&lt;=$I$6),$J$6,
IF(AND(F72&gt;=$H$7,F72&lt;=$I$7),$J$7,
IF(AND(F72&gt;=$H$8,F72&lt;=$I$8),$J$8,
IF(AND(F72&gt;=$H$9,F72&lt;=$I$9),$J$9,
IF(AND(F72&gt;=$H$10,F72&lt;=$I$10),$J$10,
IF(AND(F72&gt;=$H$11,F72&lt;=$I$11),$J$11))))))))))),
"")</f>
        <v/>
      </c>
    </row>
    <row r="73" spans="1:7" ht="18" x14ac:dyDescent="0.35">
      <c r="A73" s="30" t="str">
        <f>IF(NOT(ISBLANK(Curs!B77)),Curs!B77,"")</f>
        <v/>
      </c>
      <c r="B73" s="31" t="str">
        <f>IF(NOT(ISBLANK(Curs!C77)),Curs!C77,"")</f>
        <v/>
      </c>
      <c r="C73" s="10"/>
      <c r="D73" s="10"/>
      <c r="E73" s="10"/>
      <c r="F73" s="24" t="str">
        <f>IF(NOT(ISBLANK(Curs!C77)),
IF(Curs!AI77,"Eliberat",
ROUND(SUM(C73:E73),0)),
"")</f>
        <v/>
      </c>
      <c r="G73" s="23" t="str">
        <f>IF(NOT(ISBLANK(Curs!C77)),
IF(Curs!AI77,Curs!AI77,
IF(F73=0,"n/p",
IF(AND(F73&gt;=$H$3,F73&lt;=$I$3),$J$3,
IF(AND(F73&gt;=$H$4,F73&lt;=$I$4),$J$4,
IF(AND(F73&gt;=$H$5,F73&lt;=$I$5),$J$5,
IF(AND(F73&gt;=$H$6,F73&lt;=$I$6),$J$6,
IF(AND(F73&gt;=$H$7,F73&lt;=$I$7),$J$7,
IF(AND(F73&gt;=$H$8,F73&lt;=$I$8),$J$8,
IF(AND(F73&gt;=$H$9,F73&lt;=$I$9),$J$9,
IF(AND(F73&gt;=$H$10,F73&lt;=$I$10),$J$10,
IF(AND(F73&gt;=$H$11,F73&lt;=$I$11),$J$11))))))))))),
"")</f>
        <v/>
      </c>
    </row>
    <row r="74" spans="1:7" ht="18" x14ac:dyDescent="0.35">
      <c r="A74" s="30" t="str">
        <f>IF(NOT(ISBLANK(Curs!B78)),Curs!B78,"")</f>
        <v/>
      </c>
      <c r="B74" s="31" t="str">
        <f>IF(NOT(ISBLANK(Curs!C78)),Curs!C78,"")</f>
        <v/>
      </c>
      <c r="C74" s="10"/>
      <c r="D74" s="10"/>
      <c r="E74" s="10"/>
      <c r="F74" s="24" t="str">
        <f>IF(NOT(ISBLANK(Curs!C78)),
IF(Curs!AI78,"Eliberat",
ROUND(SUM(C74:E74),0)),
"")</f>
        <v/>
      </c>
      <c r="G74" s="23" t="str">
        <f>IF(NOT(ISBLANK(Curs!C78)),
IF(Curs!AI78,Curs!AI78,
IF(F74=0,"n/p",
IF(AND(F74&gt;=$H$3,F74&lt;=$I$3),$J$3,
IF(AND(F74&gt;=$H$4,F74&lt;=$I$4),$J$4,
IF(AND(F74&gt;=$H$5,F74&lt;=$I$5),$J$5,
IF(AND(F74&gt;=$H$6,F74&lt;=$I$6),$J$6,
IF(AND(F74&gt;=$H$7,F74&lt;=$I$7),$J$7,
IF(AND(F74&gt;=$H$8,F74&lt;=$I$8),$J$8,
IF(AND(F74&gt;=$H$9,F74&lt;=$I$9),$J$9,
IF(AND(F74&gt;=$H$10,F74&lt;=$I$10),$J$10,
IF(AND(F74&gt;=$H$11,F74&lt;=$I$11),$J$11))))))))))),
"")</f>
        <v/>
      </c>
    </row>
    <row r="75" spans="1:7" ht="18" x14ac:dyDescent="0.35">
      <c r="A75" s="30" t="str">
        <f>IF(NOT(ISBLANK(Curs!B79)),Curs!B79,"")</f>
        <v/>
      </c>
      <c r="B75" s="31" t="str">
        <f>IF(NOT(ISBLANK(Curs!C79)),Curs!C79,"")</f>
        <v/>
      </c>
      <c r="C75" s="10"/>
      <c r="D75" s="10"/>
      <c r="E75" s="10"/>
      <c r="F75" s="24" t="str">
        <f>IF(NOT(ISBLANK(Curs!C79)),
IF(Curs!AI79,"Eliberat",
ROUND(SUM(C75:E75),0)),
"")</f>
        <v/>
      </c>
      <c r="G75" s="23" t="str">
        <f>IF(NOT(ISBLANK(Curs!C79)),
IF(Curs!AI79,Curs!AI79,
IF(F75=0,"n/p",
IF(AND(F75&gt;=$H$3,F75&lt;=$I$3),$J$3,
IF(AND(F75&gt;=$H$4,F75&lt;=$I$4),$J$4,
IF(AND(F75&gt;=$H$5,F75&lt;=$I$5),$J$5,
IF(AND(F75&gt;=$H$6,F75&lt;=$I$6),$J$6,
IF(AND(F75&gt;=$H$7,F75&lt;=$I$7),$J$7,
IF(AND(F75&gt;=$H$8,F75&lt;=$I$8),$J$8,
IF(AND(F75&gt;=$H$9,F75&lt;=$I$9),$J$9,
IF(AND(F75&gt;=$H$10,F75&lt;=$I$10),$J$10,
IF(AND(F75&gt;=$H$11,F75&lt;=$I$11),$J$11))))))))))),
"")</f>
        <v/>
      </c>
    </row>
    <row r="76" spans="1:7" ht="18" x14ac:dyDescent="0.35">
      <c r="A76" s="30" t="str">
        <f>IF(NOT(ISBLANK(Curs!B80)),Curs!B80,"")</f>
        <v/>
      </c>
      <c r="B76" s="31" t="str">
        <f>IF(NOT(ISBLANK(Curs!C80)),Curs!C80,"")</f>
        <v/>
      </c>
      <c r="C76" s="10"/>
      <c r="D76" s="10"/>
      <c r="E76" s="10"/>
      <c r="F76" s="24" t="str">
        <f>IF(NOT(ISBLANK(Curs!C80)),
IF(Curs!AI80,"Eliberat",
ROUND(SUM(C76:E76),0)),
"")</f>
        <v/>
      </c>
      <c r="G76" s="23" t="str">
        <f>IF(NOT(ISBLANK(Curs!C80)),
IF(Curs!AI80,Curs!AI80,
IF(F76=0,"n/p",
IF(AND(F76&gt;=$H$3,F76&lt;=$I$3),$J$3,
IF(AND(F76&gt;=$H$4,F76&lt;=$I$4),$J$4,
IF(AND(F76&gt;=$H$5,F76&lt;=$I$5),$J$5,
IF(AND(F76&gt;=$H$6,F76&lt;=$I$6),$J$6,
IF(AND(F76&gt;=$H$7,F76&lt;=$I$7),$J$7,
IF(AND(F76&gt;=$H$8,F76&lt;=$I$8),$J$8,
IF(AND(F76&gt;=$H$9,F76&lt;=$I$9),$J$9,
IF(AND(F76&gt;=$H$10,F76&lt;=$I$10),$J$10,
IF(AND(F76&gt;=$H$11,F76&lt;=$I$11),$J$11))))))))))),
"")</f>
        <v/>
      </c>
    </row>
    <row r="77" spans="1:7" ht="18" x14ac:dyDescent="0.35">
      <c r="A77" s="30" t="str">
        <f>IF(NOT(ISBLANK(Curs!B81)),Curs!B81,"")</f>
        <v/>
      </c>
      <c r="B77" s="31" t="str">
        <f>IF(NOT(ISBLANK(Curs!C81)),Curs!C81,"")</f>
        <v/>
      </c>
      <c r="C77" s="10"/>
      <c r="D77" s="10"/>
      <c r="E77" s="10"/>
      <c r="F77" s="24" t="str">
        <f>IF(NOT(ISBLANK(Curs!C81)),
IF(Curs!AI81,"Eliberat",
ROUND(SUM(C77:E77),0)),
"")</f>
        <v/>
      </c>
      <c r="G77" s="23" t="str">
        <f>IF(NOT(ISBLANK(Curs!C81)),
IF(Curs!AI81,Curs!AI81,
IF(F77=0,"n/p",
IF(AND(F77&gt;=$H$3,F77&lt;=$I$3),$J$3,
IF(AND(F77&gt;=$H$4,F77&lt;=$I$4),$J$4,
IF(AND(F77&gt;=$H$5,F77&lt;=$I$5),$J$5,
IF(AND(F77&gt;=$H$6,F77&lt;=$I$6),$J$6,
IF(AND(F77&gt;=$H$7,F77&lt;=$I$7),$J$7,
IF(AND(F77&gt;=$H$8,F77&lt;=$I$8),$J$8,
IF(AND(F77&gt;=$H$9,F77&lt;=$I$9),$J$9,
IF(AND(F77&gt;=$H$10,F77&lt;=$I$10),$J$10,
IF(AND(F77&gt;=$H$11,F77&lt;=$I$11),$J$11))))))))))),
"")</f>
        <v/>
      </c>
    </row>
    <row r="78" spans="1:7" ht="18" x14ac:dyDescent="0.35">
      <c r="A78" s="30" t="str">
        <f>IF(NOT(ISBLANK(Curs!B82)),Curs!B82,"")</f>
        <v/>
      </c>
      <c r="B78" s="31" t="str">
        <f>IF(NOT(ISBLANK(Curs!C82)),Curs!C82,"")</f>
        <v/>
      </c>
      <c r="C78" s="10"/>
      <c r="D78" s="10"/>
      <c r="E78" s="10"/>
      <c r="F78" s="24" t="str">
        <f>IF(NOT(ISBLANK(Curs!C82)),
IF(Curs!AI82,"Eliberat",
ROUND(SUM(C78:E78),0)),
"")</f>
        <v/>
      </c>
      <c r="G78" s="23" t="str">
        <f>IF(NOT(ISBLANK(Curs!C82)),
IF(Curs!AI82,Curs!AI82,
IF(F78=0,"n/p",
IF(AND(F78&gt;=$H$3,F78&lt;=$I$3),$J$3,
IF(AND(F78&gt;=$H$4,F78&lt;=$I$4),$J$4,
IF(AND(F78&gt;=$H$5,F78&lt;=$I$5),$J$5,
IF(AND(F78&gt;=$H$6,F78&lt;=$I$6),$J$6,
IF(AND(F78&gt;=$H$7,F78&lt;=$I$7),$J$7,
IF(AND(F78&gt;=$H$8,F78&lt;=$I$8),$J$8,
IF(AND(F78&gt;=$H$9,F78&lt;=$I$9),$J$9,
IF(AND(F78&gt;=$H$10,F78&lt;=$I$10),$J$10,
IF(AND(F78&gt;=$H$11,F78&lt;=$I$11),$J$11))))))))))),
"")</f>
        <v/>
      </c>
    </row>
    <row r="79" spans="1:7" ht="18" x14ac:dyDescent="0.35">
      <c r="A79" s="30" t="str">
        <f>IF(NOT(ISBLANK(Curs!B83)),Curs!B83,"")</f>
        <v/>
      </c>
      <c r="B79" s="31" t="str">
        <f>IF(NOT(ISBLANK(Curs!C83)),Curs!C83,"")</f>
        <v/>
      </c>
      <c r="C79" s="10"/>
      <c r="D79" s="10"/>
      <c r="E79" s="10"/>
      <c r="F79" s="24" t="str">
        <f>IF(NOT(ISBLANK(Curs!C83)),
IF(Curs!AI83,"Eliberat",
ROUND(SUM(C79:E79),0)),
"")</f>
        <v/>
      </c>
      <c r="G79" s="23" t="str">
        <f>IF(NOT(ISBLANK(Curs!C83)),
IF(Curs!AI83,Curs!AI83,
IF(F79=0,"n/p",
IF(AND(F79&gt;=$H$3,F79&lt;=$I$3),$J$3,
IF(AND(F79&gt;=$H$4,F79&lt;=$I$4),$J$4,
IF(AND(F79&gt;=$H$5,F79&lt;=$I$5),$J$5,
IF(AND(F79&gt;=$H$6,F79&lt;=$I$6),$J$6,
IF(AND(F79&gt;=$H$7,F79&lt;=$I$7),$J$7,
IF(AND(F79&gt;=$H$8,F79&lt;=$I$8),$J$8,
IF(AND(F79&gt;=$H$9,F79&lt;=$I$9),$J$9,
IF(AND(F79&gt;=$H$10,F79&lt;=$I$10),$J$10,
IF(AND(F79&gt;=$H$11,F79&lt;=$I$11),$J$11))))))))))),
"")</f>
        <v/>
      </c>
    </row>
    <row r="80" spans="1:7" ht="18" x14ac:dyDescent="0.35">
      <c r="A80" s="30" t="str">
        <f>IF(NOT(ISBLANK(Curs!B84)),Curs!B84,"")</f>
        <v/>
      </c>
      <c r="B80" s="31" t="str">
        <f>IF(NOT(ISBLANK(Curs!C84)),Curs!C84,"")</f>
        <v/>
      </c>
      <c r="C80" s="10"/>
      <c r="D80" s="10"/>
      <c r="E80" s="10"/>
      <c r="F80" s="24" t="str">
        <f>IF(NOT(ISBLANK(Curs!C84)),
IF(Curs!AI84,"Eliberat",
ROUND(SUM(C80:E80),0)),
"")</f>
        <v/>
      </c>
      <c r="G80" s="23" t="str">
        <f>IF(NOT(ISBLANK(Curs!C84)),
IF(Curs!AI84,Curs!AI84,
IF(F80=0,"n/p",
IF(AND(F80&gt;=$H$3,F80&lt;=$I$3),$J$3,
IF(AND(F80&gt;=$H$4,F80&lt;=$I$4),$J$4,
IF(AND(F80&gt;=$H$5,F80&lt;=$I$5),$J$5,
IF(AND(F80&gt;=$H$6,F80&lt;=$I$6),$J$6,
IF(AND(F80&gt;=$H$7,F80&lt;=$I$7),$J$7,
IF(AND(F80&gt;=$H$8,F80&lt;=$I$8),$J$8,
IF(AND(F80&gt;=$H$9,F80&lt;=$I$9),$J$9,
IF(AND(F80&gt;=$H$10,F80&lt;=$I$10),$J$10,
IF(AND(F80&gt;=$H$11,F80&lt;=$I$11),$J$11))))))))))),
"")</f>
        <v/>
      </c>
    </row>
    <row r="81" spans="1:7" ht="18" x14ac:dyDescent="0.35">
      <c r="A81" s="30" t="str">
        <f>IF(NOT(ISBLANK(Curs!B85)),Curs!B85,"")</f>
        <v/>
      </c>
      <c r="B81" s="31" t="str">
        <f>IF(NOT(ISBLANK(Curs!C85)),Curs!C85,"")</f>
        <v/>
      </c>
      <c r="C81" s="10"/>
      <c r="D81" s="10"/>
      <c r="E81" s="10"/>
      <c r="F81" s="24" t="str">
        <f>IF(NOT(ISBLANK(Curs!C85)),
IF(Curs!AI85,"Eliberat",
ROUND(SUM(C81:E81),0)),
"")</f>
        <v/>
      </c>
      <c r="G81" s="23" t="str">
        <f>IF(NOT(ISBLANK(Curs!C85)),
IF(Curs!AI85,Curs!AI85,
IF(F81=0,"n/p",
IF(AND(F81&gt;=$H$3,F81&lt;=$I$3),$J$3,
IF(AND(F81&gt;=$H$4,F81&lt;=$I$4),$J$4,
IF(AND(F81&gt;=$H$5,F81&lt;=$I$5),$J$5,
IF(AND(F81&gt;=$H$6,F81&lt;=$I$6),$J$6,
IF(AND(F81&gt;=$H$7,F81&lt;=$I$7),$J$7,
IF(AND(F81&gt;=$H$8,F81&lt;=$I$8),$J$8,
IF(AND(F81&gt;=$H$9,F81&lt;=$I$9),$J$9,
IF(AND(F81&gt;=$H$10,F81&lt;=$I$10),$J$10,
IF(AND(F81&gt;=$H$11,F81&lt;=$I$11),$J$11))))))))))),
"")</f>
        <v/>
      </c>
    </row>
    <row r="82" spans="1:7" ht="18" x14ac:dyDescent="0.35">
      <c r="A82" s="30" t="str">
        <f>IF(NOT(ISBLANK(Curs!B86)),Curs!B86,"")</f>
        <v/>
      </c>
      <c r="B82" s="31" t="str">
        <f>IF(NOT(ISBLANK(Curs!C86)),Curs!C86,"")</f>
        <v/>
      </c>
      <c r="C82" s="10"/>
      <c r="D82" s="10"/>
      <c r="E82" s="10"/>
      <c r="F82" s="24" t="str">
        <f>IF(NOT(ISBLANK(Curs!C86)),
IF(Curs!AI86,"Eliberat",
ROUND(SUM(C82:E82),0)),
"")</f>
        <v/>
      </c>
      <c r="G82" s="23" t="str">
        <f>IF(NOT(ISBLANK(Curs!C86)),
IF(Curs!AI86,Curs!AI86,
IF(F82=0,"n/p",
IF(AND(F82&gt;=$H$3,F82&lt;=$I$3),$J$3,
IF(AND(F82&gt;=$H$4,F82&lt;=$I$4),$J$4,
IF(AND(F82&gt;=$H$5,F82&lt;=$I$5),$J$5,
IF(AND(F82&gt;=$H$6,F82&lt;=$I$6),$J$6,
IF(AND(F82&gt;=$H$7,F82&lt;=$I$7),$J$7,
IF(AND(F82&gt;=$H$8,F82&lt;=$I$8),$J$8,
IF(AND(F82&gt;=$H$9,F82&lt;=$I$9),$J$9,
IF(AND(F82&gt;=$H$10,F82&lt;=$I$10),$J$10,
IF(AND(F82&gt;=$H$11,F82&lt;=$I$11),$J$11))))))))))),
"")</f>
        <v/>
      </c>
    </row>
    <row r="83" spans="1:7" ht="18" x14ac:dyDescent="0.35">
      <c r="A83" s="30" t="str">
        <f>IF(NOT(ISBLANK(Curs!B87)),Curs!B87,"")</f>
        <v/>
      </c>
      <c r="B83" s="31" t="str">
        <f>IF(NOT(ISBLANK(Curs!C87)),Curs!C87,"")</f>
        <v/>
      </c>
      <c r="C83" s="10"/>
      <c r="D83" s="10"/>
      <c r="E83" s="10"/>
      <c r="F83" s="24" t="str">
        <f>IF(NOT(ISBLANK(Curs!C87)),
IF(Curs!AI87,"Eliberat",
ROUND(SUM(C83:E83),0)),
"")</f>
        <v/>
      </c>
      <c r="G83" s="23" t="str">
        <f>IF(NOT(ISBLANK(Curs!C87)),
IF(Curs!AI87,Curs!AI87,
IF(F83=0,"n/p",
IF(AND(F83&gt;=$H$3,F83&lt;=$I$3),$J$3,
IF(AND(F83&gt;=$H$4,F83&lt;=$I$4),$J$4,
IF(AND(F83&gt;=$H$5,F83&lt;=$I$5),$J$5,
IF(AND(F83&gt;=$H$6,F83&lt;=$I$6),$J$6,
IF(AND(F83&gt;=$H$7,F83&lt;=$I$7),$J$7,
IF(AND(F83&gt;=$H$8,F83&lt;=$I$8),$J$8,
IF(AND(F83&gt;=$H$9,F83&lt;=$I$9),$J$9,
IF(AND(F83&gt;=$H$10,F83&lt;=$I$10),$J$10,
IF(AND(F83&gt;=$H$11,F83&lt;=$I$11),$J$11))))))))))),
"")</f>
        <v/>
      </c>
    </row>
    <row r="84" spans="1:7" ht="18" x14ac:dyDescent="0.35">
      <c r="A84" s="30" t="str">
        <f>IF(NOT(ISBLANK(Curs!B88)),Curs!B88,"")</f>
        <v/>
      </c>
      <c r="B84" s="31" t="str">
        <f>IF(NOT(ISBLANK(Curs!C88)),Curs!C88,"")</f>
        <v/>
      </c>
      <c r="C84" s="10"/>
      <c r="D84" s="10"/>
      <c r="E84" s="10"/>
      <c r="F84" s="24" t="str">
        <f>IF(NOT(ISBLANK(Curs!C88)),
IF(Curs!AI88,"Eliberat",
ROUND(SUM(C84:E84),0)),
"")</f>
        <v/>
      </c>
      <c r="G84" s="23" t="str">
        <f>IF(NOT(ISBLANK(Curs!C88)),
IF(Curs!AI88,Curs!AI88,
IF(F84=0,"n/p",
IF(AND(F84&gt;=$H$3,F84&lt;=$I$3),$J$3,
IF(AND(F84&gt;=$H$4,F84&lt;=$I$4),$J$4,
IF(AND(F84&gt;=$H$5,F84&lt;=$I$5),$J$5,
IF(AND(F84&gt;=$H$6,F84&lt;=$I$6),$J$6,
IF(AND(F84&gt;=$H$7,F84&lt;=$I$7),$J$7,
IF(AND(F84&gt;=$H$8,F84&lt;=$I$8),$J$8,
IF(AND(F84&gt;=$H$9,F84&lt;=$I$9),$J$9,
IF(AND(F84&gt;=$H$10,F84&lt;=$I$10),$J$10,
IF(AND(F84&gt;=$H$11,F84&lt;=$I$11),$J$11))))))))))),
"")</f>
        <v/>
      </c>
    </row>
    <row r="85" spans="1:7" ht="18" x14ac:dyDescent="0.35">
      <c r="A85" s="30" t="str">
        <f>IF(NOT(ISBLANK(Curs!B89)),Curs!B89,"")</f>
        <v/>
      </c>
      <c r="B85" s="31" t="str">
        <f>IF(NOT(ISBLANK(Curs!C89)),Curs!C89,"")</f>
        <v/>
      </c>
      <c r="C85" s="10"/>
      <c r="D85" s="10"/>
      <c r="E85" s="10"/>
      <c r="F85" s="24" t="str">
        <f>IF(NOT(ISBLANK(Curs!C89)),
IF(Curs!AI89,"Eliberat",
ROUND(SUM(C85:E85),0)),
"")</f>
        <v/>
      </c>
      <c r="G85" s="23" t="str">
        <f>IF(NOT(ISBLANK(Curs!C89)),
IF(Curs!AI89,Curs!AI89,
IF(F85=0,"n/p",
IF(AND(F85&gt;=$H$3,F85&lt;=$I$3),$J$3,
IF(AND(F85&gt;=$H$4,F85&lt;=$I$4),$J$4,
IF(AND(F85&gt;=$H$5,F85&lt;=$I$5),$J$5,
IF(AND(F85&gt;=$H$6,F85&lt;=$I$6),$J$6,
IF(AND(F85&gt;=$H$7,F85&lt;=$I$7),$J$7,
IF(AND(F85&gt;=$H$8,F85&lt;=$I$8),$J$8,
IF(AND(F85&gt;=$H$9,F85&lt;=$I$9),$J$9,
IF(AND(F85&gt;=$H$10,F85&lt;=$I$10),$J$10,
IF(AND(F85&gt;=$H$11,F85&lt;=$I$11),$J$11))))))))))),
"")</f>
        <v/>
      </c>
    </row>
    <row r="86" spans="1:7" ht="18" x14ac:dyDescent="0.35">
      <c r="A86" s="30" t="str">
        <f>IF(NOT(ISBLANK(Curs!B90)),Curs!B90,"")</f>
        <v/>
      </c>
      <c r="B86" s="31" t="str">
        <f>IF(NOT(ISBLANK(Curs!C90)),Curs!C90,"")</f>
        <v/>
      </c>
      <c r="C86" s="10"/>
      <c r="D86" s="10"/>
      <c r="E86" s="10"/>
      <c r="F86" s="24" t="str">
        <f>IF(NOT(ISBLANK(Curs!C90)),
IF(Curs!AI90,"Eliberat",
ROUND(SUM(C86:E86),0)),
"")</f>
        <v/>
      </c>
      <c r="G86" s="23" t="str">
        <f>IF(NOT(ISBLANK(Curs!C90)),
IF(Curs!AI90,Curs!AI90,
IF(F86=0,"n/p",
IF(AND(F86&gt;=$H$3,F86&lt;=$I$3),$J$3,
IF(AND(F86&gt;=$H$4,F86&lt;=$I$4),$J$4,
IF(AND(F86&gt;=$H$5,F86&lt;=$I$5),$J$5,
IF(AND(F86&gt;=$H$6,F86&lt;=$I$6),$J$6,
IF(AND(F86&gt;=$H$7,F86&lt;=$I$7),$J$7,
IF(AND(F86&gt;=$H$8,F86&lt;=$I$8),$J$8,
IF(AND(F86&gt;=$H$9,F86&lt;=$I$9),$J$9,
IF(AND(F86&gt;=$H$10,F86&lt;=$I$10),$J$10,
IF(AND(F86&gt;=$H$11,F86&lt;=$I$11),$J$11))))))))))),
"")</f>
        <v/>
      </c>
    </row>
    <row r="87" spans="1:7" ht="18" x14ac:dyDescent="0.35">
      <c r="A87" s="30" t="str">
        <f>IF(NOT(ISBLANK(Curs!B91)),Curs!B91,"")</f>
        <v/>
      </c>
      <c r="B87" s="31" t="str">
        <f>IF(NOT(ISBLANK(Curs!C91)),Curs!C91,"")</f>
        <v/>
      </c>
      <c r="C87" s="10"/>
      <c r="D87" s="10"/>
      <c r="E87" s="10"/>
      <c r="F87" s="24" t="str">
        <f>IF(NOT(ISBLANK(Curs!C91)),
IF(Curs!AI91,"Eliberat",
ROUND(SUM(C87:E87),0)),
"")</f>
        <v/>
      </c>
      <c r="G87" s="23" t="str">
        <f>IF(NOT(ISBLANK(Curs!C91)),
IF(Curs!AI91,Curs!AI91,
IF(F87=0,"n/p",
IF(AND(F87&gt;=$H$3,F87&lt;=$I$3),$J$3,
IF(AND(F87&gt;=$H$4,F87&lt;=$I$4),$J$4,
IF(AND(F87&gt;=$H$5,F87&lt;=$I$5),$J$5,
IF(AND(F87&gt;=$H$6,F87&lt;=$I$6),$J$6,
IF(AND(F87&gt;=$H$7,F87&lt;=$I$7),$J$7,
IF(AND(F87&gt;=$H$8,F87&lt;=$I$8),$J$8,
IF(AND(F87&gt;=$H$9,F87&lt;=$I$9),$J$9,
IF(AND(F87&gt;=$H$10,F87&lt;=$I$10),$J$10,
IF(AND(F87&gt;=$H$11,F87&lt;=$I$11),$J$11))))))))))),
"")</f>
        <v/>
      </c>
    </row>
    <row r="88" spans="1:7" ht="18" x14ac:dyDescent="0.35">
      <c r="A88" s="30" t="str">
        <f>IF(NOT(ISBLANK(Curs!B92)),Curs!B92,"")</f>
        <v/>
      </c>
      <c r="B88" s="31" t="str">
        <f>IF(NOT(ISBLANK(Curs!C92)),Curs!C92,"")</f>
        <v/>
      </c>
      <c r="C88" s="10"/>
      <c r="D88" s="10"/>
      <c r="E88" s="10"/>
      <c r="F88" s="24" t="str">
        <f>IF(NOT(ISBLANK(Curs!C92)),
IF(Curs!AI92,"Eliberat",
ROUND(SUM(C88:E88),0)),
"")</f>
        <v/>
      </c>
      <c r="G88" s="23" t="str">
        <f>IF(NOT(ISBLANK(Curs!C92)),
IF(Curs!AI92,Curs!AI92,
IF(F88=0,"n/p",
IF(AND(F88&gt;=$H$3,F88&lt;=$I$3),$J$3,
IF(AND(F88&gt;=$H$4,F88&lt;=$I$4),$J$4,
IF(AND(F88&gt;=$H$5,F88&lt;=$I$5),$J$5,
IF(AND(F88&gt;=$H$6,F88&lt;=$I$6),$J$6,
IF(AND(F88&gt;=$H$7,F88&lt;=$I$7),$J$7,
IF(AND(F88&gt;=$H$8,F88&lt;=$I$8),$J$8,
IF(AND(F88&gt;=$H$9,F88&lt;=$I$9),$J$9,
IF(AND(F88&gt;=$H$10,F88&lt;=$I$10),$J$10,
IF(AND(F88&gt;=$H$11,F88&lt;=$I$11),$J$11))))))))))),
"")</f>
        <v/>
      </c>
    </row>
    <row r="89" spans="1:7" ht="18" x14ac:dyDescent="0.35">
      <c r="A89" s="30" t="str">
        <f>IF(NOT(ISBLANK(Curs!B93)),Curs!B93,"")</f>
        <v/>
      </c>
      <c r="B89" s="31" t="str">
        <f>IF(NOT(ISBLANK(Curs!C93)),Curs!C93,"")</f>
        <v/>
      </c>
      <c r="C89" s="10"/>
      <c r="D89" s="10"/>
      <c r="E89" s="10"/>
      <c r="F89" s="24" t="str">
        <f>IF(NOT(ISBLANK(Curs!C93)),
IF(Curs!AI93,"Eliberat",
ROUND(SUM(C89:E89),0)),
"")</f>
        <v/>
      </c>
      <c r="G89" s="23" t="str">
        <f>IF(NOT(ISBLANK(Curs!C93)),
IF(Curs!AI93,Curs!AI93,
IF(F89=0,"n/p",
IF(AND(F89&gt;=$H$3,F89&lt;=$I$3),$J$3,
IF(AND(F89&gt;=$H$4,F89&lt;=$I$4),$J$4,
IF(AND(F89&gt;=$H$5,F89&lt;=$I$5),$J$5,
IF(AND(F89&gt;=$H$6,F89&lt;=$I$6),$J$6,
IF(AND(F89&gt;=$H$7,F89&lt;=$I$7),$J$7,
IF(AND(F89&gt;=$H$8,F89&lt;=$I$8),$J$8,
IF(AND(F89&gt;=$H$9,F89&lt;=$I$9),$J$9,
IF(AND(F89&gt;=$H$10,F89&lt;=$I$10),$J$10,
IF(AND(F89&gt;=$H$11,F89&lt;=$I$11),$J$11))))))))))),
"")</f>
        <v/>
      </c>
    </row>
    <row r="90" spans="1:7" ht="18" x14ac:dyDescent="0.35">
      <c r="A90" s="30" t="str">
        <f>IF(NOT(ISBLANK(Curs!B94)),Curs!B94,"")</f>
        <v/>
      </c>
      <c r="B90" s="31" t="str">
        <f>IF(NOT(ISBLANK(Curs!C94)),Curs!C94,"")</f>
        <v/>
      </c>
      <c r="C90" s="10"/>
      <c r="D90" s="10"/>
      <c r="E90" s="10"/>
      <c r="F90" s="24" t="str">
        <f>IF(NOT(ISBLANK(Curs!C94)),
IF(Curs!AI94,"Eliberat",
ROUND(SUM(C90:E90),0)),
"")</f>
        <v/>
      </c>
      <c r="G90" s="23" t="str">
        <f>IF(NOT(ISBLANK(Curs!C94)),
IF(Curs!AI94,Curs!AI94,
IF(F90=0,"n/p",
IF(AND(F90&gt;=$H$3,F90&lt;=$I$3),$J$3,
IF(AND(F90&gt;=$H$4,F90&lt;=$I$4),$J$4,
IF(AND(F90&gt;=$H$5,F90&lt;=$I$5),$J$5,
IF(AND(F90&gt;=$H$6,F90&lt;=$I$6),$J$6,
IF(AND(F90&gt;=$H$7,F90&lt;=$I$7),$J$7,
IF(AND(F90&gt;=$H$8,F90&lt;=$I$8),$J$8,
IF(AND(F90&gt;=$H$9,F90&lt;=$I$9),$J$9,
IF(AND(F90&gt;=$H$10,F90&lt;=$I$10),$J$10,
IF(AND(F90&gt;=$H$11,F90&lt;=$I$11),$J$11))))))))))),
"")</f>
        <v/>
      </c>
    </row>
    <row r="91" spans="1:7" ht="18" x14ac:dyDescent="0.35">
      <c r="A91" s="30" t="str">
        <f>IF(NOT(ISBLANK(Curs!B95)),Curs!B95,"")</f>
        <v/>
      </c>
      <c r="B91" s="31" t="str">
        <f>IF(NOT(ISBLANK(Curs!C95)),Curs!C95,"")</f>
        <v/>
      </c>
      <c r="C91" s="10"/>
      <c r="D91" s="10"/>
      <c r="E91" s="10"/>
      <c r="F91" s="24" t="str">
        <f>IF(NOT(ISBLANK(Curs!C95)),
IF(Curs!AI95,"Eliberat",
ROUND(SUM(C91:E91),0)),
"")</f>
        <v/>
      </c>
      <c r="G91" s="23" t="str">
        <f>IF(NOT(ISBLANK(Curs!C95)),
IF(Curs!AI95,Curs!AI95,
IF(F91=0,"n/p",
IF(AND(F91&gt;=$H$3,F91&lt;=$I$3),$J$3,
IF(AND(F91&gt;=$H$4,F91&lt;=$I$4),$J$4,
IF(AND(F91&gt;=$H$5,F91&lt;=$I$5),$J$5,
IF(AND(F91&gt;=$H$6,F91&lt;=$I$6),$J$6,
IF(AND(F91&gt;=$H$7,F91&lt;=$I$7),$J$7,
IF(AND(F91&gt;=$H$8,F91&lt;=$I$8),$J$8,
IF(AND(F91&gt;=$H$9,F91&lt;=$I$9),$J$9,
IF(AND(F91&gt;=$H$10,F91&lt;=$I$10),$J$10,
IF(AND(F91&gt;=$H$11,F91&lt;=$I$11),$J$11))))))))))),
"")</f>
        <v/>
      </c>
    </row>
    <row r="92" spans="1:7" ht="18" x14ac:dyDescent="0.35">
      <c r="A92" s="30" t="str">
        <f>IF(NOT(ISBLANK(Curs!B96)),Curs!B96,"")</f>
        <v/>
      </c>
      <c r="B92" s="31" t="str">
        <f>IF(NOT(ISBLANK(Curs!C96)),Curs!C96,"")</f>
        <v/>
      </c>
      <c r="C92" s="10"/>
      <c r="D92" s="10"/>
      <c r="E92" s="10"/>
      <c r="F92" s="24" t="str">
        <f>IF(NOT(ISBLANK(Curs!C96)),
IF(Curs!AI96,"Eliberat",
ROUND(SUM(C92:E92),0)),
"")</f>
        <v/>
      </c>
      <c r="G92" s="23" t="str">
        <f>IF(NOT(ISBLANK(Curs!C96)),
IF(Curs!AI96,Curs!AI96,
IF(F92=0,"n/p",
IF(AND(F92&gt;=$H$3,F92&lt;=$I$3),$J$3,
IF(AND(F92&gt;=$H$4,F92&lt;=$I$4),$J$4,
IF(AND(F92&gt;=$H$5,F92&lt;=$I$5),$J$5,
IF(AND(F92&gt;=$H$6,F92&lt;=$I$6),$J$6,
IF(AND(F92&gt;=$H$7,F92&lt;=$I$7),$J$7,
IF(AND(F92&gt;=$H$8,F92&lt;=$I$8),$J$8,
IF(AND(F92&gt;=$H$9,F92&lt;=$I$9),$J$9,
IF(AND(F92&gt;=$H$10,F92&lt;=$I$10),$J$10,
IF(AND(F92&gt;=$H$11,F92&lt;=$I$11),$J$11))))))))))),
"")</f>
        <v/>
      </c>
    </row>
    <row r="93" spans="1:7" ht="18" x14ac:dyDescent="0.35">
      <c r="A93" s="30" t="str">
        <f>IF(NOT(ISBLANK(Curs!B97)),Curs!B97,"")</f>
        <v/>
      </c>
      <c r="B93" s="31" t="str">
        <f>IF(NOT(ISBLANK(Curs!C97)),Curs!C97,"")</f>
        <v/>
      </c>
      <c r="C93" s="10"/>
      <c r="D93" s="10"/>
      <c r="E93" s="10"/>
      <c r="F93" s="24" t="str">
        <f>IF(NOT(ISBLANK(Curs!C97)),
IF(Curs!AI97,"Eliberat",
ROUND(SUM(C93:E93),0)),
"")</f>
        <v/>
      </c>
      <c r="G93" s="23" t="str">
        <f>IF(NOT(ISBLANK(Curs!C97)),
IF(Curs!AI97,Curs!AI97,
IF(F93=0,"n/p",
IF(AND(F93&gt;=$H$3,F93&lt;=$I$3),$J$3,
IF(AND(F93&gt;=$H$4,F93&lt;=$I$4),$J$4,
IF(AND(F93&gt;=$H$5,F93&lt;=$I$5),$J$5,
IF(AND(F93&gt;=$H$6,F93&lt;=$I$6),$J$6,
IF(AND(F93&gt;=$H$7,F93&lt;=$I$7),$J$7,
IF(AND(F93&gt;=$H$8,F93&lt;=$I$8),$J$8,
IF(AND(F93&gt;=$H$9,F93&lt;=$I$9),$J$9,
IF(AND(F93&gt;=$H$10,F93&lt;=$I$10),$J$10,
IF(AND(F93&gt;=$H$11,F93&lt;=$I$11),$J$11))))))))))),
"")</f>
        <v/>
      </c>
    </row>
    <row r="94" spans="1:7" ht="18" x14ac:dyDescent="0.35">
      <c r="A94" s="30" t="str">
        <f>IF(NOT(ISBLANK(Curs!B98)),Curs!B98,"")</f>
        <v/>
      </c>
      <c r="B94" s="31" t="str">
        <f>IF(NOT(ISBLANK(Curs!C98)),Curs!C98,"")</f>
        <v/>
      </c>
      <c r="C94" s="10"/>
      <c r="D94" s="10"/>
      <c r="E94" s="10"/>
      <c r="F94" s="24" t="str">
        <f>IF(NOT(ISBLANK(Curs!C98)),
IF(Curs!AI98,"Eliberat",
ROUND(SUM(C94:E94),0)),
"")</f>
        <v/>
      </c>
      <c r="G94" s="23" t="str">
        <f>IF(NOT(ISBLANK(Curs!C98)),
IF(Curs!AI98,Curs!AI98,
IF(F94=0,"n/p",
IF(AND(F94&gt;=$H$3,F94&lt;=$I$3),$J$3,
IF(AND(F94&gt;=$H$4,F94&lt;=$I$4),$J$4,
IF(AND(F94&gt;=$H$5,F94&lt;=$I$5),$J$5,
IF(AND(F94&gt;=$H$6,F94&lt;=$I$6),$J$6,
IF(AND(F94&gt;=$H$7,F94&lt;=$I$7),$J$7,
IF(AND(F94&gt;=$H$8,F94&lt;=$I$8),$J$8,
IF(AND(F94&gt;=$H$9,F94&lt;=$I$9),$J$9,
IF(AND(F94&gt;=$H$10,F94&lt;=$I$10),$J$10,
IF(AND(F94&gt;=$H$11,F94&lt;=$I$11),$J$11))))))))))),
"")</f>
        <v/>
      </c>
    </row>
    <row r="95" spans="1:7" ht="18" x14ac:dyDescent="0.35">
      <c r="A95" s="30" t="str">
        <f>IF(NOT(ISBLANK(Curs!B99)),Curs!B99,"")</f>
        <v/>
      </c>
      <c r="B95" s="31" t="str">
        <f>IF(NOT(ISBLANK(Curs!C99)),Curs!C99,"")</f>
        <v/>
      </c>
      <c r="C95" s="10"/>
      <c r="D95" s="10"/>
      <c r="E95" s="10"/>
      <c r="F95" s="24" t="str">
        <f>IF(NOT(ISBLANK(Curs!C99)),
IF(Curs!AI99,"Eliberat",
ROUND(SUM(C95:E95),0)),
"")</f>
        <v/>
      </c>
      <c r="G95" s="23" t="str">
        <f>IF(NOT(ISBLANK(Curs!C99)),
IF(Curs!AI99,Curs!AI99,
IF(F95=0,"n/p",
IF(AND(F95&gt;=$H$3,F95&lt;=$I$3),$J$3,
IF(AND(F95&gt;=$H$4,F95&lt;=$I$4),$J$4,
IF(AND(F95&gt;=$H$5,F95&lt;=$I$5),$J$5,
IF(AND(F95&gt;=$H$6,F95&lt;=$I$6),$J$6,
IF(AND(F95&gt;=$H$7,F95&lt;=$I$7),$J$7,
IF(AND(F95&gt;=$H$8,F95&lt;=$I$8),$J$8,
IF(AND(F95&gt;=$H$9,F95&lt;=$I$9),$J$9,
IF(AND(F95&gt;=$H$10,F95&lt;=$I$10),$J$10,
IF(AND(F95&gt;=$H$11,F95&lt;=$I$11),$J$11))))))))))),
"")</f>
        <v/>
      </c>
    </row>
    <row r="96" spans="1:7" ht="18" x14ac:dyDescent="0.35">
      <c r="A96" s="30" t="str">
        <f>IF(NOT(ISBLANK(Curs!B100)),Curs!B100,"")</f>
        <v/>
      </c>
      <c r="B96" s="31" t="str">
        <f>IF(NOT(ISBLANK(Curs!C100)),Curs!C100,"")</f>
        <v/>
      </c>
      <c r="C96" s="10"/>
      <c r="D96" s="10"/>
      <c r="E96" s="10"/>
      <c r="F96" s="24" t="str">
        <f>IF(NOT(ISBLANK(Curs!C100)),
IF(Curs!AI100,"Eliberat",
ROUND(SUM(C96:E96),0)),
"")</f>
        <v/>
      </c>
      <c r="G96" s="23" t="str">
        <f>IF(NOT(ISBLANK(Curs!C100)),
IF(Curs!AI100,Curs!AI100,
IF(F96=0,"n/p",
IF(AND(F96&gt;=$H$3,F96&lt;=$I$3),$J$3,
IF(AND(F96&gt;=$H$4,F96&lt;=$I$4),$J$4,
IF(AND(F96&gt;=$H$5,F96&lt;=$I$5),$J$5,
IF(AND(F96&gt;=$H$6,F96&lt;=$I$6),$J$6,
IF(AND(F96&gt;=$H$7,F96&lt;=$I$7),$J$7,
IF(AND(F96&gt;=$H$8,F96&lt;=$I$8),$J$8,
IF(AND(F96&gt;=$H$9,F96&lt;=$I$9),$J$9,
IF(AND(F96&gt;=$H$10,F96&lt;=$I$10),$J$10,
IF(AND(F96&gt;=$H$11,F96&lt;=$I$11),$J$11))))))))))),
"")</f>
        <v/>
      </c>
    </row>
    <row r="97" spans="1:7" ht="18" x14ac:dyDescent="0.35">
      <c r="A97" s="30" t="str">
        <f>IF(NOT(ISBLANK(Curs!B101)),Curs!B101,"")</f>
        <v/>
      </c>
      <c r="B97" s="31" t="str">
        <f>IF(NOT(ISBLANK(Curs!C101)),Curs!C101,"")</f>
        <v/>
      </c>
      <c r="C97" s="10"/>
      <c r="D97" s="10"/>
      <c r="E97" s="10"/>
      <c r="F97" s="24" t="str">
        <f>IF(NOT(ISBLANK(Curs!C101)),
IF(Curs!AI101,"Eliberat",
ROUND(SUM(C97:E97),0)),
"")</f>
        <v/>
      </c>
      <c r="G97" s="23" t="str">
        <f>IF(NOT(ISBLANK(Curs!C101)),
IF(Curs!AI101,Curs!AI101,
IF(F97=0,"n/p",
IF(AND(F97&gt;=$H$3,F97&lt;=$I$3),$J$3,
IF(AND(F97&gt;=$H$4,F97&lt;=$I$4),$J$4,
IF(AND(F97&gt;=$H$5,F97&lt;=$I$5),$J$5,
IF(AND(F97&gt;=$H$6,F97&lt;=$I$6),$J$6,
IF(AND(F97&gt;=$H$7,F97&lt;=$I$7),$J$7,
IF(AND(F97&gt;=$H$8,F97&lt;=$I$8),$J$8,
IF(AND(F97&gt;=$H$9,F97&lt;=$I$9),$J$9,
IF(AND(F97&gt;=$H$10,F97&lt;=$I$10),$J$10,
IF(AND(F97&gt;=$H$11,F97&lt;=$I$11),$J$11))))))))))),
"")</f>
        <v/>
      </c>
    </row>
    <row r="98" spans="1:7" ht="18" x14ac:dyDescent="0.35">
      <c r="A98" s="30" t="str">
        <f>IF(NOT(ISBLANK(Curs!B102)),Curs!B102,"")</f>
        <v/>
      </c>
      <c r="B98" s="31" t="str">
        <f>IF(NOT(ISBLANK(Curs!C102)),Curs!C102,"")</f>
        <v/>
      </c>
      <c r="C98" s="10"/>
      <c r="D98" s="10"/>
      <c r="E98" s="10"/>
      <c r="F98" s="24" t="str">
        <f>IF(NOT(ISBLANK(Curs!C102)),
IF(Curs!AI102,"Eliberat",
ROUND(SUM(C98:E98),0)),
"")</f>
        <v/>
      </c>
      <c r="G98" s="23" t="str">
        <f>IF(NOT(ISBLANK(Curs!C102)),
IF(Curs!AI102,Curs!AI102,
IF(F98=0,"n/p",
IF(AND(F98&gt;=$H$3,F98&lt;=$I$3),$J$3,
IF(AND(F98&gt;=$H$4,F98&lt;=$I$4),$J$4,
IF(AND(F98&gt;=$H$5,F98&lt;=$I$5),$J$5,
IF(AND(F98&gt;=$H$6,F98&lt;=$I$6),$J$6,
IF(AND(F98&gt;=$H$7,F98&lt;=$I$7),$J$7,
IF(AND(F98&gt;=$H$8,F98&lt;=$I$8),$J$8,
IF(AND(F98&gt;=$H$9,F98&lt;=$I$9),$J$9,
IF(AND(F98&gt;=$H$10,F98&lt;=$I$10),$J$10,
IF(AND(F98&gt;=$H$11,F98&lt;=$I$11),$J$11))))))))))),
"")</f>
        <v/>
      </c>
    </row>
    <row r="99" spans="1:7" ht="18" x14ac:dyDescent="0.35">
      <c r="A99" s="30" t="str">
        <f>IF(NOT(ISBLANK(Curs!B103)),Curs!B103,"")</f>
        <v/>
      </c>
      <c r="B99" s="31" t="str">
        <f>IF(NOT(ISBLANK(Curs!C103)),Curs!C103,"")</f>
        <v/>
      </c>
      <c r="C99" s="10"/>
      <c r="D99" s="10"/>
      <c r="E99" s="10"/>
      <c r="F99" s="24" t="str">
        <f>IF(NOT(ISBLANK(Curs!C103)),
IF(Curs!AI103,"Eliberat",
ROUND(SUM(C99:E99),0)),
"")</f>
        <v/>
      </c>
      <c r="G99" s="23" t="str">
        <f>IF(NOT(ISBLANK(Curs!C103)),
IF(Curs!AI103,Curs!AI103,
IF(F99=0,"n/p",
IF(AND(F99&gt;=$H$3,F99&lt;=$I$3),$J$3,
IF(AND(F99&gt;=$H$4,F99&lt;=$I$4),$J$4,
IF(AND(F99&gt;=$H$5,F99&lt;=$I$5),$J$5,
IF(AND(F99&gt;=$H$6,F99&lt;=$I$6),$J$6,
IF(AND(F99&gt;=$H$7,F99&lt;=$I$7),$J$7,
IF(AND(F99&gt;=$H$8,F99&lt;=$I$8),$J$8,
IF(AND(F99&gt;=$H$9,F99&lt;=$I$9),$J$9,
IF(AND(F99&gt;=$H$10,F99&lt;=$I$10),$J$10,
IF(AND(F99&gt;=$H$11,F99&lt;=$I$11),$J$11))))))))))),
"")</f>
        <v/>
      </c>
    </row>
    <row r="100" spans="1:7" ht="18" x14ac:dyDescent="0.35">
      <c r="A100" s="30" t="str">
        <f>IF(NOT(ISBLANK(Curs!B104)),Curs!B104,"")</f>
        <v/>
      </c>
      <c r="B100" s="31" t="str">
        <f>IF(NOT(ISBLANK(Curs!C104)),Curs!C104,"")</f>
        <v/>
      </c>
      <c r="C100" s="10"/>
      <c r="D100" s="10"/>
      <c r="E100" s="10"/>
      <c r="F100" s="24" t="str">
        <f>IF(NOT(ISBLANK(Curs!C104)),
IF(Curs!AI104,"Eliberat",
ROUND(SUM(C100:E100),0)),
"")</f>
        <v/>
      </c>
      <c r="G100" s="23" t="str">
        <f>IF(NOT(ISBLANK(Curs!C104)),
IF(Curs!AI104,Curs!AI104,
IF(F100=0,"n/p",
IF(AND(F100&gt;=$H$3,F100&lt;=$I$3),$J$3,
IF(AND(F100&gt;=$H$4,F100&lt;=$I$4),$J$4,
IF(AND(F100&gt;=$H$5,F100&lt;=$I$5),$J$5,
IF(AND(F100&gt;=$H$6,F100&lt;=$I$6),$J$6,
IF(AND(F100&gt;=$H$7,F100&lt;=$I$7),$J$7,
IF(AND(F100&gt;=$H$8,F100&lt;=$I$8),$J$8,
IF(AND(F100&gt;=$H$9,F100&lt;=$I$9),$J$9,
IF(AND(F100&gt;=$H$10,F100&lt;=$I$10),$J$10,
IF(AND(F100&gt;=$H$11,F100&lt;=$I$11),$J$11))))))))))),
"")</f>
        <v/>
      </c>
    </row>
    <row r="101" spans="1:7" ht="18" x14ac:dyDescent="0.35">
      <c r="A101" s="30" t="str">
        <f>IF(NOT(ISBLANK(Curs!B105)),Curs!B105,"")</f>
        <v/>
      </c>
      <c r="B101" s="31" t="str">
        <f>IF(NOT(ISBLANK(Curs!C105)),Curs!C105,"")</f>
        <v/>
      </c>
      <c r="C101" s="10"/>
      <c r="D101" s="10"/>
      <c r="E101" s="10"/>
      <c r="F101" s="24" t="str">
        <f>IF(NOT(ISBLANK(Curs!C105)),
IF(Curs!AI105,"Eliberat",
ROUND(SUM(C101:E101),0)),
"")</f>
        <v/>
      </c>
      <c r="G101" s="23" t="str">
        <f>IF(NOT(ISBLANK(Curs!C105)),
IF(Curs!AI105,Curs!AI105,
IF(F101=0,"n/p",
IF(AND(F101&gt;=$H$3,F101&lt;=$I$3),$J$3,
IF(AND(F101&gt;=$H$4,F101&lt;=$I$4),$J$4,
IF(AND(F101&gt;=$H$5,F101&lt;=$I$5),$J$5,
IF(AND(F101&gt;=$H$6,F101&lt;=$I$6),$J$6,
IF(AND(F101&gt;=$H$7,F101&lt;=$I$7),$J$7,
IF(AND(F101&gt;=$H$8,F101&lt;=$I$8),$J$8,
IF(AND(F101&gt;=$H$9,F101&lt;=$I$9),$J$9,
IF(AND(F101&gt;=$H$10,F101&lt;=$I$10),$J$10,
IF(AND(F101&gt;=$H$11,F101&lt;=$I$11),$J$11))))))))))),
"")</f>
        <v/>
      </c>
    </row>
  </sheetData>
  <mergeCells count="1">
    <mergeCell ref="K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Curs</vt:lpstr>
      <vt:lpstr>Atest. Nr.1</vt:lpstr>
      <vt:lpstr>Atest. Nr.2</vt:lpstr>
      <vt:lpstr>Examen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Electron-UTM</dc:creator>
  <cp:lastModifiedBy>Sanduleac Ionel</cp:lastModifiedBy>
  <dcterms:created xsi:type="dcterms:W3CDTF">2022-01-22T14:35:18Z</dcterms:created>
  <dcterms:modified xsi:type="dcterms:W3CDTF">2024-02-26T15:23:08Z</dcterms:modified>
</cp:coreProperties>
</file>