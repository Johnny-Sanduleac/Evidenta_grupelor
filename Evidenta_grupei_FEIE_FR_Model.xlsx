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defaultThemeVersion="166925"/>
  <mc:AlternateContent xmlns:mc="http://schemas.openxmlformats.org/markup-compatibility/2006">
    <mc:Choice Requires="x15">
      <x15ac:absPath xmlns:x15ac="http://schemas.microsoft.com/office/spreadsheetml/2010/11/ac" url="E:\Activitatea Didactica\Metodica\Excel_registru_electronic\Originale\"/>
    </mc:Choice>
  </mc:AlternateContent>
  <xr:revisionPtr revIDLastSave="0" documentId="13_ncr:1_{39D188E3-81C1-4EBD-BF16-5B4C8981EF8E}" xr6:coauthVersionLast="47" xr6:coauthVersionMax="47" xr10:uidLastSave="{00000000-0000-0000-0000-000000000000}"/>
  <bookViews>
    <workbookView xWindow="-108" yWindow="-108" windowWidth="23256" windowHeight="12576" tabRatio="759" xr2:uid="{00000000-000D-0000-FFFF-FFFF00000000}"/>
  </bookViews>
  <sheets>
    <sheet name="Curs, Seminar" sheetId="1" r:id="rId1"/>
    <sheet name="Ev. Curentă" sheetId="14" r:id="rId2"/>
    <sheet name="L. Indiv." sheetId="10" r:id="rId3"/>
    <sheet name="Examen" sheetId="4" r:id="rId4"/>
    <sheet name="ReExaminare" sheetId="16" r:id="rId5"/>
    <sheet name="Registru_Curs" sheetId="11" r:id="rId6"/>
    <sheet name="Registru_Seminar" sheetId="15"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6" i="1" l="1"/>
  <c r="AD7" i="1"/>
  <c r="AA6" i="1"/>
  <c r="AB6" i="1"/>
  <c r="B7" i="1"/>
  <c r="R7" i="1"/>
  <c r="W7" i="1"/>
  <c r="B8" i="1"/>
  <c r="R8" i="1"/>
  <c r="W8" i="1"/>
  <c r="B9" i="1"/>
  <c r="W9" i="1" s="1"/>
  <c r="R9" i="1"/>
  <c r="B10" i="1"/>
  <c r="W10" i="1" s="1"/>
  <c r="R10" i="1"/>
  <c r="B11" i="1"/>
  <c r="R11" i="1"/>
  <c r="W11" i="1"/>
  <c r="B12" i="1"/>
  <c r="R12" i="1"/>
  <c r="W12" i="1"/>
  <c r="B13" i="1"/>
  <c r="W13" i="1" s="1"/>
  <c r="R13" i="1"/>
  <c r="B14" i="1"/>
  <c r="W14" i="1" s="1"/>
  <c r="R14" i="1"/>
  <c r="B15" i="1"/>
  <c r="R15" i="1"/>
  <c r="W15" i="1"/>
  <c r="B16" i="1"/>
  <c r="R16" i="1"/>
  <c r="W16" i="1"/>
  <c r="B17" i="1"/>
  <c r="W17" i="1" s="1"/>
  <c r="R17" i="1"/>
  <c r="B18" i="1"/>
  <c r="W18" i="1" s="1"/>
  <c r="R18" i="1"/>
  <c r="B19" i="1"/>
  <c r="R19" i="1"/>
  <c r="W19" i="1"/>
  <c r="B20" i="1"/>
  <c r="R20" i="1"/>
  <c r="W20" i="1"/>
  <c r="B21" i="1"/>
  <c r="W21" i="1" s="1"/>
  <c r="R21" i="1"/>
  <c r="B22" i="1"/>
  <c r="W22" i="1" s="1"/>
  <c r="R22" i="1"/>
  <c r="B23" i="1"/>
  <c r="R23" i="1"/>
  <c r="W23" i="1"/>
  <c r="B24" i="1"/>
  <c r="R24" i="1"/>
  <c r="W24" i="1"/>
  <c r="B25" i="1"/>
  <c r="W25" i="1" s="1"/>
  <c r="R25" i="1"/>
  <c r="B26" i="1"/>
  <c r="R26" i="1"/>
  <c r="W26" i="1"/>
  <c r="B27" i="1"/>
  <c r="R27" i="1"/>
  <c r="W27" i="1"/>
  <c r="B28" i="1"/>
  <c r="W28" i="1" s="1"/>
  <c r="R28" i="1"/>
  <c r="B29" i="1"/>
  <c r="W29" i="1" s="1"/>
  <c r="R29" i="1"/>
  <c r="B30" i="1"/>
  <c r="R30" i="1"/>
  <c r="W30" i="1"/>
  <c r="B31" i="1"/>
  <c r="W31" i="1" s="1"/>
  <c r="R31" i="1"/>
  <c r="B32" i="1"/>
  <c r="W32" i="1" s="1"/>
  <c r="R32" i="1"/>
  <c r="B33" i="1"/>
  <c r="W33" i="1" s="1"/>
  <c r="R33" i="1"/>
  <c r="B34" i="1"/>
  <c r="W34" i="1" s="1"/>
  <c r="R34" i="1"/>
  <c r="B35" i="1"/>
  <c r="W35" i="1" s="1"/>
  <c r="R35" i="1"/>
  <c r="B36" i="1"/>
  <c r="R36" i="1"/>
  <c r="W36" i="1"/>
  <c r="B37" i="1"/>
  <c r="R37" i="1"/>
  <c r="W37" i="1"/>
  <c r="B38" i="1"/>
  <c r="W38" i="1" s="1"/>
  <c r="R38" i="1"/>
  <c r="B39" i="1"/>
  <c r="W39" i="1" s="1"/>
  <c r="R39" i="1"/>
  <c r="B40" i="1"/>
  <c r="R40" i="1"/>
  <c r="W40" i="1"/>
  <c r="B41" i="1"/>
  <c r="R41" i="1"/>
  <c r="W41" i="1"/>
  <c r="B42" i="1"/>
  <c r="W42" i="1" s="1"/>
  <c r="R42" i="1"/>
  <c r="B43" i="1"/>
  <c r="W43" i="1" s="1"/>
  <c r="R43" i="1"/>
  <c r="B44" i="1"/>
  <c r="R44" i="1"/>
  <c r="W44" i="1"/>
  <c r="B45" i="1"/>
  <c r="R45" i="1"/>
  <c r="W45" i="1"/>
  <c r="B46" i="1"/>
  <c r="W46" i="1" s="1"/>
  <c r="R46" i="1"/>
  <c r="B47" i="1"/>
  <c r="W47" i="1" s="1"/>
  <c r="R47" i="1"/>
  <c r="B48" i="1"/>
  <c r="R48" i="1"/>
  <c r="W48" i="1"/>
  <c r="B49" i="1"/>
  <c r="R49" i="1"/>
  <c r="W49" i="1"/>
  <c r="B50" i="1"/>
  <c r="W50" i="1" s="1"/>
  <c r="R50" i="1"/>
  <c r="B51" i="1"/>
  <c r="W51" i="1" s="1"/>
  <c r="R51" i="1"/>
  <c r="B52" i="1"/>
  <c r="W52" i="1" s="1"/>
  <c r="R52" i="1"/>
  <c r="B53" i="1"/>
  <c r="W53" i="1" s="1"/>
  <c r="R53" i="1"/>
  <c r="B54" i="1"/>
  <c r="W54" i="1" s="1"/>
  <c r="R54" i="1"/>
  <c r="B55" i="1"/>
  <c r="R55" i="1"/>
  <c r="W55" i="1"/>
  <c r="B56" i="1"/>
  <c r="W56" i="1" s="1"/>
  <c r="R56" i="1"/>
  <c r="B57" i="1"/>
  <c r="R57" i="1"/>
  <c r="W57" i="1"/>
  <c r="B58" i="1"/>
  <c r="W58" i="1" s="1"/>
  <c r="R58" i="1"/>
  <c r="B59" i="1"/>
  <c r="W59" i="1" s="1"/>
  <c r="R59" i="1"/>
  <c r="B60" i="1"/>
  <c r="W60" i="1" s="1"/>
  <c r="R60" i="1"/>
  <c r="B61" i="1"/>
  <c r="W61" i="1" s="1"/>
  <c r="R61" i="1"/>
  <c r="B62" i="1"/>
  <c r="W62" i="1" s="1"/>
  <c r="R62" i="1"/>
  <c r="B63" i="1"/>
  <c r="W63" i="1" s="1"/>
  <c r="R63" i="1"/>
  <c r="B64" i="1"/>
  <c r="W64" i="1" s="1"/>
  <c r="R64" i="1"/>
  <c r="B65" i="1"/>
  <c r="R65" i="1"/>
  <c r="W65" i="1"/>
  <c r="B66" i="1"/>
  <c r="W66" i="1" s="1"/>
  <c r="R66" i="1"/>
  <c r="B67" i="1"/>
  <c r="W67" i="1" s="1"/>
  <c r="R67" i="1"/>
  <c r="B68" i="1"/>
  <c r="W68" i="1" s="1"/>
  <c r="R68" i="1"/>
  <c r="B69" i="1"/>
  <c r="R69" i="1"/>
  <c r="W69" i="1"/>
  <c r="B70" i="1"/>
  <c r="W70" i="1" s="1"/>
  <c r="R70" i="1"/>
  <c r="B71" i="1"/>
  <c r="W71" i="1" s="1"/>
  <c r="R71" i="1"/>
  <c r="B72" i="1"/>
  <c r="W72" i="1" s="1"/>
  <c r="R72" i="1"/>
  <c r="B73" i="1"/>
  <c r="W73" i="1" s="1"/>
  <c r="R73" i="1"/>
  <c r="B74" i="1"/>
  <c r="W74" i="1" s="1"/>
  <c r="R74" i="1"/>
  <c r="B75" i="1"/>
  <c r="W75" i="1" s="1"/>
  <c r="R75" i="1"/>
  <c r="B76" i="1"/>
  <c r="W76" i="1" s="1"/>
  <c r="R76" i="1"/>
  <c r="B77" i="1"/>
  <c r="W77" i="1" s="1"/>
  <c r="R77" i="1"/>
  <c r="B78" i="1"/>
  <c r="W78" i="1" s="1"/>
  <c r="R78" i="1"/>
  <c r="B79" i="1"/>
  <c r="W79" i="1" s="1"/>
  <c r="R79" i="1"/>
  <c r="B80" i="1"/>
  <c r="W80" i="1" s="1"/>
  <c r="R80" i="1"/>
  <c r="B81" i="1"/>
  <c r="W81" i="1" s="1"/>
  <c r="R81" i="1"/>
  <c r="B82" i="1"/>
  <c r="W82" i="1" s="1"/>
  <c r="R82" i="1"/>
  <c r="B83" i="1"/>
  <c r="W83" i="1" s="1"/>
  <c r="R83" i="1"/>
  <c r="B84" i="1"/>
  <c r="W84" i="1" s="1"/>
  <c r="R84" i="1"/>
  <c r="B85" i="1"/>
  <c r="W85" i="1" s="1"/>
  <c r="R85" i="1"/>
  <c r="B86" i="1"/>
  <c r="R86" i="1"/>
  <c r="W86" i="1"/>
  <c r="B87" i="1"/>
  <c r="W87" i="1" s="1"/>
  <c r="R87" i="1"/>
  <c r="B88" i="1"/>
  <c r="W88" i="1" s="1"/>
  <c r="R88" i="1"/>
  <c r="B89" i="1"/>
  <c r="R89" i="1"/>
  <c r="W89" i="1"/>
  <c r="B90" i="1"/>
  <c r="R90" i="1"/>
  <c r="W90" i="1"/>
  <c r="B91" i="1"/>
  <c r="W91" i="1" s="1"/>
  <c r="R91" i="1"/>
  <c r="B92" i="1"/>
  <c r="W92" i="1" s="1"/>
  <c r="R92" i="1"/>
  <c r="B93" i="1"/>
  <c r="R93" i="1"/>
  <c r="W93" i="1"/>
  <c r="B94" i="1"/>
  <c r="R94" i="1"/>
  <c r="W94" i="1"/>
  <c r="B95" i="1"/>
  <c r="W95" i="1" s="1"/>
  <c r="R95" i="1"/>
  <c r="B96" i="1"/>
  <c r="W96" i="1" s="1"/>
  <c r="R96" i="1"/>
  <c r="B97" i="1"/>
  <c r="R97" i="1"/>
  <c r="W97" i="1"/>
  <c r="B98" i="1"/>
  <c r="R98" i="1"/>
  <c r="W98" i="1"/>
  <c r="B99" i="1"/>
  <c r="W99" i="1" s="1"/>
  <c r="R99" i="1"/>
  <c r="B100" i="1"/>
  <c r="W100" i="1" s="1"/>
  <c r="R100" i="1"/>
  <c r="B101" i="1"/>
  <c r="R101" i="1"/>
  <c r="W101" i="1"/>
  <c r="B102" i="1"/>
  <c r="R102" i="1"/>
  <c r="W102" i="1"/>
  <c r="B103" i="1"/>
  <c r="W103" i="1" s="1"/>
  <c r="R103" i="1"/>
  <c r="B104" i="1"/>
  <c r="W104" i="1" s="1"/>
  <c r="R104" i="1"/>
  <c r="B105" i="1"/>
  <c r="R105" i="1"/>
  <c r="W105" i="1"/>
  <c r="H5" i="11"/>
  <c r="F101" i="16"/>
  <c r="G101" i="16" s="1"/>
  <c r="V105" i="1" s="1"/>
  <c r="B101" i="16"/>
  <c r="F100" i="16"/>
  <c r="G100" i="16" s="1"/>
  <c r="V104" i="1" s="1"/>
  <c r="B100" i="16"/>
  <c r="F99" i="16"/>
  <c r="G99" i="16" s="1"/>
  <c r="V103" i="1" s="1"/>
  <c r="B99" i="16"/>
  <c r="F98" i="16"/>
  <c r="G98" i="16" s="1"/>
  <c r="V102" i="1" s="1"/>
  <c r="B98" i="16"/>
  <c r="G97" i="16"/>
  <c r="V101" i="1" s="1"/>
  <c r="F97" i="16"/>
  <c r="B97" i="16"/>
  <c r="F96" i="16"/>
  <c r="G96" i="16" s="1"/>
  <c r="V100" i="1" s="1"/>
  <c r="B96" i="16"/>
  <c r="F95" i="16"/>
  <c r="G95" i="16" s="1"/>
  <c r="V99" i="1" s="1"/>
  <c r="B95" i="16"/>
  <c r="F94" i="16"/>
  <c r="G94" i="16" s="1"/>
  <c r="V98" i="1" s="1"/>
  <c r="B94" i="16"/>
  <c r="F93" i="16"/>
  <c r="G93" i="16" s="1"/>
  <c r="V97" i="1" s="1"/>
  <c r="B93" i="16"/>
  <c r="F92" i="16"/>
  <c r="G92" i="16" s="1"/>
  <c r="V96" i="1" s="1"/>
  <c r="B92" i="16"/>
  <c r="G91" i="16"/>
  <c r="V95" i="1" s="1"/>
  <c r="F91" i="16"/>
  <c r="B91" i="16"/>
  <c r="F90" i="16"/>
  <c r="G90" i="16" s="1"/>
  <c r="V94" i="1" s="1"/>
  <c r="B90" i="16"/>
  <c r="F89" i="16"/>
  <c r="G89" i="16" s="1"/>
  <c r="V93" i="1" s="1"/>
  <c r="B89" i="16"/>
  <c r="F88" i="16"/>
  <c r="G88" i="16" s="1"/>
  <c r="V92" i="1" s="1"/>
  <c r="B88" i="16"/>
  <c r="F87" i="16"/>
  <c r="G87" i="16" s="1"/>
  <c r="V91" i="1" s="1"/>
  <c r="B87" i="16"/>
  <c r="F86" i="16"/>
  <c r="G86" i="16" s="1"/>
  <c r="V90" i="1" s="1"/>
  <c r="B86" i="16"/>
  <c r="F85" i="16"/>
  <c r="G85" i="16" s="1"/>
  <c r="V89" i="1" s="1"/>
  <c r="B85" i="16"/>
  <c r="F84" i="16"/>
  <c r="G84" i="16" s="1"/>
  <c r="V88" i="1" s="1"/>
  <c r="B84" i="16"/>
  <c r="F83" i="16"/>
  <c r="G83" i="16" s="1"/>
  <c r="V87" i="1" s="1"/>
  <c r="B83" i="16"/>
  <c r="F82" i="16"/>
  <c r="G82" i="16" s="1"/>
  <c r="V86" i="1" s="1"/>
  <c r="B82" i="16"/>
  <c r="F81" i="16"/>
  <c r="G81" i="16" s="1"/>
  <c r="V85" i="1" s="1"/>
  <c r="B81" i="16"/>
  <c r="F80" i="16"/>
  <c r="G80" i="16" s="1"/>
  <c r="V84" i="1" s="1"/>
  <c r="B80" i="16"/>
  <c r="F79" i="16"/>
  <c r="G79" i="16" s="1"/>
  <c r="V83" i="1" s="1"/>
  <c r="B79" i="16"/>
  <c r="G78" i="16"/>
  <c r="V82" i="1" s="1"/>
  <c r="F78" i="16"/>
  <c r="B78" i="16"/>
  <c r="F77" i="16"/>
  <c r="G77" i="16" s="1"/>
  <c r="V81" i="1" s="1"/>
  <c r="B77" i="16"/>
  <c r="F76" i="16"/>
  <c r="G76" i="16" s="1"/>
  <c r="V80" i="1" s="1"/>
  <c r="B76" i="16"/>
  <c r="F75" i="16"/>
  <c r="G75" i="16" s="1"/>
  <c r="V79" i="1" s="1"/>
  <c r="B75" i="16"/>
  <c r="F74" i="16"/>
  <c r="G74" i="16" s="1"/>
  <c r="V78" i="1" s="1"/>
  <c r="B74" i="16"/>
  <c r="F73" i="16"/>
  <c r="G73" i="16" s="1"/>
  <c r="V77" i="1" s="1"/>
  <c r="B73" i="16"/>
  <c r="F72" i="16"/>
  <c r="G72" i="16" s="1"/>
  <c r="V76" i="1" s="1"/>
  <c r="B72" i="16"/>
  <c r="F71" i="16"/>
  <c r="G71" i="16" s="1"/>
  <c r="V75" i="1" s="1"/>
  <c r="B71" i="16"/>
  <c r="F70" i="16"/>
  <c r="G70" i="16" s="1"/>
  <c r="V74" i="1" s="1"/>
  <c r="B70" i="16"/>
  <c r="F69" i="16"/>
  <c r="G69" i="16" s="1"/>
  <c r="V73" i="1" s="1"/>
  <c r="B69" i="16"/>
  <c r="F68" i="16"/>
  <c r="G68" i="16" s="1"/>
  <c r="V72" i="1" s="1"/>
  <c r="B68" i="16"/>
  <c r="F67" i="16"/>
  <c r="G67" i="16" s="1"/>
  <c r="V71" i="1" s="1"/>
  <c r="B67" i="16"/>
  <c r="G66" i="16"/>
  <c r="V70" i="1" s="1"/>
  <c r="F66" i="16"/>
  <c r="B66" i="16"/>
  <c r="F65" i="16"/>
  <c r="G65" i="16" s="1"/>
  <c r="V69" i="1" s="1"/>
  <c r="B65" i="16"/>
  <c r="F64" i="16"/>
  <c r="G64" i="16" s="1"/>
  <c r="V68" i="1" s="1"/>
  <c r="B64" i="16"/>
  <c r="F63" i="16"/>
  <c r="G63" i="16" s="1"/>
  <c r="V67" i="1" s="1"/>
  <c r="B63" i="16"/>
  <c r="F62" i="16"/>
  <c r="G62" i="16" s="1"/>
  <c r="V66" i="1" s="1"/>
  <c r="B62" i="16"/>
  <c r="F61" i="16"/>
  <c r="G61" i="16" s="1"/>
  <c r="V65" i="1" s="1"/>
  <c r="B61" i="16"/>
  <c r="F60" i="16"/>
  <c r="G60" i="16" s="1"/>
  <c r="V64" i="1" s="1"/>
  <c r="B60" i="16"/>
  <c r="F59" i="16"/>
  <c r="G59" i="16" s="1"/>
  <c r="V63" i="1" s="1"/>
  <c r="B59" i="16"/>
  <c r="F58" i="16"/>
  <c r="G58" i="16" s="1"/>
  <c r="V62" i="1" s="1"/>
  <c r="B58" i="16"/>
  <c r="F57" i="16"/>
  <c r="G57" i="16" s="1"/>
  <c r="V61" i="1" s="1"/>
  <c r="B57" i="16"/>
  <c r="F56" i="16"/>
  <c r="G56" i="16" s="1"/>
  <c r="V60" i="1" s="1"/>
  <c r="B56" i="16"/>
  <c r="F55" i="16"/>
  <c r="G55" i="16" s="1"/>
  <c r="V59" i="1" s="1"/>
  <c r="B55" i="16"/>
  <c r="F54" i="16"/>
  <c r="G54" i="16" s="1"/>
  <c r="V58" i="1" s="1"/>
  <c r="B54" i="16"/>
  <c r="F53" i="16"/>
  <c r="G53" i="16" s="1"/>
  <c r="V57" i="1" s="1"/>
  <c r="B53" i="16"/>
  <c r="F52" i="16"/>
  <c r="G52" i="16" s="1"/>
  <c r="V56" i="1" s="1"/>
  <c r="B52" i="16"/>
  <c r="F51" i="16"/>
  <c r="G51" i="16" s="1"/>
  <c r="V55" i="1" s="1"/>
  <c r="B51" i="16"/>
  <c r="G50" i="16"/>
  <c r="V54" i="1" s="1"/>
  <c r="F50" i="16"/>
  <c r="B50" i="16"/>
  <c r="F49" i="16"/>
  <c r="G49" i="16" s="1"/>
  <c r="V53" i="1" s="1"/>
  <c r="B49" i="16"/>
  <c r="F48" i="16"/>
  <c r="G48" i="16" s="1"/>
  <c r="V52" i="1" s="1"/>
  <c r="B48" i="16"/>
  <c r="F47" i="16"/>
  <c r="G47" i="16" s="1"/>
  <c r="V51" i="1" s="1"/>
  <c r="B47" i="16"/>
  <c r="F46" i="16"/>
  <c r="G46" i="16" s="1"/>
  <c r="V50" i="1" s="1"/>
  <c r="B46" i="16"/>
  <c r="F45" i="16"/>
  <c r="G45" i="16" s="1"/>
  <c r="V49" i="1" s="1"/>
  <c r="B45" i="16"/>
  <c r="F44" i="16"/>
  <c r="G44" i="16" s="1"/>
  <c r="V48" i="1" s="1"/>
  <c r="B44" i="16"/>
  <c r="F43" i="16"/>
  <c r="G43" i="16" s="1"/>
  <c r="V47" i="1" s="1"/>
  <c r="B43" i="16"/>
  <c r="G42" i="16"/>
  <c r="V46" i="1" s="1"/>
  <c r="F42" i="16"/>
  <c r="B42" i="16"/>
  <c r="F41" i="16"/>
  <c r="G41" i="16" s="1"/>
  <c r="V45" i="1" s="1"/>
  <c r="B41" i="16"/>
  <c r="F40" i="16"/>
  <c r="G40" i="16" s="1"/>
  <c r="V44" i="1" s="1"/>
  <c r="B40" i="16"/>
  <c r="F39" i="16"/>
  <c r="G39" i="16" s="1"/>
  <c r="V43" i="1" s="1"/>
  <c r="B39" i="16"/>
  <c r="G38" i="16"/>
  <c r="V42" i="1" s="1"/>
  <c r="F38" i="16"/>
  <c r="B38" i="16"/>
  <c r="F37" i="16"/>
  <c r="G37" i="16" s="1"/>
  <c r="V41" i="1" s="1"/>
  <c r="B37" i="16"/>
  <c r="F36" i="16"/>
  <c r="G36" i="16" s="1"/>
  <c r="V40" i="1" s="1"/>
  <c r="B36" i="16"/>
  <c r="F35" i="16"/>
  <c r="G35" i="16" s="1"/>
  <c r="V39" i="1" s="1"/>
  <c r="B35" i="16"/>
  <c r="F34" i="16"/>
  <c r="G34" i="16" s="1"/>
  <c r="V38" i="1" s="1"/>
  <c r="B34" i="16"/>
  <c r="G33" i="16"/>
  <c r="V37" i="1" s="1"/>
  <c r="F33" i="16"/>
  <c r="B33" i="16"/>
  <c r="F32" i="16"/>
  <c r="G32" i="16" s="1"/>
  <c r="V36" i="1" s="1"/>
  <c r="B32" i="16"/>
  <c r="F31" i="16"/>
  <c r="G31" i="16" s="1"/>
  <c r="V35" i="1" s="1"/>
  <c r="B31" i="16"/>
  <c r="F30" i="16"/>
  <c r="G30" i="16" s="1"/>
  <c r="V34" i="1" s="1"/>
  <c r="B30" i="16"/>
  <c r="F29" i="16"/>
  <c r="G29" i="16" s="1"/>
  <c r="V33" i="1" s="1"/>
  <c r="B29" i="16"/>
  <c r="F28" i="16"/>
  <c r="G28" i="16" s="1"/>
  <c r="V32" i="1" s="1"/>
  <c r="B28" i="16"/>
  <c r="F27" i="16"/>
  <c r="G27" i="16" s="1"/>
  <c r="V31" i="1" s="1"/>
  <c r="B27" i="16"/>
  <c r="G26" i="16"/>
  <c r="V30" i="1" s="1"/>
  <c r="F26" i="16"/>
  <c r="B26" i="16"/>
  <c r="F25" i="16"/>
  <c r="G25" i="16" s="1"/>
  <c r="V29" i="1" s="1"/>
  <c r="B25" i="16"/>
  <c r="F24" i="16"/>
  <c r="G24" i="16" s="1"/>
  <c r="V28" i="1" s="1"/>
  <c r="B24" i="16"/>
  <c r="F23" i="16"/>
  <c r="G23" i="16" s="1"/>
  <c r="V27" i="1" s="1"/>
  <c r="B23" i="16"/>
  <c r="F22" i="16"/>
  <c r="G22" i="16" s="1"/>
  <c r="V26" i="1" s="1"/>
  <c r="B22" i="16"/>
  <c r="G21" i="16"/>
  <c r="V25" i="1" s="1"/>
  <c r="F21" i="16"/>
  <c r="B21" i="16"/>
  <c r="F20" i="16"/>
  <c r="G20" i="16" s="1"/>
  <c r="V24" i="1" s="1"/>
  <c r="B20" i="16"/>
  <c r="F19" i="16"/>
  <c r="G19" i="16" s="1"/>
  <c r="V23" i="1" s="1"/>
  <c r="B19" i="16"/>
  <c r="F18" i="16"/>
  <c r="G18" i="16" s="1"/>
  <c r="V22" i="1" s="1"/>
  <c r="B18" i="16"/>
  <c r="G17" i="16"/>
  <c r="V21" i="1" s="1"/>
  <c r="F17" i="16"/>
  <c r="B17" i="16"/>
  <c r="F16" i="16"/>
  <c r="G16" i="16" s="1"/>
  <c r="V20" i="1" s="1"/>
  <c r="B16" i="16"/>
  <c r="F15" i="16"/>
  <c r="G15" i="16" s="1"/>
  <c r="V19" i="1" s="1"/>
  <c r="B15" i="16"/>
  <c r="F14" i="16"/>
  <c r="G14" i="16" s="1"/>
  <c r="V18" i="1" s="1"/>
  <c r="B14" i="16"/>
  <c r="F13" i="16"/>
  <c r="G13" i="16" s="1"/>
  <c r="V17" i="1" s="1"/>
  <c r="B13" i="16"/>
  <c r="F12" i="16"/>
  <c r="G12" i="16" s="1"/>
  <c r="V16" i="1" s="1"/>
  <c r="B12" i="16"/>
  <c r="F11" i="16"/>
  <c r="G11" i="16" s="1"/>
  <c r="V15" i="1" s="1"/>
  <c r="B11" i="16"/>
  <c r="G10" i="16"/>
  <c r="V14" i="1" s="1"/>
  <c r="F10" i="16"/>
  <c r="B10" i="16"/>
  <c r="F9" i="16"/>
  <c r="G9" i="16" s="1"/>
  <c r="V13" i="1" s="1"/>
  <c r="B9" i="16"/>
  <c r="F8" i="16"/>
  <c r="G8" i="16" s="1"/>
  <c r="V12" i="1" s="1"/>
  <c r="B8" i="16"/>
  <c r="F7" i="16"/>
  <c r="G7" i="16" s="1"/>
  <c r="V11" i="1" s="1"/>
  <c r="B7" i="16"/>
  <c r="F6" i="16"/>
  <c r="G6" i="16" s="1"/>
  <c r="V10" i="1" s="1"/>
  <c r="B6" i="16"/>
  <c r="F5" i="16"/>
  <c r="G5" i="16" s="1"/>
  <c r="V9" i="1" s="1"/>
  <c r="B5" i="16"/>
  <c r="F4" i="16"/>
  <c r="G4" i="16" s="1"/>
  <c r="V8" i="1" s="1"/>
  <c r="B4" i="16"/>
  <c r="F3" i="16"/>
  <c r="G3" i="16" s="1"/>
  <c r="V7" i="1" s="1"/>
  <c r="B3" i="16"/>
  <c r="G2" i="16"/>
  <c r="V6" i="1" s="1"/>
  <c r="F2" i="16"/>
  <c r="B2" i="16"/>
  <c r="A2" i="16"/>
  <c r="B6" i="1"/>
  <c r="L13" i="16" l="1"/>
  <c r="L6" i="16"/>
  <c r="L11" i="16"/>
  <c r="L4" i="16"/>
  <c r="L8" i="16"/>
  <c r="L12" i="16"/>
  <c r="L10" i="16"/>
  <c r="L3" i="16"/>
  <c r="L7" i="16"/>
  <c r="L5" i="16"/>
  <c r="L9" i="16"/>
  <c r="O28" i="11" l="1"/>
  <c r="Q21" i="15"/>
  <c r="AE106" i="1" l="1"/>
  <c r="B106" i="11" l="1"/>
  <c r="B106" i="15"/>
  <c r="D5" i="15" l="1"/>
  <c r="O9" i="15" s="1"/>
  <c r="E5" i="15"/>
  <c r="O11" i="15" s="1"/>
  <c r="F5" i="15"/>
  <c r="O13" i="15" s="1"/>
  <c r="G5" i="15"/>
  <c r="O15" i="15" s="1"/>
  <c r="H5" i="15"/>
  <c r="O17" i="15" s="1"/>
  <c r="C5" i="15"/>
  <c r="C8" i="15"/>
  <c r="D8" i="15"/>
  <c r="E8" i="15"/>
  <c r="F8" i="15"/>
  <c r="G8" i="15"/>
  <c r="H8" i="15"/>
  <c r="C9" i="15"/>
  <c r="D9" i="15"/>
  <c r="E9" i="15"/>
  <c r="F9" i="15"/>
  <c r="G9" i="15"/>
  <c r="H9" i="15"/>
  <c r="C10" i="15"/>
  <c r="D10" i="15"/>
  <c r="E10" i="15"/>
  <c r="F10" i="15"/>
  <c r="G10" i="15"/>
  <c r="H10" i="15"/>
  <c r="C11" i="15"/>
  <c r="D11" i="15"/>
  <c r="E11" i="15"/>
  <c r="F11" i="15"/>
  <c r="G11" i="15"/>
  <c r="H11" i="15"/>
  <c r="C12" i="15"/>
  <c r="D12" i="15"/>
  <c r="E12" i="15"/>
  <c r="F12" i="15"/>
  <c r="G12" i="15"/>
  <c r="H12" i="15"/>
  <c r="C13" i="15"/>
  <c r="D13" i="15"/>
  <c r="E13" i="15"/>
  <c r="F13" i="15"/>
  <c r="G13" i="15"/>
  <c r="H13" i="15"/>
  <c r="C14" i="15"/>
  <c r="D14" i="15"/>
  <c r="E14" i="15"/>
  <c r="F14" i="15"/>
  <c r="G14" i="15"/>
  <c r="H14" i="15"/>
  <c r="C15" i="15"/>
  <c r="D15" i="15"/>
  <c r="E15" i="15"/>
  <c r="F15" i="15"/>
  <c r="G15" i="15"/>
  <c r="H15" i="15"/>
  <c r="C16" i="15"/>
  <c r="D16" i="15"/>
  <c r="E16" i="15"/>
  <c r="F16" i="15"/>
  <c r="G16" i="15"/>
  <c r="H16" i="15"/>
  <c r="C17" i="15"/>
  <c r="D17" i="15"/>
  <c r="E17" i="15"/>
  <c r="F17" i="15"/>
  <c r="G17" i="15"/>
  <c r="H17" i="15"/>
  <c r="C18" i="15"/>
  <c r="D18" i="15"/>
  <c r="E18" i="15"/>
  <c r="F18" i="15"/>
  <c r="G18" i="15"/>
  <c r="H18" i="15"/>
  <c r="C19" i="15"/>
  <c r="D19" i="15"/>
  <c r="E19" i="15"/>
  <c r="F19" i="15"/>
  <c r="G19" i="15"/>
  <c r="H19" i="15"/>
  <c r="C20" i="15"/>
  <c r="D20" i="15"/>
  <c r="E20" i="15"/>
  <c r="F20" i="15"/>
  <c r="G20" i="15"/>
  <c r="H20" i="15"/>
  <c r="C21" i="15"/>
  <c r="D21" i="15"/>
  <c r="E21" i="15"/>
  <c r="F21" i="15"/>
  <c r="G21" i="15"/>
  <c r="H21" i="15"/>
  <c r="C22" i="15"/>
  <c r="D22" i="15"/>
  <c r="E22" i="15"/>
  <c r="F22" i="15"/>
  <c r="G22" i="15"/>
  <c r="H22" i="15"/>
  <c r="C23" i="15"/>
  <c r="D23" i="15"/>
  <c r="E23" i="15"/>
  <c r="F23" i="15"/>
  <c r="G23" i="15"/>
  <c r="H23" i="15"/>
  <c r="C24" i="15"/>
  <c r="D24" i="15"/>
  <c r="E24" i="15"/>
  <c r="F24" i="15"/>
  <c r="G24" i="15"/>
  <c r="H24" i="15"/>
  <c r="C25" i="15"/>
  <c r="D25" i="15"/>
  <c r="E25" i="15"/>
  <c r="F25" i="15"/>
  <c r="G25" i="15"/>
  <c r="H25" i="15"/>
  <c r="C26" i="15"/>
  <c r="D26" i="15"/>
  <c r="E26" i="15"/>
  <c r="F26" i="15"/>
  <c r="G26" i="15"/>
  <c r="H26" i="15"/>
  <c r="C27" i="15"/>
  <c r="D27" i="15"/>
  <c r="E27" i="15"/>
  <c r="F27" i="15"/>
  <c r="G27" i="15"/>
  <c r="H27" i="15"/>
  <c r="C28" i="15"/>
  <c r="D28" i="15"/>
  <c r="E28" i="15"/>
  <c r="F28" i="15"/>
  <c r="G28" i="15"/>
  <c r="H28" i="15"/>
  <c r="C29" i="15"/>
  <c r="D29" i="15"/>
  <c r="E29" i="15"/>
  <c r="F29" i="15"/>
  <c r="G29" i="15"/>
  <c r="H29" i="15"/>
  <c r="C30" i="15"/>
  <c r="D30" i="15"/>
  <c r="E30" i="15"/>
  <c r="F30" i="15"/>
  <c r="G30" i="15"/>
  <c r="H30" i="15"/>
  <c r="C31" i="15"/>
  <c r="D31" i="15"/>
  <c r="E31" i="15"/>
  <c r="F31" i="15"/>
  <c r="G31" i="15"/>
  <c r="H31" i="15"/>
  <c r="C32" i="15"/>
  <c r="D32" i="15"/>
  <c r="E32" i="15"/>
  <c r="F32" i="15"/>
  <c r="G32" i="15"/>
  <c r="H32" i="15"/>
  <c r="C33" i="15"/>
  <c r="D33" i="15"/>
  <c r="E33" i="15"/>
  <c r="F33" i="15"/>
  <c r="G33" i="15"/>
  <c r="H33" i="15"/>
  <c r="C34" i="15"/>
  <c r="D34" i="15"/>
  <c r="E34" i="15"/>
  <c r="F34" i="15"/>
  <c r="G34" i="15"/>
  <c r="H34" i="15"/>
  <c r="C35" i="15"/>
  <c r="D35" i="15"/>
  <c r="E35" i="15"/>
  <c r="F35" i="15"/>
  <c r="G35" i="15"/>
  <c r="H35" i="15"/>
  <c r="C36" i="15"/>
  <c r="D36" i="15"/>
  <c r="E36" i="15"/>
  <c r="F36" i="15"/>
  <c r="G36" i="15"/>
  <c r="H36" i="15"/>
  <c r="C37" i="15"/>
  <c r="D37" i="15"/>
  <c r="E37" i="15"/>
  <c r="F37" i="15"/>
  <c r="G37" i="15"/>
  <c r="H37" i="15"/>
  <c r="C38" i="15"/>
  <c r="D38" i="15"/>
  <c r="E38" i="15"/>
  <c r="F38" i="15"/>
  <c r="G38" i="15"/>
  <c r="H38" i="15"/>
  <c r="C39" i="15"/>
  <c r="D39" i="15"/>
  <c r="E39" i="15"/>
  <c r="F39" i="15"/>
  <c r="G39" i="15"/>
  <c r="H39" i="15"/>
  <c r="C40" i="15"/>
  <c r="D40" i="15"/>
  <c r="E40" i="15"/>
  <c r="F40" i="15"/>
  <c r="G40" i="15"/>
  <c r="H40" i="15"/>
  <c r="C41" i="15"/>
  <c r="D41" i="15"/>
  <c r="E41" i="15"/>
  <c r="F41" i="15"/>
  <c r="G41" i="15"/>
  <c r="H41" i="15"/>
  <c r="C42" i="15"/>
  <c r="D42" i="15"/>
  <c r="E42" i="15"/>
  <c r="F42" i="15"/>
  <c r="G42" i="15"/>
  <c r="H42" i="15"/>
  <c r="C43" i="15"/>
  <c r="D43" i="15"/>
  <c r="E43" i="15"/>
  <c r="F43" i="15"/>
  <c r="G43" i="15"/>
  <c r="H43" i="15"/>
  <c r="C44" i="15"/>
  <c r="D44" i="15"/>
  <c r="E44" i="15"/>
  <c r="F44" i="15"/>
  <c r="G44" i="15"/>
  <c r="H44" i="15"/>
  <c r="C45" i="15"/>
  <c r="D45" i="15"/>
  <c r="E45" i="15"/>
  <c r="F45" i="15"/>
  <c r="G45" i="15"/>
  <c r="H45" i="15"/>
  <c r="C46" i="15"/>
  <c r="D46" i="15"/>
  <c r="E46" i="15"/>
  <c r="F46" i="15"/>
  <c r="G46" i="15"/>
  <c r="H46" i="15"/>
  <c r="C47" i="15"/>
  <c r="D47" i="15"/>
  <c r="E47" i="15"/>
  <c r="F47" i="15"/>
  <c r="G47" i="15"/>
  <c r="H47" i="15"/>
  <c r="C48" i="15"/>
  <c r="D48" i="15"/>
  <c r="E48" i="15"/>
  <c r="F48" i="15"/>
  <c r="G48" i="15"/>
  <c r="H48" i="15"/>
  <c r="C49" i="15"/>
  <c r="D49" i="15"/>
  <c r="E49" i="15"/>
  <c r="F49" i="15"/>
  <c r="G49" i="15"/>
  <c r="H49" i="15"/>
  <c r="C50" i="15"/>
  <c r="D50" i="15"/>
  <c r="E50" i="15"/>
  <c r="F50" i="15"/>
  <c r="G50" i="15"/>
  <c r="H50" i="15"/>
  <c r="C51" i="15"/>
  <c r="D51" i="15"/>
  <c r="E51" i="15"/>
  <c r="F51" i="15"/>
  <c r="G51" i="15"/>
  <c r="H51" i="15"/>
  <c r="C52" i="15"/>
  <c r="D52" i="15"/>
  <c r="E52" i="15"/>
  <c r="F52" i="15"/>
  <c r="G52" i="15"/>
  <c r="H52" i="15"/>
  <c r="C53" i="15"/>
  <c r="D53" i="15"/>
  <c r="E53" i="15"/>
  <c r="F53" i="15"/>
  <c r="G53" i="15"/>
  <c r="H53" i="15"/>
  <c r="C54" i="15"/>
  <c r="D54" i="15"/>
  <c r="E54" i="15"/>
  <c r="F54" i="15"/>
  <c r="G54" i="15"/>
  <c r="H54" i="15"/>
  <c r="C55" i="15"/>
  <c r="D55" i="15"/>
  <c r="E55" i="15"/>
  <c r="F55" i="15"/>
  <c r="G55" i="15"/>
  <c r="H55" i="15"/>
  <c r="C56" i="15"/>
  <c r="D56" i="15"/>
  <c r="E56" i="15"/>
  <c r="F56" i="15"/>
  <c r="G56" i="15"/>
  <c r="H56" i="15"/>
  <c r="C57" i="15"/>
  <c r="D57" i="15"/>
  <c r="E57" i="15"/>
  <c r="F57" i="15"/>
  <c r="G57" i="15"/>
  <c r="H57" i="15"/>
  <c r="C58" i="15"/>
  <c r="D58" i="15"/>
  <c r="E58" i="15"/>
  <c r="F58" i="15"/>
  <c r="G58" i="15"/>
  <c r="H58" i="15"/>
  <c r="C59" i="15"/>
  <c r="D59" i="15"/>
  <c r="E59" i="15"/>
  <c r="F59" i="15"/>
  <c r="G59" i="15"/>
  <c r="H59" i="15"/>
  <c r="C60" i="15"/>
  <c r="D60" i="15"/>
  <c r="E60" i="15"/>
  <c r="F60" i="15"/>
  <c r="G60" i="15"/>
  <c r="H60" i="15"/>
  <c r="C61" i="15"/>
  <c r="D61" i="15"/>
  <c r="E61" i="15"/>
  <c r="F61" i="15"/>
  <c r="G61" i="15"/>
  <c r="H61" i="15"/>
  <c r="C62" i="15"/>
  <c r="D62" i="15"/>
  <c r="E62" i="15"/>
  <c r="F62" i="15"/>
  <c r="G62" i="15"/>
  <c r="H62" i="15"/>
  <c r="C63" i="15"/>
  <c r="D63" i="15"/>
  <c r="E63" i="15"/>
  <c r="F63" i="15"/>
  <c r="G63" i="15"/>
  <c r="H63" i="15"/>
  <c r="C64" i="15"/>
  <c r="D64" i="15"/>
  <c r="E64" i="15"/>
  <c r="F64" i="15"/>
  <c r="G64" i="15"/>
  <c r="H64" i="15"/>
  <c r="C65" i="15"/>
  <c r="D65" i="15"/>
  <c r="E65" i="15"/>
  <c r="F65" i="15"/>
  <c r="G65" i="15"/>
  <c r="H65" i="15"/>
  <c r="C66" i="15"/>
  <c r="D66" i="15"/>
  <c r="E66" i="15"/>
  <c r="F66" i="15"/>
  <c r="G66" i="15"/>
  <c r="H66" i="15"/>
  <c r="C67" i="15"/>
  <c r="D67" i="15"/>
  <c r="E67" i="15"/>
  <c r="F67" i="15"/>
  <c r="G67" i="15"/>
  <c r="H67" i="15"/>
  <c r="C68" i="15"/>
  <c r="D68" i="15"/>
  <c r="E68" i="15"/>
  <c r="F68" i="15"/>
  <c r="G68" i="15"/>
  <c r="H68" i="15"/>
  <c r="C69" i="15"/>
  <c r="D69" i="15"/>
  <c r="E69" i="15"/>
  <c r="F69" i="15"/>
  <c r="G69" i="15"/>
  <c r="H69" i="15"/>
  <c r="C70" i="15"/>
  <c r="D70" i="15"/>
  <c r="E70" i="15"/>
  <c r="F70" i="15"/>
  <c r="G70" i="15"/>
  <c r="H70" i="15"/>
  <c r="C71" i="15"/>
  <c r="D71" i="15"/>
  <c r="E71" i="15"/>
  <c r="F71" i="15"/>
  <c r="G71" i="15"/>
  <c r="H71" i="15"/>
  <c r="C72" i="15"/>
  <c r="D72" i="15"/>
  <c r="E72" i="15"/>
  <c r="F72" i="15"/>
  <c r="G72" i="15"/>
  <c r="H72" i="15"/>
  <c r="C73" i="15"/>
  <c r="D73" i="15"/>
  <c r="E73" i="15"/>
  <c r="F73" i="15"/>
  <c r="G73" i="15"/>
  <c r="H73" i="15"/>
  <c r="C74" i="15"/>
  <c r="D74" i="15"/>
  <c r="E74" i="15"/>
  <c r="F74" i="15"/>
  <c r="G74" i="15"/>
  <c r="H74" i="15"/>
  <c r="C75" i="15"/>
  <c r="D75" i="15"/>
  <c r="E75" i="15"/>
  <c r="F75" i="15"/>
  <c r="G75" i="15"/>
  <c r="H75" i="15"/>
  <c r="C76" i="15"/>
  <c r="D76" i="15"/>
  <c r="E76" i="15"/>
  <c r="F76" i="15"/>
  <c r="G76" i="15"/>
  <c r="H76" i="15"/>
  <c r="C77" i="15"/>
  <c r="D77" i="15"/>
  <c r="E77" i="15"/>
  <c r="F77" i="15"/>
  <c r="G77" i="15"/>
  <c r="H77" i="15"/>
  <c r="C78" i="15"/>
  <c r="D78" i="15"/>
  <c r="E78" i="15"/>
  <c r="F78" i="15"/>
  <c r="G78" i="15"/>
  <c r="H78" i="15"/>
  <c r="C79" i="15"/>
  <c r="D79" i="15"/>
  <c r="E79" i="15"/>
  <c r="F79" i="15"/>
  <c r="G79" i="15"/>
  <c r="H79" i="15"/>
  <c r="C80" i="15"/>
  <c r="D80" i="15"/>
  <c r="E80" i="15"/>
  <c r="F80" i="15"/>
  <c r="G80" i="15"/>
  <c r="H80" i="15"/>
  <c r="C81" i="15"/>
  <c r="D81" i="15"/>
  <c r="E81" i="15"/>
  <c r="F81" i="15"/>
  <c r="G81" i="15"/>
  <c r="H81" i="15"/>
  <c r="C82" i="15"/>
  <c r="D82" i="15"/>
  <c r="E82" i="15"/>
  <c r="F82" i="15"/>
  <c r="G82" i="15"/>
  <c r="H82" i="15"/>
  <c r="C83" i="15"/>
  <c r="D83" i="15"/>
  <c r="E83" i="15"/>
  <c r="F83" i="15"/>
  <c r="G83" i="15"/>
  <c r="H83" i="15"/>
  <c r="C84" i="15"/>
  <c r="D84" i="15"/>
  <c r="E84" i="15"/>
  <c r="F84" i="15"/>
  <c r="G84" i="15"/>
  <c r="H84" i="15"/>
  <c r="C85" i="15"/>
  <c r="D85" i="15"/>
  <c r="E85" i="15"/>
  <c r="F85" i="15"/>
  <c r="G85" i="15"/>
  <c r="H85" i="15"/>
  <c r="C86" i="15"/>
  <c r="D86" i="15"/>
  <c r="E86" i="15"/>
  <c r="F86" i="15"/>
  <c r="G86" i="15"/>
  <c r="H86" i="15"/>
  <c r="C87" i="15"/>
  <c r="D87" i="15"/>
  <c r="E87" i="15"/>
  <c r="F87" i="15"/>
  <c r="G87" i="15"/>
  <c r="H87" i="15"/>
  <c r="C88" i="15"/>
  <c r="D88" i="15"/>
  <c r="E88" i="15"/>
  <c r="F88" i="15"/>
  <c r="G88" i="15"/>
  <c r="H88" i="15"/>
  <c r="C89" i="15"/>
  <c r="D89" i="15"/>
  <c r="E89" i="15"/>
  <c r="F89" i="15"/>
  <c r="G89" i="15"/>
  <c r="H89" i="15"/>
  <c r="C90" i="15"/>
  <c r="D90" i="15"/>
  <c r="E90" i="15"/>
  <c r="F90" i="15"/>
  <c r="G90" i="15"/>
  <c r="H90" i="15"/>
  <c r="C91" i="15"/>
  <c r="D91" i="15"/>
  <c r="E91" i="15"/>
  <c r="F91" i="15"/>
  <c r="G91" i="15"/>
  <c r="H91" i="15"/>
  <c r="C92" i="15"/>
  <c r="D92" i="15"/>
  <c r="E92" i="15"/>
  <c r="F92" i="15"/>
  <c r="G92" i="15"/>
  <c r="H92" i="15"/>
  <c r="C93" i="15"/>
  <c r="D93" i="15"/>
  <c r="E93" i="15"/>
  <c r="F93" i="15"/>
  <c r="G93" i="15"/>
  <c r="H93" i="15"/>
  <c r="C94" i="15"/>
  <c r="D94" i="15"/>
  <c r="E94" i="15"/>
  <c r="F94" i="15"/>
  <c r="G94" i="15"/>
  <c r="H94" i="15"/>
  <c r="C95" i="15"/>
  <c r="D95" i="15"/>
  <c r="E95" i="15"/>
  <c r="F95" i="15"/>
  <c r="G95" i="15"/>
  <c r="H95" i="15"/>
  <c r="C96" i="15"/>
  <c r="D96" i="15"/>
  <c r="E96" i="15"/>
  <c r="F96" i="15"/>
  <c r="G96" i="15"/>
  <c r="H96" i="15"/>
  <c r="C97" i="15"/>
  <c r="D97" i="15"/>
  <c r="E97" i="15"/>
  <c r="F97" i="15"/>
  <c r="G97" i="15"/>
  <c r="H97" i="15"/>
  <c r="C98" i="15"/>
  <c r="D98" i="15"/>
  <c r="E98" i="15"/>
  <c r="F98" i="15"/>
  <c r="G98" i="15"/>
  <c r="H98" i="15"/>
  <c r="C99" i="15"/>
  <c r="D99" i="15"/>
  <c r="E99" i="15"/>
  <c r="F99" i="15"/>
  <c r="G99" i="15"/>
  <c r="H99" i="15"/>
  <c r="C100" i="15"/>
  <c r="D100" i="15"/>
  <c r="E100" i="15"/>
  <c r="F100" i="15"/>
  <c r="G100" i="15"/>
  <c r="H100" i="15"/>
  <c r="C101" i="15"/>
  <c r="D101" i="15"/>
  <c r="E101" i="15"/>
  <c r="F101" i="15"/>
  <c r="G101" i="15"/>
  <c r="H101" i="15"/>
  <c r="C102" i="15"/>
  <c r="D102" i="15"/>
  <c r="E102" i="15"/>
  <c r="F102" i="15"/>
  <c r="G102" i="15"/>
  <c r="H102" i="15"/>
  <c r="C103" i="15"/>
  <c r="D103" i="15"/>
  <c r="E103" i="15"/>
  <c r="F103" i="15"/>
  <c r="G103" i="15"/>
  <c r="H103" i="15"/>
  <c r="C104" i="15"/>
  <c r="D104" i="15"/>
  <c r="E104" i="15"/>
  <c r="F104" i="15"/>
  <c r="G104" i="15"/>
  <c r="H104" i="15"/>
  <c r="C105" i="15"/>
  <c r="D105" i="15"/>
  <c r="E105" i="15"/>
  <c r="F105" i="15"/>
  <c r="G105" i="15"/>
  <c r="H105" i="15"/>
  <c r="C106" i="15"/>
  <c r="D106" i="15"/>
  <c r="E106" i="15"/>
  <c r="F106" i="15"/>
  <c r="G106" i="15"/>
  <c r="H106" i="15"/>
  <c r="D7" i="15"/>
  <c r="E7" i="15"/>
  <c r="F7" i="15"/>
  <c r="G7" i="15"/>
  <c r="H7" i="15"/>
  <c r="C7" i="15"/>
  <c r="C8" i="11"/>
  <c r="D8" i="11"/>
  <c r="E8" i="11"/>
  <c r="F8" i="11"/>
  <c r="G8" i="11"/>
  <c r="H8" i="11"/>
  <c r="C9" i="11"/>
  <c r="D9" i="11"/>
  <c r="E9" i="11"/>
  <c r="F9" i="11"/>
  <c r="G9" i="11"/>
  <c r="H9" i="11"/>
  <c r="C10" i="11"/>
  <c r="D10" i="11"/>
  <c r="E10" i="11"/>
  <c r="F10" i="11"/>
  <c r="G10" i="11"/>
  <c r="H10" i="11"/>
  <c r="C11" i="11"/>
  <c r="D11" i="11"/>
  <c r="E11" i="11"/>
  <c r="F11" i="11"/>
  <c r="G11" i="11"/>
  <c r="H11" i="11"/>
  <c r="C12" i="11"/>
  <c r="D12" i="11"/>
  <c r="E12" i="11"/>
  <c r="F12" i="11"/>
  <c r="G12" i="11"/>
  <c r="H12" i="11"/>
  <c r="C13" i="11"/>
  <c r="D13" i="11"/>
  <c r="E13" i="11"/>
  <c r="F13" i="11"/>
  <c r="G13" i="11"/>
  <c r="H13" i="11"/>
  <c r="C14" i="11"/>
  <c r="D14" i="11"/>
  <c r="E14" i="11"/>
  <c r="F14" i="11"/>
  <c r="G14" i="11"/>
  <c r="H14" i="11"/>
  <c r="C15" i="11"/>
  <c r="D15" i="11"/>
  <c r="E15" i="11"/>
  <c r="F15" i="11"/>
  <c r="G15" i="11"/>
  <c r="H15" i="11"/>
  <c r="C16" i="11"/>
  <c r="D16" i="11"/>
  <c r="E16" i="11"/>
  <c r="F16" i="11"/>
  <c r="G16" i="11"/>
  <c r="H16" i="11"/>
  <c r="C17" i="11"/>
  <c r="D17" i="11"/>
  <c r="E17" i="11"/>
  <c r="F17" i="11"/>
  <c r="G17" i="11"/>
  <c r="H17" i="11"/>
  <c r="C18" i="11"/>
  <c r="D18" i="11"/>
  <c r="E18" i="11"/>
  <c r="F18" i="11"/>
  <c r="G18" i="11"/>
  <c r="H18" i="11"/>
  <c r="C19" i="11"/>
  <c r="D19" i="11"/>
  <c r="E19" i="11"/>
  <c r="F19" i="11"/>
  <c r="G19" i="11"/>
  <c r="H19" i="11"/>
  <c r="C20" i="11"/>
  <c r="D20" i="11"/>
  <c r="E20" i="11"/>
  <c r="F20" i="11"/>
  <c r="G20" i="11"/>
  <c r="H20" i="11"/>
  <c r="C21" i="11"/>
  <c r="D21" i="11"/>
  <c r="E21" i="11"/>
  <c r="F21" i="11"/>
  <c r="G21" i="11"/>
  <c r="H21" i="11"/>
  <c r="C22" i="11"/>
  <c r="D22" i="11"/>
  <c r="E22" i="11"/>
  <c r="F22" i="11"/>
  <c r="G22" i="11"/>
  <c r="H22" i="11"/>
  <c r="C23" i="11"/>
  <c r="D23" i="11"/>
  <c r="E23" i="11"/>
  <c r="F23" i="11"/>
  <c r="G23" i="11"/>
  <c r="H23" i="11"/>
  <c r="C24" i="11"/>
  <c r="D24" i="11"/>
  <c r="E24" i="11"/>
  <c r="F24" i="11"/>
  <c r="G24" i="11"/>
  <c r="H24" i="11"/>
  <c r="C25" i="11"/>
  <c r="D25" i="11"/>
  <c r="E25" i="11"/>
  <c r="F25" i="11"/>
  <c r="G25" i="11"/>
  <c r="H25" i="11"/>
  <c r="C26" i="11"/>
  <c r="D26" i="11"/>
  <c r="E26" i="11"/>
  <c r="F26" i="11"/>
  <c r="G26" i="11"/>
  <c r="H26" i="11"/>
  <c r="C27" i="11"/>
  <c r="D27" i="11"/>
  <c r="E27" i="11"/>
  <c r="F27" i="11"/>
  <c r="G27" i="11"/>
  <c r="H27" i="11"/>
  <c r="C28" i="11"/>
  <c r="D28" i="11"/>
  <c r="E28" i="11"/>
  <c r="F28" i="11"/>
  <c r="G28" i="11"/>
  <c r="H28" i="11"/>
  <c r="C29" i="11"/>
  <c r="D29" i="11"/>
  <c r="E29" i="11"/>
  <c r="F29" i="11"/>
  <c r="G29" i="11"/>
  <c r="H29" i="11"/>
  <c r="C30" i="11"/>
  <c r="D30" i="11"/>
  <c r="E30" i="11"/>
  <c r="F30" i="11"/>
  <c r="G30" i="11"/>
  <c r="H30" i="11"/>
  <c r="C31" i="11"/>
  <c r="D31" i="11"/>
  <c r="E31" i="11"/>
  <c r="F31" i="11"/>
  <c r="G31" i="11"/>
  <c r="H31" i="11"/>
  <c r="C32" i="11"/>
  <c r="D32" i="11"/>
  <c r="E32" i="11"/>
  <c r="F32" i="11"/>
  <c r="G32" i="11"/>
  <c r="H32" i="11"/>
  <c r="C33" i="11"/>
  <c r="D33" i="11"/>
  <c r="E33" i="11"/>
  <c r="F33" i="11"/>
  <c r="G33" i="11"/>
  <c r="H33" i="11"/>
  <c r="C34" i="11"/>
  <c r="D34" i="11"/>
  <c r="E34" i="11"/>
  <c r="F34" i="11"/>
  <c r="G34" i="11"/>
  <c r="H34" i="11"/>
  <c r="C35" i="11"/>
  <c r="D35" i="11"/>
  <c r="E35" i="11"/>
  <c r="F35" i="11"/>
  <c r="G35" i="11"/>
  <c r="H35" i="11"/>
  <c r="C36" i="11"/>
  <c r="D36" i="11"/>
  <c r="E36" i="11"/>
  <c r="F36" i="11"/>
  <c r="G36" i="11"/>
  <c r="H36" i="11"/>
  <c r="C37" i="11"/>
  <c r="D37" i="11"/>
  <c r="E37" i="11"/>
  <c r="F37" i="11"/>
  <c r="G37" i="11"/>
  <c r="H37" i="11"/>
  <c r="C38" i="11"/>
  <c r="D38" i="11"/>
  <c r="E38" i="11"/>
  <c r="F38" i="11"/>
  <c r="G38" i="11"/>
  <c r="H38" i="11"/>
  <c r="C39" i="11"/>
  <c r="D39" i="11"/>
  <c r="E39" i="11"/>
  <c r="F39" i="11"/>
  <c r="G39" i="11"/>
  <c r="H39" i="11"/>
  <c r="C40" i="11"/>
  <c r="D40" i="11"/>
  <c r="E40" i="11"/>
  <c r="F40" i="11"/>
  <c r="G40" i="11"/>
  <c r="H40" i="11"/>
  <c r="C41" i="11"/>
  <c r="D41" i="11"/>
  <c r="E41" i="11"/>
  <c r="F41" i="11"/>
  <c r="G41" i="11"/>
  <c r="H41" i="11"/>
  <c r="C42" i="11"/>
  <c r="D42" i="11"/>
  <c r="E42" i="11"/>
  <c r="F42" i="11"/>
  <c r="G42" i="11"/>
  <c r="H42" i="11"/>
  <c r="C43" i="11"/>
  <c r="D43" i="11"/>
  <c r="E43" i="11"/>
  <c r="F43" i="11"/>
  <c r="G43" i="11"/>
  <c r="H43" i="11"/>
  <c r="C44" i="11"/>
  <c r="D44" i="11"/>
  <c r="E44" i="11"/>
  <c r="F44" i="11"/>
  <c r="G44" i="11"/>
  <c r="H44" i="11"/>
  <c r="C45" i="11"/>
  <c r="D45" i="11"/>
  <c r="E45" i="11"/>
  <c r="F45" i="11"/>
  <c r="G45" i="11"/>
  <c r="H45" i="11"/>
  <c r="C46" i="11"/>
  <c r="D46" i="11"/>
  <c r="E46" i="11"/>
  <c r="F46" i="11"/>
  <c r="G46" i="11"/>
  <c r="H46" i="11"/>
  <c r="C47" i="11"/>
  <c r="D47" i="11"/>
  <c r="E47" i="11"/>
  <c r="F47" i="11"/>
  <c r="G47" i="11"/>
  <c r="H47" i="11"/>
  <c r="C48" i="11"/>
  <c r="D48" i="11"/>
  <c r="E48" i="11"/>
  <c r="F48" i="11"/>
  <c r="G48" i="11"/>
  <c r="H48" i="11"/>
  <c r="C49" i="11"/>
  <c r="D49" i="11"/>
  <c r="E49" i="11"/>
  <c r="F49" i="11"/>
  <c r="G49" i="11"/>
  <c r="H49" i="11"/>
  <c r="C50" i="11"/>
  <c r="D50" i="11"/>
  <c r="E50" i="11"/>
  <c r="F50" i="11"/>
  <c r="G50" i="11"/>
  <c r="H50" i="11"/>
  <c r="C51" i="11"/>
  <c r="D51" i="11"/>
  <c r="E51" i="11"/>
  <c r="F51" i="11"/>
  <c r="G51" i="11"/>
  <c r="H51" i="11"/>
  <c r="C52" i="11"/>
  <c r="D52" i="11"/>
  <c r="E52" i="11"/>
  <c r="F52" i="11"/>
  <c r="G52" i="11"/>
  <c r="H52" i="11"/>
  <c r="C53" i="11"/>
  <c r="D53" i="11"/>
  <c r="E53" i="11"/>
  <c r="F53" i="11"/>
  <c r="G53" i="11"/>
  <c r="H53" i="11"/>
  <c r="C54" i="11"/>
  <c r="D54" i="11"/>
  <c r="E54" i="11"/>
  <c r="F54" i="11"/>
  <c r="G54" i="11"/>
  <c r="H54" i="11"/>
  <c r="C55" i="11"/>
  <c r="D55" i="11"/>
  <c r="E55" i="11"/>
  <c r="F55" i="11"/>
  <c r="G55" i="11"/>
  <c r="H55" i="11"/>
  <c r="C56" i="11"/>
  <c r="D56" i="11"/>
  <c r="E56" i="11"/>
  <c r="F56" i="11"/>
  <c r="G56" i="11"/>
  <c r="H56" i="11"/>
  <c r="C57" i="11"/>
  <c r="D57" i="11"/>
  <c r="E57" i="11"/>
  <c r="F57" i="11"/>
  <c r="G57" i="11"/>
  <c r="H57" i="11"/>
  <c r="C58" i="11"/>
  <c r="D58" i="11"/>
  <c r="E58" i="11"/>
  <c r="F58" i="11"/>
  <c r="G58" i="11"/>
  <c r="H58" i="11"/>
  <c r="C59" i="11"/>
  <c r="D59" i="11"/>
  <c r="E59" i="11"/>
  <c r="F59" i="11"/>
  <c r="G59" i="11"/>
  <c r="H59" i="11"/>
  <c r="C60" i="11"/>
  <c r="D60" i="11"/>
  <c r="E60" i="11"/>
  <c r="F60" i="11"/>
  <c r="G60" i="11"/>
  <c r="H60" i="11"/>
  <c r="C61" i="11"/>
  <c r="D61" i="11"/>
  <c r="E61" i="11"/>
  <c r="F61" i="11"/>
  <c r="G61" i="11"/>
  <c r="H61" i="11"/>
  <c r="C62" i="11"/>
  <c r="D62" i="11"/>
  <c r="E62" i="11"/>
  <c r="F62" i="11"/>
  <c r="G62" i="11"/>
  <c r="H62" i="11"/>
  <c r="C63" i="11"/>
  <c r="D63" i="11"/>
  <c r="E63" i="11"/>
  <c r="F63" i="11"/>
  <c r="G63" i="11"/>
  <c r="H63" i="11"/>
  <c r="C64" i="11"/>
  <c r="D64" i="11"/>
  <c r="E64" i="11"/>
  <c r="F64" i="11"/>
  <c r="G64" i="11"/>
  <c r="H64" i="11"/>
  <c r="C65" i="11"/>
  <c r="D65" i="11"/>
  <c r="E65" i="11"/>
  <c r="F65" i="11"/>
  <c r="G65" i="11"/>
  <c r="H65" i="11"/>
  <c r="C66" i="11"/>
  <c r="D66" i="11"/>
  <c r="E66" i="11"/>
  <c r="F66" i="11"/>
  <c r="G66" i="11"/>
  <c r="H66" i="11"/>
  <c r="C67" i="11"/>
  <c r="D67" i="11"/>
  <c r="E67" i="11"/>
  <c r="F67" i="11"/>
  <c r="G67" i="11"/>
  <c r="H67" i="11"/>
  <c r="C68" i="11"/>
  <c r="D68" i="11"/>
  <c r="E68" i="11"/>
  <c r="F68" i="11"/>
  <c r="G68" i="11"/>
  <c r="H68" i="11"/>
  <c r="C69" i="11"/>
  <c r="D69" i="11"/>
  <c r="E69" i="11"/>
  <c r="F69" i="11"/>
  <c r="G69" i="11"/>
  <c r="H69" i="11"/>
  <c r="C70" i="11"/>
  <c r="D70" i="11"/>
  <c r="E70" i="11"/>
  <c r="F70" i="11"/>
  <c r="G70" i="11"/>
  <c r="H70" i="11"/>
  <c r="C71" i="11"/>
  <c r="D71" i="11"/>
  <c r="E71" i="11"/>
  <c r="F71" i="11"/>
  <c r="G71" i="11"/>
  <c r="H71" i="11"/>
  <c r="C72" i="11"/>
  <c r="D72" i="11"/>
  <c r="E72" i="11"/>
  <c r="F72" i="11"/>
  <c r="G72" i="11"/>
  <c r="H72" i="11"/>
  <c r="C73" i="11"/>
  <c r="D73" i="11"/>
  <c r="E73" i="11"/>
  <c r="F73" i="11"/>
  <c r="G73" i="11"/>
  <c r="H73" i="11"/>
  <c r="C74" i="11"/>
  <c r="D74" i="11"/>
  <c r="E74" i="11"/>
  <c r="F74" i="11"/>
  <c r="G74" i="11"/>
  <c r="H74" i="11"/>
  <c r="C75" i="11"/>
  <c r="D75" i="11"/>
  <c r="E75" i="11"/>
  <c r="F75" i="11"/>
  <c r="G75" i="11"/>
  <c r="H75" i="11"/>
  <c r="C76" i="11"/>
  <c r="D76" i="11"/>
  <c r="E76" i="11"/>
  <c r="F76" i="11"/>
  <c r="G76" i="11"/>
  <c r="H76" i="11"/>
  <c r="C77" i="11"/>
  <c r="D77" i="11"/>
  <c r="E77" i="11"/>
  <c r="F77" i="11"/>
  <c r="G77" i="11"/>
  <c r="H77" i="11"/>
  <c r="C78" i="11"/>
  <c r="D78" i="11"/>
  <c r="E78" i="11"/>
  <c r="F78" i="11"/>
  <c r="G78" i="11"/>
  <c r="H78" i="11"/>
  <c r="C79" i="11"/>
  <c r="D79" i="11"/>
  <c r="E79" i="11"/>
  <c r="F79" i="11"/>
  <c r="G79" i="11"/>
  <c r="H79" i="11"/>
  <c r="C80" i="11"/>
  <c r="D80" i="11"/>
  <c r="E80" i="11"/>
  <c r="F80" i="11"/>
  <c r="G80" i="11"/>
  <c r="H80" i="11"/>
  <c r="C81" i="11"/>
  <c r="D81" i="11"/>
  <c r="E81" i="11"/>
  <c r="F81" i="11"/>
  <c r="G81" i="11"/>
  <c r="H81" i="11"/>
  <c r="C82" i="11"/>
  <c r="D82" i="11"/>
  <c r="E82" i="11"/>
  <c r="F82" i="11"/>
  <c r="G82" i="11"/>
  <c r="H82" i="11"/>
  <c r="C83" i="11"/>
  <c r="D83" i="11"/>
  <c r="E83" i="11"/>
  <c r="F83" i="11"/>
  <c r="G83" i="11"/>
  <c r="H83" i="11"/>
  <c r="C84" i="11"/>
  <c r="D84" i="11"/>
  <c r="E84" i="11"/>
  <c r="F84" i="11"/>
  <c r="G84" i="11"/>
  <c r="H84" i="11"/>
  <c r="C85" i="11"/>
  <c r="D85" i="11"/>
  <c r="E85" i="11"/>
  <c r="F85" i="11"/>
  <c r="G85" i="11"/>
  <c r="H85" i="11"/>
  <c r="C86" i="11"/>
  <c r="D86" i="11"/>
  <c r="E86" i="11"/>
  <c r="F86" i="11"/>
  <c r="G86" i="11"/>
  <c r="H86" i="11"/>
  <c r="C87" i="11"/>
  <c r="D87" i="11"/>
  <c r="E87" i="11"/>
  <c r="F87" i="11"/>
  <c r="G87" i="11"/>
  <c r="H87" i="11"/>
  <c r="C88" i="11"/>
  <c r="D88" i="11"/>
  <c r="E88" i="11"/>
  <c r="F88" i="11"/>
  <c r="G88" i="11"/>
  <c r="H88" i="11"/>
  <c r="C89" i="11"/>
  <c r="D89" i="11"/>
  <c r="E89" i="11"/>
  <c r="F89" i="11"/>
  <c r="G89" i="11"/>
  <c r="H89" i="11"/>
  <c r="C90" i="11"/>
  <c r="D90" i="11"/>
  <c r="E90" i="11"/>
  <c r="F90" i="11"/>
  <c r="G90" i="11"/>
  <c r="H90" i="11"/>
  <c r="C91" i="11"/>
  <c r="D91" i="11"/>
  <c r="E91" i="11"/>
  <c r="F91" i="11"/>
  <c r="G91" i="11"/>
  <c r="H91" i="11"/>
  <c r="C92" i="11"/>
  <c r="D92" i="11"/>
  <c r="E92" i="11"/>
  <c r="F92" i="11"/>
  <c r="G92" i="11"/>
  <c r="H92" i="11"/>
  <c r="C93" i="11"/>
  <c r="D93" i="11"/>
  <c r="E93" i="11"/>
  <c r="F93" i="11"/>
  <c r="G93" i="11"/>
  <c r="H93" i="11"/>
  <c r="C94" i="11"/>
  <c r="D94" i="11"/>
  <c r="E94" i="11"/>
  <c r="F94" i="11"/>
  <c r="G94" i="11"/>
  <c r="H94" i="11"/>
  <c r="C95" i="11"/>
  <c r="D95" i="11"/>
  <c r="E95" i="11"/>
  <c r="F95" i="11"/>
  <c r="G95" i="11"/>
  <c r="H95" i="11"/>
  <c r="C96" i="11"/>
  <c r="D96" i="11"/>
  <c r="E96" i="11"/>
  <c r="F96" i="11"/>
  <c r="G96" i="11"/>
  <c r="H96" i="11"/>
  <c r="C97" i="11"/>
  <c r="D97" i="11"/>
  <c r="E97" i="11"/>
  <c r="F97" i="11"/>
  <c r="G97" i="11"/>
  <c r="H97" i="11"/>
  <c r="C98" i="11"/>
  <c r="D98" i="11"/>
  <c r="E98" i="11"/>
  <c r="F98" i="11"/>
  <c r="G98" i="11"/>
  <c r="H98" i="11"/>
  <c r="C99" i="11"/>
  <c r="D99" i="11"/>
  <c r="E99" i="11"/>
  <c r="F99" i="11"/>
  <c r="G99" i="11"/>
  <c r="H99" i="11"/>
  <c r="C100" i="11"/>
  <c r="D100" i="11"/>
  <c r="E100" i="11"/>
  <c r="F100" i="11"/>
  <c r="G100" i="11"/>
  <c r="H100" i="11"/>
  <c r="C101" i="11"/>
  <c r="D101" i="11"/>
  <c r="E101" i="11"/>
  <c r="F101" i="11"/>
  <c r="G101" i="11"/>
  <c r="H101" i="11"/>
  <c r="C102" i="11"/>
  <c r="D102" i="11"/>
  <c r="E102" i="11"/>
  <c r="F102" i="11"/>
  <c r="G102" i="11"/>
  <c r="H102" i="11"/>
  <c r="C103" i="11"/>
  <c r="D103" i="11"/>
  <c r="E103" i="11"/>
  <c r="F103" i="11"/>
  <c r="G103" i="11"/>
  <c r="H103" i="11"/>
  <c r="C104" i="11"/>
  <c r="D104" i="11"/>
  <c r="E104" i="11"/>
  <c r="F104" i="11"/>
  <c r="G104" i="11"/>
  <c r="H104" i="11"/>
  <c r="C105" i="11"/>
  <c r="D105" i="11"/>
  <c r="E105" i="11"/>
  <c r="F105" i="11"/>
  <c r="G105" i="11"/>
  <c r="H105" i="11"/>
  <c r="C106" i="11"/>
  <c r="D106" i="11"/>
  <c r="E106" i="11"/>
  <c r="F106" i="11"/>
  <c r="G106" i="11"/>
  <c r="H106" i="11"/>
  <c r="D7" i="11"/>
  <c r="E7" i="11"/>
  <c r="F7" i="11"/>
  <c r="G7" i="11"/>
  <c r="H7" i="11"/>
  <c r="O7" i="15" l="1"/>
  <c r="B105" i="15"/>
  <c r="B104" i="15"/>
  <c r="B103" i="15"/>
  <c r="B102" i="15"/>
  <c r="B101" i="15"/>
  <c r="B100" i="15"/>
  <c r="B99" i="15"/>
  <c r="B98" i="15"/>
  <c r="B97" i="15"/>
  <c r="B96" i="15"/>
  <c r="B95" i="15"/>
  <c r="B94" i="15"/>
  <c r="B93" i="15"/>
  <c r="B92" i="15"/>
  <c r="B91" i="15"/>
  <c r="B90" i="15"/>
  <c r="B89" i="15"/>
  <c r="B88" i="15"/>
  <c r="B87" i="15"/>
  <c r="B86" i="15"/>
  <c r="B85" i="15"/>
  <c r="B84" i="15"/>
  <c r="B83" i="15"/>
  <c r="B82" i="15"/>
  <c r="B81" i="15"/>
  <c r="B80" i="15"/>
  <c r="B79" i="15"/>
  <c r="B78" i="15"/>
  <c r="B77" i="15"/>
  <c r="B76" i="15"/>
  <c r="B75" i="15"/>
  <c r="B74" i="15"/>
  <c r="B73" i="15"/>
  <c r="B72" i="15"/>
  <c r="B71" i="15"/>
  <c r="B70" i="15"/>
  <c r="B69" i="15"/>
  <c r="B68" i="15"/>
  <c r="B67" i="15"/>
  <c r="B66" i="15"/>
  <c r="B65" i="15"/>
  <c r="B64" i="15"/>
  <c r="B63" i="15"/>
  <c r="B62" i="15"/>
  <c r="B61" i="15"/>
  <c r="B60" i="15"/>
  <c r="B59" i="15"/>
  <c r="B58" i="15"/>
  <c r="B57" i="15"/>
  <c r="B56" i="15"/>
  <c r="B55" i="15"/>
  <c r="B54" i="15"/>
  <c r="B53" i="15"/>
  <c r="B52" i="15"/>
  <c r="B51" i="15"/>
  <c r="B50" i="15"/>
  <c r="B49" i="15"/>
  <c r="B48" i="15"/>
  <c r="B47" i="15"/>
  <c r="B46" i="15"/>
  <c r="B45" i="15"/>
  <c r="B44" i="15"/>
  <c r="B43" i="15"/>
  <c r="B42" i="15"/>
  <c r="B41" i="15"/>
  <c r="B40" i="15"/>
  <c r="B39" i="15"/>
  <c r="B38" i="15"/>
  <c r="B37" i="15"/>
  <c r="B36" i="15"/>
  <c r="B35" i="15"/>
  <c r="B34" i="15"/>
  <c r="B33" i="15"/>
  <c r="B32" i="15"/>
  <c r="B31" i="15"/>
  <c r="B30" i="15"/>
  <c r="B29" i="15"/>
  <c r="B28" i="15"/>
  <c r="B27" i="15"/>
  <c r="B26" i="15"/>
  <c r="B25" i="15"/>
  <c r="B24" i="15"/>
  <c r="B23" i="15"/>
  <c r="B22" i="15"/>
  <c r="B21" i="15"/>
  <c r="B20" i="15"/>
  <c r="B19" i="15"/>
  <c r="B18" i="15"/>
  <c r="B17" i="15"/>
  <c r="B16" i="15"/>
  <c r="B15" i="15"/>
  <c r="B14" i="15"/>
  <c r="B13" i="15"/>
  <c r="B12" i="15"/>
  <c r="B11" i="15"/>
  <c r="B10" i="15"/>
  <c r="B9" i="15"/>
  <c r="B8" i="15"/>
  <c r="B7" i="15"/>
  <c r="A7" i="15"/>
  <c r="D5" i="11"/>
  <c r="M10" i="11" s="1"/>
  <c r="E5" i="11"/>
  <c r="M13" i="11" s="1"/>
  <c r="F5" i="11"/>
  <c r="M16" i="11" s="1"/>
  <c r="G5" i="11"/>
  <c r="M19" i="11" s="1"/>
  <c r="M22" i="11"/>
  <c r="C5" i="11"/>
  <c r="H101" i="14"/>
  <c r="I101" i="14" s="1"/>
  <c r="AA105" i="1" s="1"/>
  <c r="B101" i="14"/>
  <c r="H100" i="14"/>
  <c r="I100" i="14" s="1"/>
  <c r="AA104" i="1" s="1"/>
  <c r="B100" i="14"/>
  <c r="H99" i="14"/>
  <c r="I99" i="14" s="1"/>
  <c r="AA103" i="1" s="1"/>
  <c r="B99" i="14"/>
  <c r="H98" i="14"/>
  <c r="I98" i="14" s="1"/>
  <c r="AA102" i="1" s="1"/>
  <c r="B98" i="14"/>
  <c r="H97" i="14"/>
  <c r="I97" i="14" s="1"/>
  <c r="AA101" i="1" s="1"/>
  <c r="B97" i="14"/>
  <c r="H96" i="14"/>
  <c r="I96" i="14" s="1"/>
  <c r="AA100" i="1" s="1"/>
  <c r="B96" i="14"/>
  <c r="H95" i="14"/>
  <c r="I95" i="14" s="1"/>
  <c r="AA99" i="1" s="1"/>
  <c r="B95" i="14"/>
  <c r="H94" i="14"/>
  <c r="I94" i="14" s="1"/>
  <c r="AA98" i="1" s="1"/>
  <c r="B94" i="14"/>
  <c r="H93" i="14"/>
  <c r="I93" i="14" s="1"/>
  <c r="AA97" i="1" s="1"/>
  <c r="B93" i="14"/>
  <c r="H92" i="14"/>
  <c r="I92" i="14" s="1"/>
  <c r="AA96" i="1" s="1"/>
  <c r="B92" i="14"/>
  <c r="H91" i="14"/>
  <c r="I91" i="14" s="1"/>
  <c r="AA95" i="1" s="1"/>
  <c r="B91" i="14"/>
  <c r="H90" i="14"/>
  <c r="I90" i="14" s="1"/>
  <c r="AA94" i="1" s="1"/>
  <c r="B90" i="14"/>
  <c r="H89" i="14"/>
  <c r="I89" i="14" s="1"/>
  <c r="AA93" i="1" s="1"/>
  <c r="B89" i="14"/>
  <c r="H88" i="14"/>
  <c r="I88" i="14" s="1"/>
  <c r="AA92" i="1" s="1"/>
  <c r="B88" i="14"/>
  <c r="I87" i="14"/>
  <c r="AA91" i="1" s="1"/>
  <c r="H87" i="14"/>
  <c r="B87" i="14"/>
  <c r="H86" i="14"/>
  <c r="I86" i="14" s="1"/>
  <c r="AA90" i="1" s="1"/>
  <c r="B86" i="14"/>
  <c r="H85" i="14"/>
  <c r="I85" i="14" s="1"/>
  <c r="AA89" i="1" s="1"/>
  <c r="B85" i="14"/>
  <c r="H84" i="14"/>
  <c r="I84" i="14" s="1"/>
  <c r="AA88" i="1" s="1"/>
  <c r="B84" i="14"/>
  <c r="H83" i="14"/>
  <c r="I83" i="14" s="1"/>
  <c r="AA87" i="1" s="1"/>
  <c r="B83" i="14"/>
  <c r="H82" i="14"/>
  <c r="I82" i="14" s="1"/>
  <c r="AA86" i="1" s="1"/>
  <c r="B82" i="14"/>
  <c r="H81" i="14"/>
  <c r="I81" i="14" s="1"/>
  <c r="AA85" i="1" s="1"/>
  <c r="B81" i="14"/>
  <c r="H80" i="14"/>
  <c r="I80" i="14" s="1"/>
  <c r="AA84" i="1" s="1"/>
  <c r="B80" i="14"/>
  <c r="H79" i="14"/>
  <c r="I79" i="14" s="1"/>
  <c r="AA83" i="1" s="1"/>
  <c r="B79" i="14"/>
  <c r="H78" i="14"/>
  <c r="I78" i="14" s="1"/>
  <c r="AA82" i="1" s="1"/>
  <c r="B78" i="14"/>
  <c r="H77" i="14"/>
  <c r="I77" i="14" s="1"/>
  <c r="AA81" i="1" s="1"/>
  <c r="B77" i="14"/>
  <c r="H76" i="14"/>
  <c r="I76" i="14" s="1"/>
  <c r="AA80" i="1" s="1"/>
  <c r="B76" i="14"/>
  <c r="H75" i="14"/>
  <c r="I75" i="14" s="1"/>
  <c r="AA79" i="1" s="1"/>
  <c r="B75" i="14"/>
  <c r="H74" i="14"/>
  <c r="I74" i="14" s="1"/>
  <c r="AA78" i="1" s="1"/>
  <c r="B74" i="14"/>
  <c r="H73" i="14"/>
  <c r="I73" i="14" s="1"/>
  <c r="AA77" i="1" s="1"/>
  <c r="B73" i="14"/>
  <c r="H72" i="14"/>
  <c r="I72" i="14" s="1"/>
  <c r="AA76" i="1" s="1"/>
  <c r="B72" i="14"/>
  <c r="I71" i="14"/>
  <c r="AA75" i="1" s="1"/>
  <c r="H71" i="14"/>
  <c r="B71" i="14"/>
  <c r="H70" i="14"/>
  <c r="I70" i="14" s="1"/>
  <c r="AA74" i="1" s="1"/>
  <c r="B70" i="14"/>
  <c r="H69" i="14"/>
  <c r="I69" i="14" s="1"/>
  <c r="AA73" i="1" s="1"/>
  <c r="B69" i="14"/>
  <c r="H68" i="14"/>
  <c r="I68" i="14" s="1"/>
  <c r="AA72" i="1" s="1"/>
  <c r="B68" i="14"/>
  <c r="H67" i="14"/>
  <c r="I67" i="14" s="1"/>
  <c r="AA71" i="1" s="1"/>
  <c r="B67" i="14"/>
  <c r="H66" i="14"/>
  <c r="I66" i="14" s="1"/>
  <c r="AA70" i="1" s="1"/>
  <c r="B66" i="14"/>
  <c r="H65" i="14"/>
  <c r="I65" i="14" s="1"/>
  <c r="AA69" i="1" s="1"/>
  <c r="B65" i="14"/>
  <c r="H64" i="14"/>
  <c r="I64" i="14" s="1"/>
  <c r="AA68" i="1" s="1"/>
  <c r="B64" i="14"/>
  <c r="H63" i="14"/>
  <c r="I63" i="14" s="1"/>
  <c r="AA67" i="1" s="1"/>
  <c r="B63" i="14"/>
  <c r="H62" i="14"/>
  <c r="I62" i="14" s="1"/>
  <c r="AA66" i="1" s="1"/>
  <c r="B62" i="14"/>
  <c r="H61" i="14"/>
  <c r="I61" i="14" s="1"/>
  <c r="AA65" i="1" s="1"/>
  <c r="B61" i="14"/>
  <c r="H60" i="14"/>
  <c r="I60" i="14" s="1"/>
  <c r="AA64" i="1" s="1"/>
  <c r="B60" i="14"/>
  <c r="H59" i="14"/>
  <c r="I59" i="14" s="1"/>
  <c r="AA63" i="1" s="1"/>
  <c r="B59" i="14"/>
  <c r="H58" i="14"/>
  <c r="I58" i="14" s="1"/>
  <c r="AA62" i="1" s="1"/>
  <c r="B58" i="14"/>
  <c r="H57" i="14"/>
  <c r="I57" i="14" s="1"/>
  <c r="AA61" i="1" s="1"/>
  <c r="B57" i="14"/>
  <c r="H56" i="14"/>
  <c r="I56" i="14" s="1"/>
  <c r="AA60" i="1" s="1"/>
  <c r="B56" i="14"/>
  <c r="I55" i="14"/>
  <c r="AA59" i="1" s="1"/>
  <c r="H55" i="14"/>
  <c r="B55" i="14"/>
  <c r="H54" i="14"/>
  <c r="I54" i="14" s="1"/>
  <c r="AA58" i="1" s="1"/>
  <c r="B54" i="14"/>
  <c r="H53" i="14"/>
  <c r="I53" i="14" s="1"/>
  <c r="AA57" i="1" s="1"/>
  <c r="B53" i="14"/>
  <c r="H52" i="14"/>
  <c r="I52" i="14" s="1"/>
  <c r="AA56" i="1" s="1"/>
  <c r="B52" i="14"/>
  <c r="H51" i="14"/>
  <c r="I51" i="14" s="1"/>
  <c r="AA55" i="1" s="1"/>
  <c r="B51" i="14"/>
  <c r="H50" i="14"/>
  <c r="I50" i="14" s="1"/>
  <c r="AA54" i="1" s="1"/>
  <c r="B50" i="14"/>
  <c r="H49" i="14"/>
  <c r="I49" i="14" s="1"/>
  <c r="AA53" i="1" s="1"/>
  <c r="B49" i="14"/>
  <c r="H48" i="14"/>
  <c r="I48" i="14" s="1"/>
  <c r="AA52" i="1" s="1"/>
  <c r="B48" i="14"/>
  <c r="H47" i="14"/>
  <c r="I47" i="14" s="1"/>
  <c r="AA51" i="1" s="1"/>
  <c r="B47" i="14"/>
  <c r="H46" i="14"/>
  <c r="I46" i="14" s="1"/>
  <c r="AA50" i="1" s="1"/>
  <c r="B46" i="14"/>
  <c r="H45" i="14"/>
  <c r="I45" i="14" s="1"/>
  <c r="AA49" i="1" s="1"/>
  <c r="B45" i="14"/>
  <c r="H44" i="14"/>
  <c r="I44" i="14" s="1"/>
  <c r="AA48" i="1" s="1"/>
  <c r="B44" i="14"/>
  <c r="H43" i="14"/>
  <c r="I43" i="14" s="1"/>
  <c r="AA47" i="1" s="1"/>
  <c r="B43" i="14"/>
  <c r="H42" i="14"/>
  <c r="I42" i="14" s="1"/>
  <c r="AA46" i="1" s="1"/>
  <c r="B42" i="14"/>
  <c r="H41" i="14"/>
  <c r="I41" i="14" s="1"/>
  <c r="AA45" i="1" s="1"/>
  <c r="B41" i="14"/>
  <c r="H40" i="14"/>
  <c r="I40" i="14" s="1"/>
  <c r="AA44" i="1" s="1"/>
  <c r="B40" i="14"/>
  <c r="I39" i="14"/>
  <c r="AA43" i="1" s="1"/>
  <c r="H39" i="14"/>
  <c r="B39" i="14"/>
  <c r="H38" i="14"/>
  <c r="I38" i="14" s="1"/>
  <c r="AA42" i="1" s="1"/>
  <c r="B38" i="14"/>
  <c r="H37" i="14"/>
  <c r="I37" i="14" s="1"/>
  <c r="AA41" i="1" s="1"/>
  <c r="B37" i="14"/>
  <c r="H36" i="14"/>
  <c r="I36" i="14" s="1"/>
  <c r="AA40" i="1" s="1"/>
  <c r="B36" i="14"/>
  <c r="H35" i="14"/>
  <c r="I35" i="14" s="1"/>
  <c r="AA39" i="1" s="1"/>
  <c r="B35" i="14"/>
  <c r="H34" i="14"/>
  <c r="I34" i="14" s="1"/>
  <c r="AA38" i="1" s="1"/>
  <c r="B34" i="14"/>
  <c r="H33" i="14"/>
  <c r="I33" i="14" s="1"/>
  <c r="AA37" i="1" s="1"/>
  <c r="B33" i="14"/>
  <c r="H32" i="14"/>
  <c r="I32" i="14" s="1"/>
  <c r="AA36" i="1" s="1"/>
  <c r="B32" i="14"/>
  <c r="H31" i="14"/>
  <c r="I31" i="14" s="1"/>
  <c r="AA35" i="1" s="1"/>
  <c r="B31" i="14"/>
  <c r="H30" i="14"/>
  <c r="I30" i="14" s="1"/>
  <c r="AA34" i="1" s="1"/>
  <c r="B30" i="14"/>
  <c r="H29" i="14"/>
  <c r="I29" i="14" s="1"/>
  <c r="AA33" i="1" s="1"/>
  <c r="B29" i="14"/>
  <c r="H28" i="14"/>
  <c r="I28" i="14" s="1"/>
  <c r="AA32" i="1" s="1"/>
  <c r="B28" i="14"/>
  <c r="H27" i="14"/>
  <c r="I27" i="14" s="1"/>
  <c r="AA31" i="1" s="1"/>
  <c r="B27" i="14"/>
  <c r="H26" i="14"/>
  <c r="I26" i="14" s="1"/>
  <c r="AA30" i="1" s="1"/>
  <c r="B26" i="14"/>
  <c r="H25" i="14"/>
  <c r="I25" i="14" s="1"/>
  <c r="AA29" i="1" s="1"/>
  <c r="B25" i="14"/>
  <c r="H24" i="14"/>
  <c r="I24" i="14" s="1"/>
  <c r="AA28" i="1" s="1"/>
  <c r="B24" i="14"/>
  <c r="H23" i="14"/>
  <c r="I23" i="14" s="1"/>
  <c r="AA27" i="1" s="1"/>
  <c r="B23" i="14"/>
  <c r="H22" i="14"/>
  <c r="I22" i="14" s="1"/>
  <c r="AA26" i="1" s="1"/>
  <c r="B22" i="14"/>
  <c r="H21" i="14"/>
  <c r="I21" i="14" s="1"/>
  <c r="AA25" i="1" s="1"/>
  <c r="B21" i="14"/>
  <c r="H20" i="14"/>
  <c r="I20" i="14" s="1"/>
  <c r="AA24" i="1" s="1"/>
  <c r="B20" i="14"/>
  <c r="H19" i="14"/>
  <c r="I19" i="14" s="1"/>
  <c r="AA23" i="1" s="1"/>
  <c r="B19" i="14"/>
  <c r="H18" i="14"/>
  <c r="I18" i="14" s="1"/>
  <c r="AA22" i="1" s="1"/>
  <c r="B18" i="14"/>
  <c r="H17" i="14"/>
  <c r="I17" i="14" s="1"/>
  <c r="AA21" i="1" s="1"/>
  <c r="B17" i="14"/>
  <c r="H16" i="14"/>
  <c r="I16" i="14" s="1"/>
  <c r="AA20" i="1" s="1"/>
  <c r="B16" i="14"/>
  <c r="H15" i="14"/>
  <c r="I15" i="14" s="1"/>
  <c r="AA19" i="1" s="1"/>
  <c r="B15" i="14"/>
  <c r="H14" i="14"/>
  <c r="I14" i="14" s="1"/>
  <c r="AA18" i="1" s="1"/>
  <c r="B14" i="14"/>
  <c r="H13" i="14"/>
  <c r="I13" i="14" s="1"/>
  <c r="AA17" i="1" s="1"/>
  <c r="B13" i="14"/>
  <c r="H12" i="14"/>
  <c r="I12" i="14" s="1"/>
  <c r="AA16" i="1" s="1"/>
  <c r="B12" i="14"/>
  <c r="H11" i="14"/>
  <c r="I11" i="14" s="1"/>
  <c r="AA15" i="1" s="1"/>
  <c r="B11" i="14"/>
  <c r="H10" i="14"/>
  <c r="I10" i="14" s="1"/>
  <c r="AA14" i="1" s="1"/>
  <c r="B10" i="14"/>
  <c r="H9" i="14"/>
  <c r="I9" i="14" s="1"/>
  <c r="AA13" i="1" s="1"/>
  <c r="B9" i="14"/>
  <c r="H8" i="14"/>
  <c r="I8" i="14" s="1"/>
  <c r="AA12" i="1" s="1"/>
  <c r="B8" i="14"/>
  <c r="H7" i="14"/>
  <c r="I7" i="14" s="1"/>
  <c r="AA11" i="1" s="1"/>
  <c r="B7" i="14"/>
  <c r="H6" i="14"/>
  <c r="I6" i="14" s="1"/>
  <c r="AA10" i="1" s="1"/>
  <c r="B6" i="14"/>
  <c r="H5" i="14"/>
  <c r="I5" i="14" s="1"/>
  <c r="AA9" i="1" s="1"/>
  <c r="B5" i="14"/>
  <c r="H4" i="14"/>
  <c r="I4" i="14" s="1"/>
  <c r="AA8" i="1" s="1"/>
  <c r="B4" i="14"/>
  <c r="H3" i="14"/>
  <c r="I3" i="14" s="1"/>
  <c r="AA7" i="1" s="1"/>
  <c r="B3" i="14"/>
  <c r="H2" i="14"/>
  <c r="I2" i="14" s="1"/>
  <c r="B2" i="14"/>
  <c r="A2" i="14"/>
  <c r="W6" i="1"/>
  <c r="N13" i="14" l="1"/>
  <c r="N3" i="14"/>
  <c r="N7" i="14"/>
  <c r="N11" i="14"/>
  <c r="N10" i="14"/>
  <c r="N4" i="14"/>
  <c r="N8" i="14"/>
  <c r="N12" i="14"/>
  <c r="N6" i="14"/>
  <c r="N5" i="14"/>
  <c r="N9" i="14"/>
  <c r="AG106" i="1" l="1"/>
  <c r="A4" i="16" l="1"/>
  <c r="A5" i="16"/>
  <c r="A6" i="16"/>
  <c r="A7" i="16"/>
  <c r="A8" i="16"/>
  <c r="A9" i="16"/>
  <c r="A10" i="16"/>
  <c r="A11" i="16"/>
  <c r="A12" i="16"/>
  <c r="A13" i="16"/>
  <c r="A14" i="16"/>
  <c r="A15" i="16"/>
  <c r="A16" i="16"/>
  <c r="A17" i="16"/>
  <c r="A18" i="16"/>
  <c r="A19" i="16"/>
  <c r="A20" i="16"/>
  <c r="A21" i="16"/>
  <c r="A22" i="16"/>
  <c r="A23" i="16"/>
  <c r="A24" i="16"/>
  <c r="A25" i="16"/>
  <c r="A26" i="16"/>
  <c r="A27" i="16"/>
  <c r="A28" i="16"/>
  <c r="A29" i="16"/>
  <c r="A30" i="16"/>
  <c r="A31" i="16"/>
  <c r="A32" i="16"/>
  <c r="A33" i="16"/>
  <c r="A34" i="16"/>
  <c r="A35" i="16"/>
  <c r="A36" i="16"/>
  <c r="A37" i="16"/>
  <c r="A38" i="16"/>
  <c r="A39" i="16"/>
  <c r="A40" i="16"/>
  <c r="A41" i="16"/>
  <c r="A42" i="16"/>
  <c r="A43" i="16"/>
  <c r="A44" i="16"/>
  <c r="A45" i="16"/>
  <c r="A46" i="16"/>
  <c r="A47" i="16"/>
  <c r="A48" i="16"/>
  <c r="A49" i="16"/>
  <c r="A50" i="16"/>
  <c r="A51" i="16"/>
  <c r="A52" i="16"/>
  <c r="A53" i="16"/>
  <c r="A54" i="16"/>
  <c r="A55" i="16"/>
  <c r="A56" i="16"/>
  <c r="A57" i="16"/>
  <c r="A58" i="16"/>
  <c r="A59" i="16"/>
  <c r="A60" i="16"/>
  <c r="A61" i="16"/>
  <c r="A62" i="16"/>
  <c r="A63" i="16"/>
  <c r="A64" i="16"/>
  <c r="A65" i="16"/>
  <c r="A66" i="16"/>
  <c r="A67" i="16"/>
  <c r="A68" i="16"/>
  <c r="A69" i="16"/>
  <c r="A70" i="16"/>
  <c r="A71" i="16"/>
  <c r="A72" i="16"/>
  <c r="A73" i="16"/>
  <c r="A74" i="16"/>
  <c r="A75" i="16"/>
  <c r="A76" i="16"/>
  <c r="A77" i="16"/>
  <c r="A78" i="16"/>
  <c r="A79" i="16"/>
  <c r="A80" i="16"/>
  <c r="A81" i="16"/>
  <c r="A82" i="16"/>
  <c r="A83" i="16"/>
  <c r="A84" i="16"/>
  <c r="A85" i="16"/>
  <c r="A86" i="16"/>
  <c r="A87" i="16"/>
  <c r="A88" i="16"/>
  <c r="A89" i="16"/>
  <c r="A90" i="16"/>
  <c r="A91" i="16"/>
  <c r="A92" i="16"/>
  <c r="A93" i="16"/>
  <c r="A94" i="16"/>
  <c r="A95" i="16"/>
  <c r="A96" i="16"/>
  <c r="A97" i="16"/>
  <c r="A98" i="16"/>
  <c r="A99" i="16"/>
  <c r="A100" i="16"/>
  <c r="A101" i="16"/>
  <c r="A106" i="11" l="1"/>
  <c r="A106" i="15"/>
  <c r="A95" i="14"/>
  <c r="A100" i="15"/>
  <c r="A83" i="14"/>
  <c r="A88" i="15"/>
  <c r="A79" i="14"/>
  <c r="A84" i="15"/>
  <c r="A71" i="14"/>
  <c r="A76" i="15"/>
  <c r="A63" i="14"/>
  <c r="A68" i="15"/>
  <c r="A55" i="14"/>
  <c r="A60" i="15"/>
  <c r="A47" i="14"/>
  <c r="A52" i="15"/>
  <c r="A44" i="15"/>
  <c r="A39" i="14"/>
  <c r="A31" i="14"/>
  <c r="A36" i="15"/>
  <c r="A28" i="15"/>
  <c r="A23" i="14"/>
  <c r="A20" i="15"/>
  <c r="A15" i="14"/>
  <c r="A12" i="15"/>
  <c r="A7" i="14"/>
  <c r="A99" i="15"/>
  <c r="A94" i="14"/>
  <c r="A91" i="15"/>
  <c r="A86" i="14"/>
  <c r="A83" i="15"/>
  <c r="A78" i="14"/>
  <c r="A75" i="15"/>
  <c r="A70" i="14"/>
  <c r="A67" i="15"/>
  <c r="A62" i="14"/>
  <c r="A59" i="15"/>
  <c r="A54" i="14"/>
  <c r="A51" i="15"/>
  <c r="A46" i="14"/>
  <c r="A43" i="15"/>
  <c r="A38" i="14"/>
  <c r="A35" i="15"/>
  <c r="A30" i="14"/>
  <c r="A27" i="15"/>
  <c r="A22" i="14"/>
  <c r="A19" i="15"/>
  <c r="A14" i="14"/>
  <c r="A15" i="15"/>
  <c r="A10" i="14"/>
  <c r="A101" i="14"/>
  <c r="A102" i="15"/>
  <c r="A97" i="14"/>
  <c r="A98" i="15"/>
  <c r="A93" i="14"/>
  <c r="A94" i="15"/>
  <c r="A89" i="14"/>
  <c r="A90" i="15"/>
  <c r="A85" i="14"/>
  <c r="A86" i="15"/>
  <c r="A81" i="14"/>
  <c r="A82" i="15"/>
  <c r="A77" i="14"/>
  <c r="A78" i="15"/>
  <c r="A73" i="14"/>
  <c r="A74" i="15"/>
  <c r="A69" i="14"/>
  <c r="A70" i="15"/>
  <c r="A65" i="14"/>
  <c r="A66" i="15"/>
  <c r="A61" i="14"/>
  <c r="A62" i="15"/>
  <c r="A57" i="14"/>
  <c r="A58" i="15"/>
  <c r="A53" i="14"/>
  <c r="A54" i="15"/>
  <c r="A49" i="14"/>
  <c r="A50" i="15"/>
  <c r="A45" i="14"/>
  <c r="A46" i="15"/>
  <c r="A41" i="14"/>
  <c r="A42" i="15"/>
  <c r="A37" i="14"/>
  <c r="A38" i="15"/>
  <c r="A33" i="14"/>
  <c r="A34" i="15"/>
  <c r="A29" i="14"/>
  <c r="A30" i="15"/>
  <c r="A25" i="14"/>
  <c r="A26" i="15"/>
  <c r="A21" i="14"/>
  <c r="A22" i="15"/>
  <c r="A17" i="14"/>
  <c r="A18" i="15"/>
  <c r="A13" i="14"/>
  <c r="A14" i="15"/>
  <c r="A9" i="14"/>
  <c r="A10" i="15"/>
  <c r="A5" i="14"/>
  <c r="A99" i="14"/>
  <c r="A104" i="15"/>
  <c r="A91" i="14"/>
  <c r="A96" i="15"/>
  <c r="A87" i="14"/>
  <c r="A92" i="15"/>
  <c r="A75" i="14"/>
  <c r="A80" i="15"/>
  <c r="A67" i="14"/>
  <c r="A72" i="15"/>
  <c r="A59" i="14"/>
  <c r="A64" i="15"/>
  <c r="A51" i="14"/>
  <c r="A56" i="15"/>
  <c r="A43" i="14"/>
  <c r="A48" i="15"/>
  <c r="A35" i="14"/>
  <c r="A40" i="15"/>
  <c r="A32" i="15"/>
  <c r="A27" i="14"/>
  <c r="A24" i="15"/>
  <c r="A19" i="14"/>
  <c r="A16" i="15"/>
  <c r="A11" i="14"/>
  <c r="A103" i="15"/>
  <c r="A98" i="14"/>
  <c r="A95" i="15"/>
  <c r="A90" i="14"/>
  <c r="A87" i="15"/>
  <c r="A82" i="14"/>
  <c r="A79" i="15"/>
  <c r="A74" i="14"/>
  <c r="A71" i="15"/>
  <c r="A66" i="14"/>
  <c r="A63" i="15"/>
  <c r="A58" i="14"/>
  <c r="A55" i="15"/>
  <c r="A50" i="14"/>
  <c r="A47" i="15"/>
  <c r="A42" i="14"/>
  <c r="A39" i="15"/>
  <c r="A34" i="14"/>
  <c r="A31" i="15"/>
  <c r="A26" i="14"/>
  <c r="A23" i="15"/>
  <c r="A18" i="14"/>
  <c r="A11" i="15"/>
  <c r="A6" i="14"/>
  <c r="A105" i="15"/>
  <c r="A100" i="14"/>
  <c r="A101" i="15"/>
  <c r="A96" i="14"/>
  <c r="A97" i="15"/>
  <c r="A92" i="14"/>
  <c r="A93" i="15"/>
  <c r="A88" i="14"/>
  <c r="A89" i="15"/>
  <c r="A84" i="14"/>
  <c r="A85" i="15"/>
  <c r="A80" i="14"/>
  <c r="A81" i="15"/>
  <c r="A76" i="14"/>
  <c r="A77" i="15"/>
  <c r="A72" i="14"/>
  <c r="A73" i="15"/>
  <c r="A68" i="14"/>
  <c r="A69" i="15"/>
  <c r="A64" i="14"/>
  <c r="A65" i="15"/>
  <c r="A60" i="14"/>
  <c r="A61" i="15"/>
  <c r="A56" i="14"/>
  <c r="A57" i="15"/>
  <c r="A52" i="14"/>
  <c r="A53" i="15"/>
  <c r="A48" i="14"/>
  <c r="A49" i="15"/>
  <c r="A44" i="14"/>
  <c r="A45" i="15"/>
  <c r="A40" i="14"/>
  <c r="A41" i="15"/>
  <c r="A36" i="14"/>
  <c r="A37" i="15"/>
  <c r="A32" i="14"/>
  <c r="A33" i="15"/>
  <c r="A28" i="14"/>
  <c r="A29" i="15"/>
  <c r="A24" i="14"/>
  <c r="A25" i="15"/>
  <c r="A20" i="14"/>
  <c r="A21" i="15"/>
  <c r="A16" i="14"/>
  <c r="A17" i="15"/>
  <c r="A12" i="14"/>
  <c r="A13" i="15"/>
  <c r="A8" i="14"/>
  <c r="A9" i="15"/>
  <c r="A4" i="14"/>
  <c r="F3" i="4"/>
  <c r="G3" i="4" s="1"/>
  <c r="U7" i="1" s="1"/>
  <c r="F4" i="4"/>
  <c r="G4" i="4" s="1"/>
  <c r="U8" i="1" s="1"/>
  <c r="F5" i="4"/>
  <c r="G5" i="4" s="1"/>
  <c r="U9" i="1" s="1"/>
  <c r="F6" i="4"/>
  <c r="G6" i="4" s="1"/>
  <c r="U10" i="1" s="1"/>
  <c r="F7" i="4"/>
  <c r="G7" i="4" s="1"/>
  <c r="U11" i="1" s="1"/>
  <c r="F8" i="4"/>
  <c r="G8" i="4" s="1"/>
  <c r="U12" i="1" s="1"/>
  <c r="F9" i="4"/>
  <c r="G9" i="4" s="1"/>
  <c r="U13" i="1" s="1"/>
  <c r="F10" i="4"/>
  <c r="G10" i="4" s="1"/>
  <c r="U14" i="1" s="1"/>
  <c r="F11" i="4"/>
  <c r="G11" i="4" s="1"/>
  <c r="U15" i="1" s="1"/>
  <c r="F12" i="4"/>
  <c r="G12" i="4" s="1"/>
  <c r="U16" i="1" s="1"/>
  <c r="F13" i="4"/>
  <c r="G13" i="4" s="1"/>
  <c r="U17" i="1" s="1"/>
  <c r="F14" i="4"/>
  <c r="G14" i="4" s="1"/>
  <c r="U18" i="1" s="1"/>
  <c r="F15" i="4"/>
  <c r="G15" i="4" s="1"/>
  <c r="U19" i="1" s="1"/>
  <c r="F16" i="4"/>
  <c r="G16" i="4" s="1"/>
  <c r="U20" i="1" s="1"/>
  <c r="F17" i="4"/>
  <c r="G17" i="4" s="1"/>
  <c r="U21" i="1" s="1"/>
  <c r="F18" i="4"/>
  <c r="G18" i="4" s="1"/>
  <c r="U22" i="1" s="1"/>
  <c r="F19" i="4"/>
  <c r="G19" i="4" s="1"/>
  <c r="U23" i="1" s="1"/>
  <c r="F20" i="4"/>
  <c r="G20" i="4" s="1"/>
  <c r="U24" i="1" s="1"/>
  <c r="F21" i="4"/>
  <c r="G21" i="4" s="1"/>
  <c r="U25" i="1" s="1"/>
  <c r="F22" i="4"/>
  <c r="G22" i="4" s="1"/>
  <c r="U26" i="1" s="1"/>
  <c r="F23" i="4"/>
  <c r="G23" i="4" s="1"/>
  <c r="U27" i="1" s="1"/>
  <c r="F24" i="4"/>
  <c r="G24" i="4" s="1"/>
  <c r="U28" i="1" s="1"/>
  <c r="F25" i="4"/>
  <c r="G25" i="4" s="1"/>
  <c r="U29" i="1" s="1"/>
  <c r="F26" i="4"/>
  <c r="G26" i="4" s="1"/>
  <c r="U30" i="1" s="1"/>
  <c r="F27" i="4"/>
  <c r="G27" i="4" s="1"/>
  <c r="U31" i="1" s="1"/>
  <c r="F28" i="4"/>
  <c r="G28" i="4" s="1"/>
  <c r="U32" i="1" s="1"/>
  <c r="F29" i="4"/>
  <c r="G29" i="4" s="1"/>
  <c r="U33" i="1" s="1"/>
  <c r="F30" i="4"/>
  <c r="G30" i="4" s="1"/>
  <c r="U34" i="1" s="1"/>
  <c r="F31" i="4"/>
  <c r="G31" i="4" s="1"/>
  <c r="U35" i="1" s="1"/>
  <c r="F32" i="4"/>
  <c r="G32" i="4" s="1"/>
  <c r="U36" i="1" s="1"/>
  <c r="F33" i="4"/>
  <c r="G33" i="4" s="1"/>
  <c r="U37" i="1" s="1"/>
  <c r="F34" i="4"/>
  <c r="G34" i="4" s="1"/>
  <c r="U38" i="1" s="1"/>
  <c r="F35" i="4"/>
  <c r="G35" i="4" s="1"/>
  <c r="U39" i="1" s="1"/>
  <c r="F36" i="4"/>
  <c r="G36" i="4" s="1"/>
  <c r="U40" i="1" s="1"/>
  <c r="F37" i="4"/>
  <c r="G37" i="4" s="1"/>
  <c r="U41" i="1" s="1"/>
  <c r="F38" i="4"/>
  <c r="G38" i="4" s="1"/>
  <c r="U42" i="1" s="1"/>
  <c r="F39" i="4"/>
  <c r="G39" i="4" s="1"/>
  <c r="U43" i="1" s="1"/>
  <c r="F40" i="4"/>
  <c r="G40" i="4" s="1"/>
  <c r="U44" i="1" s="1"/>
  <c r="F41" i="4"/>
  <c r="G41" i="4" s="1"/>
  <c r="U45" i="1" s="1"/>
  <c r="F42" i="4"/>
  <c r="G42" i="4" s="1"/>
  <c r="U46" i="1" s="1"/>
  <c r="F43" i="4"/>
  <c r="G43" i="4" s="1"/>
  <c r="U47" i="1" s="1"/>
  <c r="F44" i="4"/>
  <c r="G44" i="4" s="1"/>
  <c r="U48" i="1" s="1"/>
  <c r="F45" i="4"/>
  <c r="G45" i="4" s="1"/>
  <c r="U49" i="1" s="1"/>
  <c r="F46" i="4"/>
  <c r="G46" i="4" s="1"/>
  <c r="U50" i="1" s="1"/>
  <c r="F47" i="4"/>
  <c r="G47" i="4" s="1"/>
  <c r="U51" i="1" s="1"/>
  <c r="F48" i="4"/>
  <c r="G48" i="4" s="1"/>
  <c r="U52" i="1" s="1"/>
  <c r="F49" i="4"/>
  <c r="G49" i="4" s="1"/>
  <c r="U53" i="1" s="1"/>
  <c r="F50" i="4"/>
  <c r="G50" i="4" s="1"/>
  <c r="U54" i="1" s="1"/>
  <c r="F51" i="4"/>
  <c r="G51" i="4" s="1"/>
  <c r="U55" i="1" s="1"/>
  <c r="F52" i="4"/>
  <c r="G52" i="4" s="1"/>
  <c r="U56" i="1" s="1"/>
  <c r="F53" i="4"/>
  <c r="G53" i="4" s="1"/>
  <c r="U57" i="1" s="1"/>
  <c r="F54" i="4"/>
  <c r="G54" i="4" s="1"/>
  <c r="U58" i="1" s="1"/>
  <c r="F55" i="4"/>
  <c r="G55" i="4" s="1"/>
  <c r="U59" i="1" s="1"/>
  <c r="F56" i="4"/>
  <c r="G56" i="4" s="1"/>
  <c r="U60" i="1" s="1"/>
  <c r="F57" i="4"/>
  <c r="G57" i="4" s="1"/>
  <c r="U61" i="1" s="1"/>
  <c r="F58" i="4"/>
  <c r="G58" i="4" s="1"/>
  <c r="U62" i="1" s="1"/>
  <c r="F59" i="4"/>
  <c r="G59" i="4" s="1"/>
  <c r="U63" i="1" s="1"/>
  <c r="F60" i="4"/>
  <c r="G60" i="4" s="1"/>
  <c r="U64" i="1" s="1"/>
  <c r="F61" i="4"/>
  <c r="G61" i="4" s="1"/>
  <c r="U65" i="1" s="1"/>
  <c r="F62" i="4"/>
  <c r="G62" i="4" s="1"/>
  <c r="U66" i="1" s="1"/>
  <c r="F63" i="4"/>
  <c r="G63" i="4" s="1"/>
  <c r="U67" i="1" s="1"/>
  <c r="F64" i="4"/>
  <c r="G64" i="4" s="1"/>
  <c r="U68" i="1" s="1"/>
  <c r="F65" i="4"/>
  <c r="G65" i="4" s="1"/>
  <c r="U69" i="1" s="1"/>
  <c r="F66" i="4"/>
  <c r="G66" i="4" s="1"/>
  <c r="U70" i="1" s="1"/>
  <c r="F67" i="4"/>
  <c r="G67" i="4" s="1"/>
  <c r="U71" i="1" s="1"/>
  <c r="F68" i="4"/>
  <c r="G68" i="4" s="1"/>
  <c r="U72" i="1" s="1"/>
  <c r="F69" i="4"/>
  <c r="G69" i="4" s="1"/>
  <c r="U73" i="1" s="1"/>
  <c r="F70" i="4"/>
  <c r="G70" i="4" s="1"/>
  <c r="U74" i="1" s="1"/>
  <c r="F71" i="4"/>
  <c r="G71" i="4" s="1"/>
  <c r="U75" i="1" s="1"/>
  <c r="F72" i="4"/>
  <c r="G72" i="4" s="1"/>
  <c r="U76" i="1" s="1"/>
  <c r="F73" i="4"/>
  <c r="G73" i="4" s="1"/>
  <c r="U77" i="1" s="1"/>
  <c r="F74" i="4"/>
  <c r="G74" i="4" s="1"/>
  <c r="U78" i="1" s="1"/>
  <c r="F75" i="4"/>
  <c r="G75" i="4" s="1"/>
  <c r="U79" i="1" s="1"/>
  <c r="F76" i="4"/>
  <c r="G76" i="4" s="1"/>
  <c r="U80" i="1" s="1"/>
  <c r="F77" i="4"/>
  <c r="G77" i="4" s="1"/>
  <c r="U81" i="1" s="1"/>
  <c r="F78" i="4"/>
  <c r="G78" i="4" s="1"/>
  <c r="U82" i="1" s="1"/>
  <c r="F79" i="4"/>
  <c r="G79" i="4" s="1"/>
  <c r="U83" i="1" s="1"/>
  <c r="F80" i="4"/>
  <c r="G80" i="4" s="1"/>
  <c r="U84" i="1" s="1"/>
  <c r="F81" i="4"/>
  <c r="G81" i="4" s="1"/>
  <c r="U85" i="1" s="1"/>
  <c r="F82" i="4"/>
  <c r="G82" i="4" s="1"/>
  <c r="U86" i="1" s="1"/>
  <c r="F83" i="4"/>
  <c r="G83" i="4" s="1"/>
  <c r="U87" i="1" s="1"/>
  <c r="F84" i="4"/>
  <c r="G84" i="4" s="1"/>
  <c r="U88" i="1" s="1"/>
  <c r="F85" i="4"/>
  <c r="G85" i="4" s="1"/>
  <c r="U89" i="1" s="1"/>
  <c r="F86" i="4"/>
  <c r="G86" i="4" s="1"/>
  <c r="U90" i="1" s="1"/>
  <c r="F87" i="4"/>
  <c r="G87" i="4" s="1"/>
  <c r="U91" i="1" s="1"/>
  <c r="F88" i="4"/>
  <c r="G88" i="4" s="1"/>
  <c r="U92" i="1" s="1"/>
  <c r="F89" i="4"/>
  <c r="G89" i="4" s="1"/>
  <c r="U93" i="1" s="1"/>
  <c r="F90" i="4"/>
  <c r="G90" i="4" s="1"/>
  <c r="U94" i="1" s="1"/>
  <c r="F91" i="4"/>
  <c r="G91" i="4" s="1"/>
  <c r="U95" i="1" s="1"/>
  <c r="F92" i="4"/>
  <c r="G92" i="4" s="1"/>
  <c r="U96" i="1" s="1"/>
  <c r="F93" i="4"/>
  <c r="G93" i="4" s="1"/>
  <c r="U97" i="1" s="1"/>
  <c r="F94" i="4"/>
  <c r="G94" i="4" s="1"/>
  <c r="U98" i="1" s="1"/>
  <c r="F95" i="4"/>
  <c r="G95" i="4" s="1"/>
  <c r="U99" i="1" s="1"/>
  <c r="F96" i="4"/>
  <c r="G96" i="4" s="1"/>
  <c r="U100" i="1" s="1"/>
  <c r="F97" i="4"/>
  <c r="G97" i="4" s="1"/>
  <c r="U101" i="1" s="1"/>
  <c r="F98" i="4"/>
  <c r="G98" i="4" s="1"/>
  <c r="U102" i="1" s="1"/>
  <c r="F99" i="4"/>
  <c r="G99" i="4" s="1"/>
  <c r="U103" i="1" s="1"/>
  <c r="F100" i="4"/>
  <c r="G100" i="4" s="1"/>
  <c r="U104" i="1" s="1"/>
  <c r="F101" i="4"/>
  <c r="G101" i="4" s="1"/>
  <c r="U105" i="1" s="1"/>
  <c r="F2" i="4"/>
  <c r="G2" i="4" s="1"/>
  <c r="C7" i="11" l="1"/>
  <c r="M7" i="11"/>
  <c r="A7" i="11"/>
  <c r="B8" i="11"/>
  <c r="B9" i="11"/>
  <c r="B10" i="11"/>
  <c r="B11" i="11"/>
  <c r="B12" i="11"/>
  <c r="B13" i="11"/>
  <c r="B14" i="11"/>
  <c r="B15" i="11"/>
  <c r="B16" i="11"/>
  <c r="B17" i="11"/>
  <c r="B18" i="11"/>
  <c r="B19" i="11"/>
  <c r="B20" i="11"/>
  <c r="B21" i="11"/>
  <c r="B22" i="11"/>
  <c r="B23" i="11"/>
  <c r="B24" i="11"/>
  <c r="B25" i="11"/>
  <c r="B26" i="11"/>
  <c r="B27" i="11"/>
  <c r="B28" i="11"/>
  <c r="B29" i="11"/>
  <c r="B30" i="11"/>
  <c r="B31" i="11"/>
  <c r="B32" i="11"/>
  <c r="B33" i="11"/>
  <c r="B34" i="11"/>
  <c r="B35" i="11"/>
  <c r="B36" i="11"/>
  <c r="B37" i="11"/>
  <c r="B38" i="11"/>
  <c r="B39" i="11"/>
  <c r="B40" i="11"/>
  <c r="B41" i="11"/>
  <c r="B42" i="11"/>
  <c r="B43" i="11"/>
  <c r="B44" i="11"/>
  <c r="B45" i="11"/>
  <c r="B46" i="11"/>
  <c r="B47" i="11"/>
  <c r="B48" i="11"/>
  <c r="B49" i="11"/>
  <c r="B50" i="11"/>
  <c r="B51" i="11"/>
  <c r="B52" i="11"/>
  <c r="B53" i="11"/>
  <c r="B54" i="11"/>
  <c r="B55" i="11"/>
  <c r="B56" i="11"/>
  <c r="B57" i="11"/>
  <c r="B58" i="11"/>
  <c r="B59" i="11"/>
  <c r="B60" i="11"/>
  <c r="B61" i="11"/>
  <c r="B62" i="11"/>
  <c r="B63" i="11"/>
  <c r="B64" i="11"/>
  <c r="B65" i="11"/>
  <c r="B66" i="11"/>
  <c r="B67" i="11"/>
  <c r="B68" i="11"/>
  <c r="B69" i="11"/>
  <c r="B70" i="11"/>
  <c r="B71" i="11"/>
  <c r="B72" i="11"/>
  <c r="B73" i="11"/>
  <c r="B74" i="11"/>
  <c r="B75" i="11"/>
  <c r="B76" i="11"/>
  <c r="B77" i="11"/>
  <c r="B78" i="11"/>
  <c r="B79" i="11"/>
  <c r="B80" i="11"/>
  <c r="B81" i="11"/>
  <c r="B82" i="11"/>
  <c r="B83" i="11"/>
  <c r="B84" i="11"/>
  <c r="B85" i="11"/>
  <c r="B86" i="11"/>
  <c r="B87" i="11"/>
  <c r="B88" i="11"/>
  <c r="B89" i="11"/>
  <c r="B90" i="11"/>
  <c r="B91" i="11"/>
  <c r="B92" i="11"/>
  <c r="B93" i="11"/>
  <c r="B94" i="11"/>
  <c r="B95" i="11"/>
  <c r="B96" i="11"/>
  <c r="B97" i="11"/>
  <c r="B98" i="11"/>
  <c r="B99" i="11"/>
  <c r="B100" i="11"/>
  <c r="B101" i="11"/>
  <c r="B102" i="11"/>
  <c r="B103" i="11"/>
  <c r="B104" i="11"/>
  <c r="B105" i="11"/>
  <c r="B7" i="11"/>
  <c r="C4" i="11"/>
  <c r="R6" i="1"/>
  <c r="A3" i="16" l="1"/>
  <c r="AL5" i="1"/>
  <c r="AI5" i="1"/>
  <c r="AJ5" i="1" l="1"/>
  <c r="A8" i="15"/>
  <c r="A3" i="14"/>
  <c r="A8" i="11"/>
  <c r="A11" i="11"/>
  <c r="A12" i="11"/>
  <c r="A14" i="11"/>
  <c r="A10" i="11"/>
  <c r="A13" i="11"/>
  <c r="A9" i="11"/>
  <c r="H2" i="10" l="1"/>
  <c r="AC6" i="1" s="1"/>
  <c r="H3" i="10"/>
  <c r="H4" i="10"/>
  <c r="AB8" i="1" s="1"/>
  <c r="AC8" i="1" s="1"/>
  <c r="AD8" i="1" s="1"/>
  <c r="H5" i="10"/>
  <c r="AB9" i="1" s="1"/>
  <c r="AC9" i="1" s="1"/>
  <c r="AD9" i="1" s="1"/>
  <c r="AE9" i="1" s="1"/>
  <c r="H6" i="10"/>
  <c r="AB10" i="1" s="1"/>
  <c r="AC10" i="1" s="1"/>
  <c r="AD10" i="1" s="1"/>
  <c r="AE10" i="1" s="1"/>
  <c r="H7" i="10"/>
  <c r="AB11" i="1" s="1"/>
  <c r="AC11" i="1" s="1"/>
  <c r="AD11" i="1" s="1"/>
  <c r="AE11" i="1" s="1"/>
  <c r="H8" i="10"/>
  <c r="AB12" i="1" s="1"/>
  <c r="AC12" i="1" s="1"/>
  <c r="AD12" i="1" s="1"/>
  <c r="AE12" i="1" s="1"/>
  <c r="H9" i="10"/>
  <c r="AB13" i="1" s="1"/>
  <c r="AC13" i="1" s="1"/>
  <c r="AD13" i="1" s="1"/>
  <c r="AE13" i="1" s="1"/>
  <c r="H10" i="10"/>
  <c r="AB14" i="1" s="1"/>
  <c r="AC14" i="1" s="1"/>
  <c r="AD14" i="1" s="1"/>
  <c r="AE14" i="1" s="1"/>
  <c r="H11" i="10"/>
  <c r="AB15" i="1" s="1"/>
  <c r="AC15" i="1" s="1"/>
  <c r="AD15" i="1" s="1"/>
  <c r="AE15" i="1" s="1"/>
  <c r="H12" i="10"/>
  <c r="AB16" i="1" s="1"/>
  <c r="AC16" i="1" s="1"/>
  <c r="AD16" i="1" s="1"/>
  <c r="AE16" i="1" s="1"/>
  <c r="H13" i="10"/>
  <c r="AB17" i="1" s="1"/>
  <c r="AC17" i="1" s="1"/>
  <c r="AD17" i="1" s="1"/>
  <c r="AE17" i="1" s="1"/>
  <c r="H14" i="10"/>
  <c r="AB18" i="1" s="1"/>
  <c r="AC18" i="1" s="1"/>
  <c r="AD18" i="1" s="1"/>
  <c r="AE18" i="1" s="1"/>
  <c r="H15" i="10"/>
  <c r="AB19" i="1" s="1"/>
  <c r="AC19" i="1" s="1"/>
  <c r="AD19" i="1" s="1"/>
  <c r="AE19" i="1" s="1"/>
  <c r="H16" i="10"/>
  <c r="AB20" i="1" s="1"/>
  <c r="AC20" i="1" s="1"/>
  <c r="AD20" i="1" s="1"/>
  <c r="AE20" i="1" s="1"/>
  <c r="H17" i="10"/>
  <c r="AB21" i="1" s="1"/>
  <c r="AC21" i="1" s="1"/>
  <c r="AD21" i="1" s="1"/>
  <c r="AE21" i="1" s="1"/>
  <c r="H18" i="10"/>
  <c r="AB22" i="1" s="1"/>
  <c r="AC22" i="1" s="1"/>
  <c r="AD22" i="1" s="1"/>
  <c r="AE22" i="1" s="1"/>
  <c r="H19" i="10"/>
  <c r="AB23" i="1" s="1"/>
  <c r="AC23" i="1" s="1"/>
  <c r="AD23" i="1" s="1"/>
  <c r="AE23" i="1" s="1"/>
  <c r="H20" i="10"/>
  <c r="AB24" i="1" s="1"/>
  <c r="AC24" i="1" s="1"/>
  <c r="AD24" i="1" s="1"/>
  <c r="AE24" i="1" s="1"/>
  <c r="H21" i="10"/>
  <c r="AB25" i="1" s="1"/>
  <c r="AC25" i="1" s="1"/>
  <c r="AD25" i="1" s="1"/>
  <c r="AE25" i="1" s="1"/>
  <c r="H22" i="10"/>
  <c r="AB26" i="1" s="1"/>
  <c r="AC26" i="1" s="1"/>
  <c r="AD26" i="1" s="1"/>
  <c r="AE26" i="1" s="1"/>
  <c r="H23" i="10"/>
  <c r="AB27" i="1" s="1"/>
  <c r="AC27" i="1" s="1"/>
  <c r="AD27" i="1" s="1"/>
  <c r="AE27" i="1" s="1"/>
  <c r="H24" i="10"/>
  <c r="AB28" i="1" s="1"/>
  <c r="AC28" i="1" s="1"/>
  <c r="AD28" i="1" s="1"/>
  <c r="AE28" i="1" s="1"/>
  <c r="H25" i="10"/>
  <c r="AB29" i="1" s="1"/>
  <c r="AC29" i="1" s="1"/>
  <c r="AD29" i="1" s="1"/>
  <c r="AE29" i="1" s="1"/>
  <c r="H26" i="10"/>
  <c r="AB30" i="1" s="1"/>
  <c r="AC30" i="1" s="1"/>
  <c r="AD30" i="1" s="1"/>
  <c r="AE30" i="1" s="1"/>
  <c r="H27" i="10"/>
  <c r="AB31" i="1" s="1"/>
  <c r="AC31" i="1" s="1"/>
  <c r="AD31" i="1" s="1"/>
  <c r="AE31" i="1" s="1"/>
  <c r="H28" i="10"/>
  <c r="AB32" i="1" s="1"/>
  <c r="AC32" i="1" s="1"/>
  <c r="AD32" i="1" s="1"/>
  <c r="AE32" i="1" s="1"/>
  <c r="H29" i="10"/>
  <c r="AB33" i="1" s="1"/>
  <c r="AC33" i="1" s="1"/>
  <c r="AD33" i="1" s="1"/>
  <c r="AE33" i="1" s="1"/>
  <c r="H30" i="10"/>
  <c r="AB34" i="1" s="1"/>
  <c r="AC34" i="1" s="1"/>
  <c r="AD34" i="1" s="1"/>
  <c r="AE34" i="1" s="1"/>
  <c r="H31" i="10"/>
  <c r="AB35" i="1" s="1"/>
  <c r="AC35" i="1" s="1"/>
  <c r="AD35" i="1" s="1"/>
  <c r="AE35" i="1" s="1"/>
  <c r="H32" i="10"/>
  <c r="AB36" i="1" s="1"/>
  <c r="AC36" i="1" s="1"/>
  <c r="AD36" i="1" s="1"/>
  <c r="AE36" i="1" s="1"/>
  <c r="H33" i="10"/>
  <c r="AB37" i="1" s="1"/>
  <c r="AC37" i="1" s="1"/>
  <c r="AD37" i="1" s="1"/>
  <c r="AE37" i="1" s="1"/>
  <c r="H34" i="10"/>
  <c r="AB38" i="1" s="1"/>
  <c r="AC38" i="1" s="1"/>
  <c r="AD38" i="1" s="1"/>
  <c r="AE38" i="1" s="1"/>
  <c r="H35" i="10"/>
  <c r="AB39" i="1" s="1"/>
  <c r="AC39" i="1" s="1"/>
  <c r="AD39" i="1" s="1"/>
  <c r="AE39" i="1" s="1"/>
  <c r="H36" i="10"/>
  <c r="AB40" i="1" s="1"/>
  <c r="AC40" i="1" s="1"/>
  <c r="AD40" i="1" s="1"/>
  <c r="AE40" i="1" s="1"/>
  <c r="H37" i="10"/>
  <c r="AB41" i="1" s="1"/>
  <c r="AC41" i="1" s="1"/>
  <c r="AD41" i="1" s="1"/>
  <c r="AE41" i="1" s="1"/>
  <c r="H38" i="10"/>
  <c r="AB42" i="1" s="1"/>
  <c r="AC42" i="1" s="1"/>
  <c r="AD42" i="1" s="1"/>
  <c r="AE42" i="1" s="1"/>
  <c r="H39" i="10"/>
  <c r="AB43" i="1" s="1"/>
  <c r="AC43" i="1" s="1"/>
  <c r="AD43" i="1" s="1"/>
  <c r="AE43" i="1" s="1"/>
  <c r="H40" i="10"/>
  <c r="AB44" i="1" s="1"/>
  <c r="AC44" i="1" s="1"/>
  <c r="AD44" i="1" s="1"/>
  <c r="AE44" i="1" s="1"/>
  <c r="H41" i="10"/>
  <c r="AB45" i="1" s="1"/>
  <c r="AC45" i="1" s="1"/>
  <c r="AD45" i="1" s="1"/>
  <c r="AE45" i="1" s="1"/>
  <c r="H42" i="10"/>
  <c r="AB46" i="1" s="1"/>
  <c r="AC46" i="1" s="1"/>
  <c r="AD46" i="1" s="1"/>
  <c r="AE46" i="1" s="1"/>
  <c r="H43" i="10"/>
  <c r="AB47" i="1" s="1"/>
  <c r="AC47" i="1" s="1"/>
  <c r="AD47" i="1" s="1"/>
  <c r="AE47" i="1" s="1"/>
  <c r="H44" i="10"/>
  <c r="AB48" i="1" s="1"/>
  <c r="AC48" i="1" s="1"/>
  <c r="AD48" i="1" s="1"/>
  <c r="AE48" i="1" s="1"/>
  <c r="H45" i="10"/>
  <c r="AB49" i="1" s="1"/>
  <c r="AC49" i="1" s="1"/>
  <c r="AD49" i="1" s="1"/>
  <c r="AE49" i="1" s="1"/>
  <c r="H46" i="10"/>
  <c r="AB50" i="1" s="1"/>
  <c r="AC50" i="1" s="1"/>
  <c r="AD50" i="1" s="1"/>
  <c r="AE50" i="1" s="1"/>
  <c r="H47" i="10"/>
  <c r="AB51" i="1" s="1"/>
  <c r="AC51" i="1" s="1"/>
  <c r="AD51" i="1" s="1"/>
  <c r="AE51" i="1" s="1"/>
  <c r="H48" i="10"/>
  <c r="AB52" i="1" s="1"/>
  <c r="AC52" i="1" s="1"/>
  <c r="AD52" i="1" s="1"/>
  <c r="AE52" i="1" s="1"/>
  <c r="H49" i="10"/>
  <c r="AB53" i="1" s="1"/>
  <c r="AC53" i="1" s="1"/>
  <c r="AD53" i="1" s="1"/>
  <c r="AE53" i="1" s="1"/>
  <c r="H50" i="10"/>
  <c r="AB54" i="1" s="1"/>
  <c r="AC54" i="1" s="1"/>
  <c r="AD54" i="1" s="1"/>
  <c r="AE54" i="1" s="1"/>
  <c r="H51" i="10"/>
  <c r="AB55" i="1" s="1"/>
  <c r="AC55" i="1" s="1"/>
  <c r="AD55" i="1" s="1"/>
  <c r="AE55" i="1" s="1"/>
  <c r="H52" i="10"/>
  <c r="AB56" i="1" s="1"/>
  <c r="AC56" i="1" s="1"/>
  <c r="AD56" i="1" s="1"/>
  <c r="AE56" i="1" s="1"/>
  <c r="H53" i="10"/>
  <c r="AB57" i="1" s="1"/>
  <c r="AC57" i="1" s="1"/>
  <c r="AD57" i="1" s="1"/>
  <c r="AE57" i="1" s="1"/>
  <c r="H54" i="10"/>
  <c r="AB58" i="1" s="1"/>
  <c r="AC58" i="1" s="1"/>
  <c r="AD58" i="1" s="1"/>
  <c r="AE58" i="1" s="1"/>
  <c r="H55" i="10"/>
  <c r="AB59" i="1" s="1"/>
  <c r="AC59" i="1" s="1"/>
  <c r="AD59" i="1" s="1"/>
  <c r="AE59" i="1" s="1"/>
  <c r="H56" i="10"/>
  <c r="AB60" i="1" s="1"/>
  <c r="AC60" i="1" s="1"/>
  <c r="AD60" i="1" s="1"/>
  <c r="AE60" i="1" s="1"/>
  <c r="H57" i="10"/>
  <c r="AB61" i="1" s="1"/>
  <c r="AC61" i="1" s="1"/>
  <c r="AD61" i="1" s="1"/>
  <c r="AE61" i="1" s="1"/>
  <c r="H58" i="10"/>
  <c r="AB62" i="1" s="1"/>
  <c r="AC62" i="1" s="1"/>
  <c r="AD62" i="1" s="1"/>
  <c r="AE62" i="1" s="1"/>
  <c r="H59" i="10"/>
  <c r="AB63" i="1" s="1"/>
  <c r="AC63" i="1" s="1"/>
  <c r="AD63" i="1" s="1"/>
  <c r="AE63" i="1" s="1"/>
  <c r="H60" i="10"/>
  <c r="AB64" i="1" s="1"/>
  <c r="AC64" i="1" s="1"/>
  <c r="AD64" i="1" s="1"/>
  <c r="AE64" i="1" s="1"/>
  <c r="H61" i="10"/>
  <c r="AB65" i="1" s="1"/>
  <c r="AC65" i="1" s="1"/>
  <c r="AD65" i="1" s="1"/>
  <c r="AE65" i="1" s="1"/>
  <c r="H62" i="10"/>
  <c r="AB66" i="1" s="1"/>
  <c r="AC66" i="1" s="1"/>
  <c r="AD66" i="1" s="1"/>
  <c r="AE66" i="1" s="1"/>
  <c r="H63" i="10"/>
  <c r="AB67" i="1" s="1"/>
  <c r="AC67" i="1" s="1"/>
  <c r="AD67" i="1" s="1"/>
  <c r="AE67" i="1" s="1"/>
  <c r="H64" i="10"/>
  <c r="AB68" i="1" s="1"/>
  <c r="AC68" i="1" s="1"/>
  <c r="AD68" i="1" s="1"/>
  <c r="AE68" i="1" s="1"/>
  <c r="H65" i="10"/>
  <c r="AB69" i="1" s="1"/>
  <c r="AC69" i="1" s="1"/>
  <c r="AD69" i="1" s="1"/>
  <c r="AE69" i="1" s="1"/>
  <c r="H66" i="10"/>
  <c r="AB70" i="1" s="1"/>
  <c r="AC70" i="1" s="1"/>
  <c r="AD70" i="1" s="1"/>
  <c r="AE70" i="1" s="1"/>
  <c r="H67" i="10"/>
  <c r="AB71" i="1" s="1"/>
  <c r="AC71" i="1" s="1"/>
  <c r="AD71" i="1" s="1"/>
  <c r="AE71" i="1" s="1"/>
  <c r="H68" i="10"/>
  <c r="AB72" i="1" s="1"/>
  <c r="AC72" i="1" s="1"/>
  <c r="AD72" i="1" s="1"/>
  <c r="AE72" i="1" s="1"/>
  <c r="H69" i="10"/>
  <c r="AB73" i="1" s="1"/>
  <c r="AC73" i="1" s="1"/>
  <c r="AD73" i="1" s="1"/>
  <c r="AE73" i="1" s="1"/>
  <c r="H70" i="10"/>
  <c r="AB74" i="1" s="1"/>
  <c r="AC74" i="1" s="1"/>
  <c r="AD74" i="1" s="1"/>
  <c r="AE74" i="1" s="1"/>
  <c r="H71" i="10"/>
  <c r="AB75" i="1" s="1"/>
  <c r="AC75" i="1" s="1"/>
  <c r="AD75" i="1" s="1"/>
  <c r="AE75" i="1" s="1"/>
  <c r="H72" i="10"/>
  <c r="AB76" i="1" s="1"/>
  <c r="AC76" i="1" s="1"/>
  <c r="AD76" i="1" s="1"/>
  <c r="AE76" i="1" s="1"/>
  <c r="H73" i="10"/>
  <c r="AB77" i="1" s="1"/>
  <c r="AC77" i="1" s="1"/>
  <c r="AD77" i="1" s="1"/>
  <c r="AE77" i="1" s="1"/>
  <c r="H74" i="10"/>
  <c r="AB78" i="1" s="1"/>
  <c r="AC78" i="1" s="1"/>
  <c r="AD78" i="1" s="1"/>
  <c r="AE78" i="1" s="1"/>
  <c r="H75" i="10"/>
  <c r="AB79" i="1" s="1"/>
  <c r="AC79" i="1" s="1"/>
  <c r="AD79" i="1" s="1"/>
  <c r="AE79" i="1" s="1"/>
  <c r="H76" i="10"/>
  <c r="AB80" i="1" s="1"/>
  <c r="AC80" i="1" s="1"/>
  <c r="AD80" i="1" s="1"/>
  <c r="AE80" i="1" s="1"/>
  <c r="H77" i="10"/>
  <c r="AB81" i="1" s="1"/>
  <c r="AC81" i="1" s="1"/>
  <c r="AD81" i="1" s="1"/>
  <c r="AE81" i="1" s="1"/>
  <c r="H78" i="10"/>
  <c r="AB82" i="1" s="1"/>
  <c r="AC82" i="1" s="1"/>
  <c r="AD82" i="1" s="1"/>
  <c r="AE82" i="1" s="1"/>
  <c r="H79" i="10"/>
  <c r="AB83" i="1" s="1"/>
  <c r="AC83" i="1" s="1"/>
  <c r="AD83" i="1" s="1"/>
  <c r="AE83" i="1" s="1"/>
  <c r="H80" i="10"/>
  <c r="AB84" i="1" s="1"/>
  <c r="AC84" i="1" s="1"/>
  <c r="AD84" i="1" s="1"/>
  <c r="AE84" i="1" s="1"/>
  <c r="H81" i="10"/>
  <c r="AB85" i="1" s="1"/>
  <c r="AC85" i="1" s="1"/>
  <c r="AD85" i="1" s="1"/>
  <c r="AE85" i="1" s="1"/>
  <c r="H82" i="10"/>
  <c r="AB86" i="1" s="1"/>
  <c r="AC86" i="1" s="1"/>
  <c r="AD86" i="1" s="1"/>
  <c r="AE86" i="1" s="1"/>
  <c r="H83" i="10"/>
  <c r="AB87" i="1" s="1"/>
  <c r="AC87" i="1" s="1"/>
  <c r="AD87" i="1" s="1"/>
  <c r="AE87" i="1" s="1"/>
  <c r="H84" i="10"/>
  <c r="AB88" i="1" s="1"/>
  <c r="AC88" i="1" s="1"/>
  <c r="AD88" i="1" s="1"/>
  <c r="AE88" i="1" s="1"/>
  <c r="H85" i="10"/>
  <c r="AB89" i="1" s="1"/>
  <c r="AC89" i="1" s="1"/>
  <c r="AD89" i="1" s="1"/>
  <c r="AE89" i="1" s="1"/>
  <c r="H86" i="10"/>
  <c r="AB90" i="1" s="1"/>
  <c r="AC90" i="1" s="1"/>
  <c r="AD90" i="1" s="1"/>
  <c r="AE90" i="1" s="1"/>
  <c r="H87" i="10"/>
  <c r="AB91" i="1" s="1"/>
  <c r="AC91" i="1" s="1"/>
  <c r="AD91" i="1" s="1"/>
  <c r="AE91" i="1" s="1"/>
  <c r="H88" i="10"/>
  <c r="AB92" i="1" s="1"/>
  <c r="AC92" i="1" s="1"/>
  <c r="AD92" i="1" s="1"/>
  <c r="AE92" i="1" s="1"/>
  <c r="H89" i="10"/>
  <c r="AB93" i="1" s="1"/>
  <c r="AC93" i="1" s="1"/>
  <c r="AD93" i="1" s="1"/>
  <c r="AE93" i="1" s="1"/>
  <c r="H90" i="10"/>
  <c r="AB94" i="1" s="1"/>
  <c r="AC94" i="1" s="1"/>
  <c r="AD94" i="1" s="1"/>
  <c r="AE94" i="1" s="1"/>
  <c r="H91" i="10"/>
  <c r="AB95" i="1" s="1"/>
  <c r="AC95" i="1" s="1"/>
  <c r="AD95" i="1" s="1"/>
  <c r="AE95" i="1" s="1"/>
  <c r="H92" i="10"/>
  <c r="AB96" i="1" s="1"/>
  <c r="AC96" i="1" s="1"/>
  <c r="AD96" i="1" s="1"/>
  <c r="AE96" i="1" s="1"/>
  <c r="H93" i="10"/>
  <c r="AB97" i="1" s="1"/>
  <c r="AC97" i="1" s="1"/>
  <c r="AD97" i="1" s="1"/>
  <c r="AE97" i="1" s="1"/>
  <c r="H94" i="10"/>
  <c r="AB98" i="1" s="1"/>
  <c r="AC98" i="1" s="1"/>
  <c r="AD98" i="1" s="1"/>
  <c r="AE98" i="1" s="1"/>
  <c r="H95" i="10"/>
  <c r="AB99" i="1" s="1"/>
  <c r="AC99" i="1" s="1"/>
  <c r="AD99" i="1" s="1"/>
  <c r="AE99" i="1" s="1"/>
  <c r="H96" i="10"/>
  <c r="AB100" i="1" s="1"/>
  <c r="AC100" i="1" s="1"/>
  <c r="AD100" i="1" s="1"/>
  <c r="AE100" i="1" s="1"/>
  <c r="H97" i="10"/>
  <c r="AB101" i="1" s="1"/>
  <c r="AC101" i="1" s="1"/>
  <c r="AD101" i="1" s="1"/>
  <c r="AE101" i="1" s="1"/>
  <c r="H98" i="10"/>
  <c r="AB102" i="1" s="1"/>
  <c r="AC102" i="1" s="1"/>
  <c r="AD102" i="1" s="1"/>
  <c r="AE102" i="1" s="1"/>
  <c r="H99" i="10"/>
  <c r="AB103" i="1" s="1"/>
  <c r="AC103" i="1" s="1"/>
  <c r="AD103" i="1" s="1"/>
  <c r="AE103" i="1" s="1"/>
  <c r="H100" i="10"/>
  <c r="AB104" i="1" s="1"/>
  <c r="AC104" i="1" s="1"/>
  <c r="AD104" i="1" s="1"/>
  <c r="AE104" i="1" s="1"/>
  <c r="H101" i="10"/>
  <c r="AB105" i="1" s="1"/>
  <c r="AC105" i="1" s="1"/>
  <c r="AD105" i="1" s="1"/>
  <c r="AE105" i="1" s="1"/>
  <c r="AC7" i="1" l="1"/>
  <c r="AE7" i="1" s="1"/>
  <c r="AB7" i="1"/>
  <c r="AE8" i="1"/>
  <c r="AV5" i="1"/>
  <c r="AU5" i="1"/>
  <c r="AF103" i="1"/>
  <c r="AG103" i="1"/>
  <c r="AF102" i="1"/>
  <c r="AG102" i="1"/>
  <c r="AF90" i="1"/>
  <c r="AG90" i="1"/>
  <c r="AF105" i="1"/>
  <c r="AG105" i="1"/>
  <c r="AF101" i="1"/>
  <c r="AG101" i="1"/>
  <c r="AF97" i="1"/>
  <c r="AG97" i="1"/>
  <c r="AF93" i="1"/>
  <c r="AG93" i="1"/>
  <c r="AF89" i="1"/>
  <c r="AG89" i="1"/>
  <c r="AF85" i="1"/>
  <c r="AG85" i="1"/>
  <c r="AF81" i="1"/>
  <c r="AG81" i="1"/>
  <c r="AF77" i="1"/>
  <c r="AG77" i="1"/>
  <c r="AF73" i="1"/>
  <c r="AG73" i="1"/>
  <c r="AF69" i="1"/>
  <c r="AG69" i="1"/>
  <c r="AF65" i="1"/>
  <c r="AG65" i="1"/>
  <c r="AF61" i="1"/>
  <c r="AG61" i="1"/>
  <c r="AF57" i="1"/>
  <c r="AG57" i="1"/>
  <c r="AF53" i="1"/>
  <c r="AG53" i="1"/>
  <c r="AF49" i="1"/>
  <c r="AG49" i="1"/>
  <c r="AF45" i="1"/>
  <c r="AG45" i="1"/>
  <c r="AF41" i="1"/>
  <c r="AG41" i="1"/>
  <c r="AF37" i="1"/>
  <c r="AG37" i="1"/>
  <c r="AF33" i="1"/>
  <c r="AG33" i="1"/>
  <c r="AF29" i="1"/>
  <c r="AG29" i="1"/>
  <c r="AF25" i="1"/>
  <c r="AG25" i="1"/>
  <c r="AF21" i="1"/>
  <c r="AG21" i="1"/>
  <c r="AF17" i="1"/>
  <c r="AG17" i="1"/>
  <c r="AF13" i="1"/>
  <c r="AG13" i="1"/>
  <c r="AF9" i="1"/>
  <c r="AG9" i="1"/>
  <c r="AF91" i="1"/>
  <c r="AG91" i="1"/>
  <c r="AF94" i="1"/>
  <c r="AG94" i="1"/>
  <c r="AF104" i="1"/>
  <c r="AG104" i="1"/>
  <c r="AF100" i="1"/>
  <c r="AG100" i="1"/>
  <c r="AF96" i="1"/>
  <c r="AG96" i="1"/>
  <c r="AF92" i="1"/>
  <c r="AG92" i="1"/>
  <c r="AF88" i="1"/>
  <c r="AG88" i="1"/>
  <c r="AF84" i="1"/>
  <c r="AG84" i="1"/>
  <c r="AF80" i="1"/>
  <c r="AG80" i="1"/>
  <c r="AF76" i="1"/>
  <c r="AG76" i="1"/>
  <c r="AF72" i="1"/>
  <c r="AG72" i="1"/>
  <c r="AF68" i="1"/>
  <c r="AG68" i="1"/>
  <c r="AF64" i="1"/>
  <c r="AG64" i="1"/>
  <c r="AF60" i="1"/>
  <c r="AG60" i="1"/>
  <c r="AF56" i="1"/>
  <c r="AG56" i="1"/>
  <c r="AF52" i="1"/>
  <c r="AG52" i="1"/>
  <c r="AF48" i="1"/>
  <c r="AG48" i="1"/>
  <c r="AF44" i="1"/>
  <c r="AG44" i="1"/>
  <c r="AF40" i="1"/>
  <c r="AG40" i="1"/>
  <c r="AF36" i="1"/>
  <c r="AG36" i="1"/>
  <c r="AF32" i="1"/>
  <c r="AG32" i="1"/>
  <c r="AF28" i="1"/>
  <c r="AG28" i="1"/>
  <c r="AF24" i="1"/>
  <c r="AG24" i="1"/>
  <c r="AF20" i="1"/>
  <c r="AG20" i="1"/>
  <c r="AF16" i="1"/>
  <c r="AG16" i="1"/>
  <c r="AF12" i="1"/>
  <c r="AG12" i="1"/>
  <c r="AF8" i="1"/>
  <c r="AG8" i="1"/>
  <c r="AF95" i="1"/>
  <c r="AG95" i="1"/>
  <c r="AF87" i="1"/>
  <c r="AG87" i="1"/>
  <c r="AF83" i="1"/>
  <c r="AG83" i="1"/>
  <c r="AF79" i="1"/>
  <c r="AG79" i="1"/>
  <c r="AF75" i="1"/>
  <c r="AG75" i="1"/>
  <c r="AF71" i="1"/>
  <c r="AG71" i="1"/>
  <c r="AF67" i="1"/>
  <c r="AG67" i="1"/>
  <c r="AF63" i="1"/>
  <c r="AG63" i="1"/>
  <c r="AF59" i="1"/>
  <c r="AG59" i="1"/>
  <c r="AF55" i="1"/>
  <c r="AG55" i="1"/>
  <c r="AF51" i="1"/>
  <c r="AG51" i="1"/>
  <c r="AF47" i="1"/>
  <c r="AG47" i="1"/>
  <c r="AF43" i="1"/>
  <c r="AG43" i="1"/>
  <c r="AF39" i="1"/>
  <c r="AG39" i="1"/>
  <c r="AF35" i="1"/>
  <c r="AG35" i="1"/>
  <c r="AF31" i="1"/>
  <c r="AG31" i="1"/>
  <c r="AF27" i="1"/>
  <c r="AG27" i="1"/>
  <c r="AF23" i="1"/>
  <c r="AG23" i="1"/>
  <c r="AF19" i="1"/>
  <c r="AG19" i="1"/>
  <c r="AF15" i="1"/>
  <c r="AG15" i="1"/>
  <c r="AF11" i="1"/>
  <c r="AG11" i="1"/>
  <c r="AF7" i="1"/>
  <c r="AG7" i="1"/>
  <c r="AF99" i="1"/>
  <c r="AG99" i="1"/>
  <c r="AF98" i="1"/>
  <c r="AG98" i="1"/>
  <c r="AF86" i="1"/>
  <c r="AG86" i="1"/>
  <c r="AF82" i="1"/>
  <c r="AG82" i="1"/>
  <c r="AF78" i="1"/>
  <c r="AG78" i="1"/>
  <c r="AF74" i="1"/>
  <c r="AG74" i="1"/>
  <c r="AF70" i="1"/>
  <c r="AG70" i="1"/>
  <c r="AF66" i="1"/>
  <c r="AG66" i="1"/>
  <c r="AF62" i="1"/>
  <c r="AG62" i="1"/>
  <c r="AF58" i="1"/>
  <c r="AG58" i="1"/>
  <c r="AF54" i="1"/>
  <c r="AG54" i="1"/>
  <c r="AF50" i="1"/>
  <c r="AG50" i="1"/>
  <c r="AF46" i="1"/>
  <c r="AG46" i="1"/>
  <c r="AF42" i="1"/>
  <c r="AG42" i="1"/>
  <c r="AF38" i="1"/>
  <c r="AG38" i="1"/>
  <c r="AF34" i="1"/>
  <c r="AG34" i="1"/>
  <c r="AF30" i="1"/>
  <c r="AG30" i="1"/>
  <c r="AF26" i="1"/>
  <c r="AG26" i="1"/>
  <c r="AF22" i="1"/>
  <c r="AG22" i="1"/>
  <c r="AF18" i="1"/>
  <c r="AG18" i="1"/>
  <c r="AF14" i="1"/>
  <c r="AG14" i="1"/>
  <c r="AF10" i="1"/>
  <c r="AG10" i="1"/>
  <c r="H102" i="10"/>
  <c r="H103" i="10"/>
  <c r="H104" i="10"/>
  <c r="A2" i="4"/>
  <c r="A2" i="10"/>
  <c r="B101" i="10"/>
  <c r="B100" i="10"/>
  <c r="B99" i="10"/>
  <c r="B98" i="10"/>
  <c r="B97" i="10"/>
  <c r="B96" i="10"/>
  <c r="B95" i="10"/>
  <c r="B94" i="10"/>
  <c r="B93" i="10"/>
  <c r="B92" i="10"/>
  <c r="B91" i="10"/>
  <c r="B90" i="10"/>
  <c r="B89" i="10"/>
  <c r="B88" i="10"/>
  <c r="B87" i="10"/>
  <c r="B86" i="10"/>
  <c r="B85" i="10"/>
  <c r="B84" i="10"/>
  <c r="B83" i="10"/>
  <c r="B82" i="10"/>
  <c r="B81" i="10"/>
  <c r="B80" i="10"/>
  <c r="B79" i="10"/>
  <c r="B78" i="10"/>
  <c r="B77" i="10"/>
  <c r="B76" i="10"/>
  <c r="B75" i="10"/>
  <c r="B74" i="10"/>
  <c r="B73" i="10"/>
  <c r="B72" i="10"/>
  <c r="B71" i="10"/>
  <c r="B70" i="10"/>
  <c r="B69" i="10"/>
  <c r="B68" i="10"/>
  <c r="B67" i="10"/>
  <c r="B66" i="10"/>
  <c r="B65" i="10"/>
  <c r="B64" i="10"/>
  <c r="B63" i="10"/>
  <c r="B62" i="10"/>
  <c r="B61" i="10"/>
  <c r="B60" i="10"/>
  <c r="B59" i="10"/>
  <c r="B58" i="10"/>
  <c r="B57" i="10"/>
  <c r="B56" i="10"/>
  <c r="B55" i="10"/>
  <c r="B54" i="10"/>
  <c r="B53" i="10"/>
  <c r="B52" i="10"/>
  <c r="B51" i="10"/>
  <c r="B50" i="10"/>
  <c r="B49" i="10"/>
  <c r="B48" i="10"/>
  <c r="B47" i="10"/>
  <c r="B46" i="10"/>
  <c r="B45" i="10"/>
  <c r="B44" i="10"/>
  <c r="B43" i="10"/>
  <c r="B42" i="10"/>
  <c r="B41" i="10"/>
  <c r="B40" i="10"/>
  <c r="B39" i="10"/>
  <c r="B38" i="10"/>
  <c r="B37" i="10"/>
  <c r="B36" i="10"/>
  <c r="B35" i="10"/>
  <c r="B34" i="10"/>
  <c r="B33" i="10"/>
  <c r="B32" i="10"/>
  <c r="B31" i="10"/>
  <c r="B30" i="10"/>
  <c r="B29" i="10"/>
  <c r="B28" i="10"/>
  <c r="B27" i="10"/>
  <c r="B26" i="10"/>
  <c r="B25" i="10"/>
  <c r="B24" i="10"/>
  <c r="B23" i="10"/>
  <c r="B22" i="10"/>
  <c r="B21" i="10"/>
  <c r="B20" i="10"/>
  <c r="B19" i="10"/>
  <c r="B18" i="10"/>
  <c r="B17" i="10"/>
  <c r="B16" i="10"/>
  <c r="B15" i="10"/>
  <c r="B14" i="10"/>
  <c r="B13" i="10"/>
  <c r="B12" i="10"/>
  <c r="B11" i="10"/>
  <c r="B10" i="10"/>
  <c r="B9" i="10"/>
  <c r="B8" i="10"/>
  <c r="B7" i="10"/>
  <c r="B6" i="10"/>
  <c r="B5" i="10"/>
  <c r="B4" i="10"/>
  <c r="B3" i="10"/>
  <c r="B2" i="10"/>
  <c r="K13" i="10" l="1"/>
  <c r="K3" i="10"/>
  <c r="K4" i="10"/>
  <c r="K5" i="10"/>
  <c r="K6" i="10"/>
  <c r="K7" i="10"/>
  <c r="K8" i="10"/>
  <c r="K9" i="10"/>
  <c r="K10" i="10"/>
  <c r="K11" i="10"/>
  <c r="K12" i="10"/>
  <c r="A3" i="4" l="1"/>
  <c r="A3" i="10"/>
  <c r="A4" i="4" l="1"/>
  <c r="A4" i="10"/>
  <c r="A5" i="4" l="1"/>
  <c r="A5" i="10"/>
  <c r="A6" i="4" l="1"/>
  <c r="A6" i="10"/>
  <c r="A7" i="4" l="1"/>
  <c r="A7" i="10"/>
  <c r="A8" i="4" l="1"/>
  <c r="A8" i="10"/>
  <c r="A9" i="4" l="1"/>
  <c r="A9" i="10"/>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A15" i="11" l="1"/>
  <c r="A10" i="4"/>
  <c r="A10" i="10"/>
  <c r="B51" i="4"/>
  <c r="A16" i="11" l="1"/>
  <c r="A11" i="4"/>
  <c r="A11" i="10"/>
  <c r="B32" i="4"/>
  <c r="B33" i="4"/>
  <c r="B34" i="4"/>
  <c r="B35" i="4"/>
  <c r="B36" i="4"/>
  <c r="B37" i="4"/>
  <c r="B38" i="4"/>
  <c r="B39" i="4"/>
  <c r="B40" i="4"/>
  <c r="B41" i="4"/>
  <c r="B42" i="4"/>
  <c r="B43" i="4"/>
  <c r="B44" i="4"/>
  <c r="B45" i="4"/>
  <c r="B46" i="4"/>
  <c r="B47" i="4"/>
  <c r="B48" i="4"/>
  <c r="B49" i="4"/>
  <c r="B50"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2" i="4"/>
  <c r="A17" i="11" l="1"/>
  <c r="A12" i="4"/>
  <c r="A12" i="10"/>
  <c r="L4" i="4"/>
  <c r="L8" i="4"/>
  <c r="L12" i="4"/>
  <c r="L5" i="4"/>
  <c r="L9" i="4"/>
  <c r="L13" i="4"/>
  <c r="L6" i="4"/>
  <c r="L10" i="4"/>
  <c r="L3" i="4"/>
  <c r="L7" i="4"/>
  <c r="L11" i="4"/>
  <c r="A18" i="11" l="1"/>
  <c r="A13" i="4"/>
  <c r="A13" i="10"/>
  <c r="A19" i="11" l="1"/>
  <c r="A14" i="4"/>
  <c r="A14" i="10"/>
  <c r="A20" i="11" l="1"/>
  <c r="A15" i="4"/>
  <c r="A15" i="10"/>
  <c r="A21" i="11" l="1"/>
  <c r="A16" i="4"/>
  <c r="A16" i="10"/>
  <c r="A22" i="11" l="1"/>
  <c r="A17" i="4"/>
  <c r="A17" i="10"/>
  <c r="A23" i="11" l="1"/>
  <c r="A18" i="4"/>
  <c r="A18" i="10"/>
  <c r="A24" i="11" l="1"/>
  <c r="A19" i="4"/>
  <c r="A19" i="10"/>
  <c r="A25" i="11" l="1"/>
  <c r="A20" i="4"/>
  <c r="A20" i="10"/>
  <c r="A26" i="11" l="1"/>
  <c r="A21" i="4"/>
  <c r="A21" i="10"/>
  <c r="U6" i="1"/>
  <c r="AE6" i="1" s="1"/>
  <c r="AG6" i="1" l="1"/>
  <c r="A27" i="11"/>
  <c r="A22" i="4"/>
  <c r="A22" i="10"/>
  <c r="AR5" i="1" l="1"/>
  <c r="AQ5" i="1"/>
  <c r="AP5" i="1"/>
  <c r="AT5" i="1"/>
  <c r="AS5" i="1"/>
  <c r="AF6" i="1"/>
  <c r="AK5" i="1"/>
  <c r="A28" i="11"/>
  <c r="A23" i="4"/>
  <c r="A23" i="10"/>
  <c r="AN5" i="1" l="1"/>
  <c r="A29" i="11"/>
  <c r="A24" i="4"/>
  <c r="A24" i="10"/>
  <c r="A30" i="11" l="1"/>
  <c r="A25" i="4"/>
  <c r="A25" i="10"/>
  <c r="A31" i="11" l="1"/>
  <c r="A26" i="4"/>
  <c r="A26" i="10"/>
  <c r="A32" i="11" l="1"/>
  <c r="A27" i="4"/>
  <c r="A27" i="10"/>
  <c r="A33" i="11" l="1"/>
  <c r="A28" i="4"/>
  <c r="A28" i="10"/>
  <c r="A34" i="11" l="1"/>
  <c r="A29" i="4"/>
  <c r="A29" i="10"/>
  <c r="A35" i="11" l="1"/>
  <c r="A30" i="4"/>
  <c r="A30" i="10"/>
  <c r="A36" i="11" l="1"/>
  <c r="A31" i="4"/>
  <c r="A31" i="10"/>
  <c r="A37" i="11" l="1"/>
  <c r="A32" i="4"/>
  <c r="A32" i="10"/>
  <c r="A38" i="11" l="1"/>
  <c r="A33" i="4"/>
  <c r="A33" i="10"/>
  <c r="A39" i="11" l="1"/>
  <c r="A34" i="4"/>
  <c r="A34" i="10"/>
  <c r="A40" i="11" l="1"/>
  <c r="A35" i="4"/>
  <c r="A35" i="10"/>
  <c r="A41" i="11" l="1"/>
  <c r="A36" i="4"/>
  <c r="A36" i="10"/>
  <c r="A42" i="11" l="1"/>
  <c r="A37" i="4"/>
  <c r="A37" i="10"/>
  <c r="A43" i="11" l="1"/>
  <c r="A38" i="4"/>
  <c r="A38" i="10"/>
  <c r="A44" i="11" l="1"/>
  <c r="A39" i="4"/>
  <c r="A39" i="10"/>
  <c r="A45" i="11" l="1"/>
  <c r="A40" i="4"/>
  <c r="A40" i="10"/>
  <c r="A46" i="11" l="1"/>
  <c r="A41" i="4"/>
  <c r="A41" i="10"/>
  <c r="A47" i="11" l="1"/>
  <c r="A42" i="4"/>
  <c r="A42" i="10"/>
  <c r="A48" i="11" l="1"/>
  <c r="A43" i="4"/>
  <c r="A43" i="10"/>
  <c r="A49" i="11" l="1"/>
  <c r="A44" i="4"/>
  <c r="A44" i="10"/>
  <c r="A50" i="11" l="1"/>
  <c r="A45" i="4"/>
  <c r="A45" i="10"/>
  <c r="A51" i="11" l="1"/>
  <c r="A46" i="4"/>
  <c r="A46" i="10"/>
  <c r="A52" i="11" l="1"/>
  <c r="A47" i="4"/>
  <c r="A47" i="10"/>
  <c r="A53" i="11" l="1"/>
  <c r="A48" i="4"/>
  <c r="A48" i="10"/>
  <c r="A54" i="11" l="1"/>
  <c r="A49" i="4"/>
  <c r="A49" i="10"/>
  <c r="A55" i="11" l="1"/>
  <c r="A50" i="4"/>
  <c r="A50" i="10"/>
  <c r="A56" i="11" l="1"/>
  <c r="A51" i="4"/>
  <c r="A51" i="10"/>
  <c r="A57" i="11" l="1"/>
  <c r="A52" i="4"/>
  <c r="A52" i="10"/>
  <c r="A58" i="11" l="1"/>
  <c r="A53" i="4"/>
  <c r="A53" i="10"/>
  <c r="A59" i="11" l="1"/>
  <c r="A54" i="4"/>
  <c r="A54" i="10"/>
  <c r="A60" i="11" l="1"/>
  <c r="A55" i="4"/>
  <c r="A55" i="10"/>
  <c r="A61" i="11" l="1"/>
  <c r="A56" i="4"/>
  <c r="A56" i="10"/>
  <c r="A62" i="11" l="1"/>
  <c r="A57" i="4"/>
  <c r="A57" i="10"/>
  <c r="A63" i="11" l="1"/>
  <c r="A58" i="4"/>
  <c r="A58" i="10"/>
  <c r="A64" i="11" l="1"/>
  <c r="A59" i="4"/>
  <c r="A59" i="10"/>
  <c r="A65" i="11" l="1"/>
  <c r="A60" i="4"/>
  <c r="A60" i="10"/>
  <c r="A66" i="11" l="1"/>
  <c r="A61" i="4"/>
  <c r="A61" i="10"/>
  <c r="A67" i="11" l="1"/>
  <c r="A62" i="4"/>
  <c r="A62" i="10"/>
  <c r="A68" i="11" l="1"/>
  <c r="A63" i="4"/>
  <c r="A63" i="10"/>
  <c r="A69" i="11" l="1"/>
  <c r="A64" i="4"/>
  <c r="A64" i="10"/>
  <c r="A70" i="11" l="1"/>
  <c r="A65" i="4"/>
  <c r="A65" i="10"/>
  <c r="A71" i="11" l="1"/>
  <c r="A66" i="4"/>
  <c r="A66" i="10"/>
  <c r="A72" i="11" l="1"/>
  <c r="A67" i="4"/>
  <c r="A67" i="10"/>
  <c r="A73" i="11" l="1"/>
  <c r="A68" i="4"/>
  <c r="A68" i="10"/>
  <c r="A74" i="11" l="1"/>
  <c r="A69" i="4"/>
  <c r="A69" i="10"/>
  <c r="A75" i="11" l="1"/>
  <c r="A70" i="4"/>
  <c r="A70" i="10"/>
  <c r="A76" i="11" l="1"/>
  <c r="A71" i="4"/>
  <c r="A71" i="10"/>
  <c r="A77" i="11" l="1"/>
  <c r="A72" i="4"/>
  <c r="A72" i="10"/>
  <c r="A78" i="11" l="1"/>
  <c r="A73" i="4"/>
  <c r="A73" i="10"/>
  <c r="A79" i="11" l="1"/>
  <c r="A74" i="4"/>
  <c r="A74" i="10"/>
  <c r="A80" i="11" l="1"/>
  <c r="A75" i="4"/>
  <c r="A75" i="10"/>
  <c r="A81" i="11" l="1"/>
  <c r="A76" i="4"/>
  <c r="A76" i="10"/>
  <c r="A82" i="11" l="1"/>
  <c r="A77" i="4"/>
  <c r="A77" i="10"/>
  <c r="A83" i="11" l="1"/>
  <c r="A78" i="4"/>
  <c r="A78" i="10"/>
  <c r="A84" i="11" l="1"/>
  <c r="A79" i="4"/>
  <c r="A79" i="10"/>
  <c r="A85" i="11" l="1"/>
  <c r="A80" i="4"/>
  <c r="A80" i="10"/>
  <c r="A86" i="11" l="1"/>
  <c r="A81" i="4"/>
  <c r="A81" i="10"/>
  <c r="A87" i="11" l="1"/>
  <c r="A82" i="4"/>
  <c r="A82" i="10"/>
  <c r="A88" i="11" l="1"/>
  <c r="A83" i="4"/>
  <c r="A83" i="10"/>
  <c r="A89" i="11" l="1"/>
  <c r="A84" i="4"/>
  <c r="A84" i="10"/>
  <c r="A90" i="11" l="1"/>
  <c r="A85" i="4"/>
  <c r="A85" i="10"/>
  <c r="A91" i="11" l="1"/>
  <c r="A86" i="4"/>
  <c r="A86" i="10"/>
  <c r="A92" i="11" l="1"/>
  <c r="A87" i="4"/>
  <c r="A87" i="10"/>
  <c r="A93" i="11" l="1"/>
  <c r="A88" i="4"/>
  <c r="A88" i="10"/>
  <c r="A94" i="11" l="1"/>
  <c r="A89" i="4"/>
  <c r="A89" i="10"/>
  <c r="A95" i="11" l="1"/>
  <c r="A90" i="4"/>
  <c r="A90" i="10"/>
  <c r="A96" i="11" l="1"/>
  <c r="A91" i="4"/>
  <c r="A91" i="10"/>
  <c r="A97" i="11" l="1"/>
  <c r="A92" i="4"/>
  <c r="A92" i="10"/>
  <c r="A98" i="11" l="1"/>
  <c r="A93" i="4"/>
  <c r="A93" i="10"/>
  <c r="A99" i="11" l="1"/>
  <c r="A94" i="4"/>
  <c r="A94" i="10"/>
  <c r="A100" i="11" l="1"/>
  <c r="A95" i="4"/>
  <c r="A95" i="10"/>
  <c r="A101" i="11" l="1"/>
  <c r="A96" i="4"/>
  <c r="A96" i="10"/>
  <c r="A102" i="11" l="1"/>
  <c r="A97" i="4"/>
  <c r="A97" i="10"/>
  <c r="A103" i="11" l="1"/>
  <c r="A98" i="4"/>
  <c r="A98" i="10"/>
  <c r="A104" i="11" l="1"/>
  <c r="A99" i="4"/>
  <c r="A99" i="10"/>
  <c r="A105" i="11" l="1"/>
  <c r="A100" i="4"/>
  <c r="A100" i="10"/>
  <c r="A101" i="4" l="1"/>
  <c r="A101" i="10"/>
  <c r="AO5" i="1" l="1"/>
  <c r="AX5" i="1" l="1"/>
  <c r="AY5" i="1"/>
</calcChain>
</file>

<file path=xl/sharedStrings.xml><?xml version="1.0" encoding="utf-8"?>
<sst xmlns="http://schemas.openxmlformats.org/spreadsheetml/2006/main" count="161" uniqueCount="102">
  <si>
    <t>Nr.</t>
  </si>
  <si>
    <t>Nume, Prenume</t>
  </si>
  <si>
    <t>e-mail</t>
  </si>
  <si>
    <t>Sesiunea</t>
  </si>
  <si>
    <t>Examen</t>
  </si>
  <si>
    <t>Reexam</t>
  </si>
  <si>
    <t>Nota semestrială</t>
  </si>
  <si>
    <t>Nota finală</t>
  </si>
  <si>
    <t>Componente</t>
  </si>
  <si>
    <t>în sist.național, trunchiată</t>
  </si>
  <si>
    <t>Conform ECTS</t>
  </si>
  <si>
    <t>nr.1</t>
  </si>
  <si>
    <t>nr.2</t>
  </si>
  <si>
    <t>Evaluarea curentă</t>
  </si>
  <si>
    <t>Lucrul individual</t>
  </si>
  <si>
    <t>item 1</t>
  </si>
  <si>
    <t>item 2</t>
  </si>
  <si>
    <t>item 3</t>
  </si>
  <si>
    <t>item 4</t>
  </si>
  <si>
    <t>item 5</t>
  </si>
  <si>
    <t>Nota</t>
  </si>
  <si>
    <t xml:space="preserve">        Baremul  de evaluare</t>
  </si>
  <si>
    <t>Nr de note</t>
  </si>
  <si>
    <t>Punctajul acumulat</t>
  </si>
  <si>
    <t>n/p</t>
  </si>
  <si>
    <t>Pctj
Total</t>
  </si>
  <si>
    <t>Curs</t>
  </si>
  <si>
    <t>item 1
6 p</t>
  </si>
  <si>
    <t>item 3
14 p</t>
  </si>
  <si>
    <t>item 2
10 p</t>
  </si>
  <si>
    <t>C1</t>
  </si>
  <si>
    <t>C2</t>
  </si>
  <si>
    <t>C3</t>
  </si>
  <si>
    <t>C4</t>
  </si>
  <si>
    <t>C5</t>
  </si>
  <si>
    <t>C6</t>
  </si>
  <si>
    <t>Var</t>
  </si>
  <si>
    <t>A</t>
  </si>
  <si>
    <t>B</t>
  </si>
  <si>
    <t>C</t>
  </si>
  <si>
    <t>D</t>
  </si>
  <si>
    <t>E</t>
  </si>
  <si>
    <t>FX</t>
  </si>
  <si>
    <t>F</t>
  </si>
  <si>
    <t>n/a</t>
  </si>
  <si>
    <t>Statistica</t>
  </si>
  <si>
    <t>Eliberati</t>
  </si>
  <si>
    <t>Examen:</t>
  </si>
  <si>
    <t>Prezenta</t>
  </si>
  <si>
    <t>Exam</t>
  </si>
  <si>
    <t>Borderou</t>
  </si>
  <si>
    <t>Prezenti</t>
  </si>
  <si>
    <t>Admisi</t>
  </si>
  <si>
    <t>01</t>
  </si>
  <si>
    <t>02</t>
  </si>
  <si>
    <t>Puncte activ. suplim</t>
  </si>
  <si>
    <r>
      <t xml:space="preserve">Mecanica Teoretică. Anul de studii:
Titular:
Grupa: 
Șeful grupei: </t>
    </r>
    <r>
      <rPr>
        <b/>
        <i/>
        <sz val="14"/>
        <color theme="1"/>
        <rFont val="Times New Roman"/>
        <family val="1"/>
      </rPr>
      <t>Nume, Prenume, telefon</t>
    </r>
  </si>
  <si>
    <t>Evidenţa îndeplinirii planului de învăţământ</t>
  </si>
  <si>
    <t>Evidenţa frecvenţei, reuşitei curente, evaluării curente a studenţilor</t>
  </si>
  <si>
    <t>Nr. crt.</t>
  </si>
  <si>
    <t>Evaluare curentă</t>
  </si>
  <si>
    <t>Data</t>
  </si>
  <si>
    <t>Temele de studii</t>
  </si>
  <si>
    <t>Nr. de ore</t>
  </si>
  <si>
    <t>Semnătura cadrului didactic</t>
  </si>
  <si>
    <t>Proiect / teză de an</t>
  </si>
  <si>
    <t xml:space="preserve">Total plan </t>
  </si>
  <si>
    <t xml:space="preserve">Total realizat </t>
  </si>
  <si>
    <t>Numele, prenumele</t>
  </si>
  <si>
    <r>
      <t>Denumirea disciplinei _</t>
    </r>
    <r>
      <rPr>
        <u/>
        <sz val="12"/>
        <color theme="1"/>
        <rFont val="Calibri"/>
        <family val="2"/>
        <scheme val="minor"/>
      </rPr>
      <t>_Mecanica Teoretică</t>
    </r>
    <r>
      <rPr>
        <sz val="12"/>
        <color theme="1"/>
        <rFont val="Calibri"/>
        <family val="2"/>
        <charset val="238"/>
        <scheme val="minor"/>
      </rPr>
      <t>____</t>
    </r>
  </si>
  <si>
    <r>
      <t xml:space="preserve">Forma de studii </t>
    </r>
    <r>
      <rPr>
        <sz val="12"/>
        <color theme="1"/>
        <rFont val="Calibri"/>
        <family val="2"/>
        <scheme val="minor"/>
      </rPr>
      <t>___</t>
    </r>
    <r>
      <rPr>
        <u/>
        <sz val="12"/>
        <color theme="1"/>
        <rFont val="Calibri"/>
        <family val="2"/>
        <scheme val="minor"/>
      </rPr>
      <t>prelegeri</t>
    </r>
    <r>
      <rPr>
        <sz val="12"/>
        <color theme="1"/>
        <rFont val="Calibri"/>
        <family val="2"/>
        <scheme val="minor"/>
      </rPr>
      <t>____</t>
    </r>
    <r>
      <rPr>
        <sz val="12"/>
        <color theme="1"/>
        <rFont val="Calibri"/>
        <family val="2"/>
        <charset val="238"/>
        <scheme val="minor"/>
      </rPr>
      <t xml:space="preserve"> </t>
    </r>
    <r>
      <rPr>
        <i/>
        <sz val="12"/>
        <color theme="1"/>
        <rFont val="Calibri"/>
        <family val="2"/>
        <charset val="204"/>
        <scheme val="minor"/>
      </rPr>
      <t>(prelegeri, lucrări practice / seminarii, lucrări de laborator)</t>
    </r>
  </si>
  <si>
    <r>
      <t>Cadrul didactic:</t>
    </r>
    <r>
      <rPr>
        <u/>
        <sz val="12"/>
        <color theme="1"/>
        <rFont val="Calibri"/>
        <family val="2"/>
        <scheme val="minor"/>
      </rPr>
      <t xml:space="preserve"> </t>
    </r>
  </si>
  <si>
    <t>Puncte utilizate</t>
  </si>
  <si>
    <t>Seminar</t>
  </si>
  <si>
    <t>S1</t>
  </si>
  <si>
    <t>S2</t>
  </si>
  <si>
    <t>S3</t>
  </si>
  <si>
    <t>S4</t>
  </si>
  <si>
    <t>S5</t>
  </si>
  <si>
    <t>S6</t>
  </si>
  <si>
    <r>
      <t xml:space="preserve">Forma de studii </t>
    </r>
    <r>
      <rPr>
        <sz val="12"/>
        <color theme="1"/>
        <rFont val="Calibri"/>
        <family val="2"/>
        <scheme val="minor"/>
      </rPr>
      <t>___</t>
    </r>
    <r>
      <rPr>
        <u/>
        <sz val="12"/>
        <color theme="1"/>
        <rFont val="Calibri"/>
        <family val="2"/>
        <scheme val="minor"/>
      </rPr>
      <t>seminarii</t>
    </r>
    <r>
      <rPr>
        <sz val="12"/>
        <color theme="1"/>
        <rFont val="Calibri"/>
        <family val="2"/>
        <scheme val="minor"/>
      </rPr>
      <t>____</t>
    </r>
    <r>
      <rPr>
        <sz val="12"/>
        <color theme="1"/>
        <rFont val="Calibri"/>
        <family val="2"/>
        <charset val="238"/>
        <scheme val="minor"/>
      </rPr>
      <t xml:space="preserve"> </t>
    </r>
    <r>
      <rPr>
        <i/>
        <sz val="12"/>
        <color theme="1"/>
        <rFont val="Calibri"/>
        <family val="2"/>
        <charset val="204"/>
        <scheme val="minor"/>
      </rPr>
      <t>(prelegeri, lucrări practice / seminarii, lucrări de laborator)</t>
    </r>
  </si>
  <si>
    <t>Ev.finală (0.5)</t>
  </si>
  <si>
    <t>Media trunchiată (0.5)</t>
  </si>
  <si>
    <t>D3</t>
  </si>
  <si>
    <t>Tema 1. Introducere. Statica. Problemele staticii. Legături și reacțiuni. Echilibrul forțelor concurente. Momentul forței, cupluri de forțe. Echilibrul forțelor coplanare. Teorema lui Varignon. Ferme plane simple. Sarcini distribuite. Echilibrul în prezența forțelor de frecare.</t>
  </si>
  <si>
    <t>Tema 2. Sistem spațial de forțe. Momentul forței în raport cu o axă. Condițiile de echilibru al forțelor spațiale. Forțe paralele. Centrul de greutate.</t>
  </si>
  <si>
    <t>Tema 3. Cinematica punctului. Traiectorie, viteză, accelerație. Metoda vectorială, coordonatelor și naturală  pentru descrierea mișcării. Mișcarea de rotație și translație. Viteza unghiulară și accelerația unghiulară a rigidului. Viteza și accelerația unui punct al rigidului care realizează mișcare de rotație.</t>
  </si>
  <si>
    <t>Tema 4. Mișcarea plan-paralelă a rigidului. Centrul instantaneu al vitezelor și determinarea poziției lui. Centrul instantaneu al accelerațiilor. Determinarea vitezei unghiulare. Mișcarea relativă, de transport și absolută a punctului. Accelerația Coriolis. Cuplu de rotații</t>
  </si>
  <si>
    <t xml:space="preserve">Tema 5. Dinamica. Legile lui Newton. Ecuațiile diferențiale ale mișcării punctului material. Problemele de bază ale dinamicii. Mișcarea punctului supus la legături. Ecuațiile naturale ale mișcării. Pendul matematic, conic. Mișcarea relativă. Centrul maselor sistemului material. Forțe interioare și exterioare. Legea mișcării centrului maselor. </t>
  </si>
  <si>
    <t>Dinamica sistemului material. Cantitatea de mișcare, momentul cinetic, energia cinetică a sistemului mecanic. Lucrul forței. Teoremele de variație și legile de conservare a acestor mărimi mecanice. Teorema Konig. Ecuațiile diferențiale ale mișcării de translație și rotație. Principiul D'Alembert. Reacțiuni dinamice. Ecuația lui Lagrange de speța II. Oscilații mici ale sistemului mecanic în raport cu starea de echilibru.</t>
  </si>
  <si>
    <t>Tema 1. Probleme. Echilibrul forțelor concurente coplanare și spațiale. Echilibrul forțelor neparalele coplanare. Ferme plane simple. Determinarea eforturilor în barele fermei.</t>
  </si>
  <si>
    <t>Tema 2. Determinarea reacțiunilor unui corp acționat de forțe spațiale. Determinarea poziției centrului de greutate.</t>
  </si>
  <si>
    <t>Tema 3. Probleme. Cinematica punctului. Mișcarea de rotație a rigidului. Mișcarea plan-paralelă. Determinarea vitezelor și accelerațiilor unui punct al rigidului în mișcare de rotație și plan-paralelă.</t>
  </si>
  <si>
    <t>Tema 4. Probleme. Mișcarea compusă a punctului. Determinarea vitezelor și accelerațiilor. Integrarea ecuațiilor diferențiale ale mișcării punctului material.</t>
  </si>
  <si>
    <t>Tema 5. Probleme. Dinamica mișcării compuse a punctului material. Cercetarea mișcării sistemului mecanic cu ajutorul teoremelor generale ale dinamicii. Teorema variației energiei cinetice.</t>
  </si>
  <si>
    <t>Tema 6. Aplicarea metodelor mecanicii analitice la rezolvarea problemelor. Cercetarea unui sistem mecanic cu aplicarea metodei lucrului virtual.</t>
  </si>
  <si>
    <t>Ore absențe Curs</t>
  </si>
  <si>
    <t>Ore absențe Sem</t>
  </si>
  <si>
    <t>Ore absențe total</t>
  </si>
  <si>
    <t>Frecventa</t>
  </si>
  <si>
    <t>Reușita 
din nr.
total, %</t>
  </si>
  <si>
    <t>Reușita 
din nr.
prez.,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</si>
</sst>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 [$P]"/>
    <numFmt numFmtId="166" formatCode="0.0%"/>
  </numFmts>
  <fonts count="59" x14ac:knownFonts="1">
    <font>
      <sz val="11"/>
      <color theme="1"/>
      <name val="Calibri"/>
      <family val="2"/>
      <charset val="204"/>
      <scheme val="minor"/>
    </font>
    <font>
      <sz val="12"/>
      <color theme="1"/>
      <name val="Calibri"/>
      <family val="2"/>
      <charset val="204"/>
      <scheme val="minor"/>
    </font>
    <font>
      <sz val="12"/>
      <color theme="1"/>
      <name val="Times New Roman"/>
      <family val="1"/>
      <charset val="204"/>
    </font>
    <font>
      <sz val="8"/>
      <name val="Calibri"/>
      <family val="2"/>
      <charset val="204"/>
      <scheme val="minor"/>
    </font>
    <font>
      <b/>
      <sz val="12"/>
      <color theme="1"/>
      <name val="Times New Roman"/>
      <family val="1"/>
      <charset val="204"/>
    </font>
    <font>
      <sz val="11"/>
      <color indexed="8"/>
      <name val="Calibri"/>
      <family val="2"/>
      <charset val="238"/>
    </font>
    <font>
      <b/>
      <sz val="12"/>
      <color theme="1"/>
      <name val="Calibri"/>
      <family val="2"/>
      <scheme val="minor"/>
    </font>
    <font>
      <b/>
      <sz val="12"/>
      <color rgb="FFFF0000"/>
      <name val="Calibri"/>
      <family val="2"/>
      <scheme val="minor"/>
    </font>
    <font>
      <b/>
      <sz val="12"/>
      <color rgb="FF0070C0"/>
      <name val="Calibri"/>
      <family val="2"/>
      <scheme val="minor"/>
    </font>
    <font>
      <sz val="12"/>
      <color theme="1"/>
      <name val="Calibri"/>
      <family val="2"/>
      <scheme val="minor"/>
    </font>
    <font>
      <sz val="14"/>
      <color theme="1"/>
      <name val="Calibri"/>
      <family val="2"/>
      <scheme val="minor"/>
    </font>
    <font>
      <b/>
      <sz val="14"/>
      <color rgb="FF00B0F0"/>
      <name val="Calibri"/>
      <family val="2"/>
      <scheme val="minor"/>
    </font>
    <font>
      <b/>
      <sz val="14"/>
      <color rgb="FFFF0000"/>
      <name val="Calibri"/>
      <family val="2"/>
      <scheme val="minor"/>
    </font>
    <font>
      <b/>
      <sz val="14"/>
      <name val="Calibri"/>
      <family val="2"/>
      <scheme val="minor"/>
    </font>
    <font>
      <b/>
      <sz val="14"/>
      <color rgb="FF0070C0"/>
      <name val="Calibri"/>
      <family val="2"/>
      <scheme val="minor"/>
    </font>
    <font>
      <b/>
      <sz val="14"/>
      <color theme="1"/>
      <name val="Calibri"/>
      <family val="2"/>
      <scheme val="minor"/>
    </font>
    <font>
      <b/>
      <sz val="12"/>
      <name val="Calibri"/>
      <family val="2"/>
      <scheme val="minor"/>
    </font>
    <font>
      <b/>
      <sz val="18"/>
      <color theme="1"/>
      <name val="Calibri"/>
      <family val="2"/>
      <scheme val="minor"/>
    </font>
    <font>
      <b/>
      <sz val="14"/>
      <color indexed="8"/>
      <name val="Times New Roman"/>
      <family val="1"/>
    </font>
    <font>
      <b/>
      <i/>
      <sz val="14"/>
      <color theme="1"/>
      <name val="Times New Roman"/>
      <family val="1"/>
    </font>
    <font>
      <b/>
      <i/>
      <sz val="14"/>
      <color indexed="8"/>
      <name val="Times New Roman"/>
      <family val="1"/>
    </font>
    <font>
      <b/>
      <sz val="12"/>
      <color theme="1"/>
      <name val="Times New Roman"/>
      <family val="1"/>
    </font>
    <font>
      <b/>
      <sz val="14"/>
      <color theme="1"/>
      <name val="Times New Roman"/>
      <family val="1"/>
    </font>
    <font>
      <sz val="12"/>
      <color theme="1"/>
      <name val="Times New Roman"/>
      <family val="1"/>
    </font>
    <font>
      <b/>
      <sz val="11"/>
      <color indexed="8"/>
      <name val="Times New Roman"/>
      <family val="1"/>
    </font>
    <font>
      <sz val="11"/>
      <color theme="1"/>
      <name val="Times New Roman"/>
      <family val="1"/>
    </font>
    <font>
      <sz val="12"/>
      <color indexed="8"/>
      <name val="Times New Roman"/>
      <family val="1"/>
    </font>
    <font>
      <b/>
      <sz val="12"/>
      <name val="Times New Roman"/>
      <family val="1"/>
    </font>
    <font>
      <b/>
      <sz val="11"/>
      <color theme="1"/>
      <name val="Times New Roman"/>
      <family val="1"/>
    </font>
    <font>
      <sz val="14"/>
      <name val="Calibri"/>
      <family val="2"/>
      <scheme val="minor"/>
    </font>
    <font>
      <sz val="11"/>
      <color theme="1"/>
      <name val="Calibri"/>
      <family val="2"/>
      <scheme val="minor"/>
    </font>
    <font>
      <b/>
      <sz val="14"/>
      <name val="Times New Roman"/>
      <family val="1"/>
    </font>
    <font>
      <sz val="12"/>
      <color theme="1"/>
      <name val="Arial"/>
      <family val="2"/>
    </font>
    <font>
      <i/>
      <sz val="12"/>
      <color theme="1"/>
      <name val="Arial"/>
      <family val="2"/>
    </font>
    <font>
      <sz val="14"/>
      <color theme="1"/>
      <name val="Arial"/>
      <family val="2"/>
    </font>
    <font>
      <b/>
      <sz val="16"/>
      <color theme="1"/>
      <name val="Times New Roman"/>
      <family val="1"/>
    </font>
    <font>
      <b/>
      <sz val="16"/>
      <name val="Calibri"/>
      <family val="2"/>
      <scheme val="minor"/>
    </font>
    <font>
      <sz val="14"/>
      <color theme="1"/>
      <name val="Calibri"/>
      <family val="2"/>
      <charset val="204"/>
      <scheme val="minor"/>
    </font>
    <font>
      <sz val="16"/>
      <color theme="1"/>
      <name val="Calibri"/>
      <family val="2"/>
      <scheme val="minor"/>
    </font>
    <font>
      <b/>
      <sz val="16"/>
      <color theme="1"/>
      <name val="Calibri"/>
      <family val="2"/>
      <scheme val="minor"/>
    </font>
    <font>
      <sz val="12"/>
      <color theme="1"/>
      <name val="Calibri"/>
      <family val="2"/>
      <charset val="238"/>
      <scheme val="minor"/>
    </font>
    <font>
      <b/>
      <i/>
      <sz val="12"/>
      <color theme="1"/>
      <name val="Calibri"/>
      <family val="2"/>
      <charset val="238"/>
      <scheme val="minor"/>
    </font>
    <font>
      <u/>
      <sz val="12"/>
      <color theme="1"/>
      <name val="Calibri"/>
      <family val="2"/>
      <scheme val="minor"/>
    </font>
    <font>
      <i/>
      <sz val="12"/>
      <color theme="1"/>
      <name val="Calibri"/>
      <family val="2"/>
      <charset val="204"/>
      <scheme val="minor"/>
    </font>
    <font>
      <i/>
      <sz val="12"/>
      <color theme="1"/>
      <name val="Calibri"/>
      <family val="2"/>
      <charset val="238"/>
      <scheme val="minor"/>
    </font>
    <font>
      <b/>
      <sz val="12"/>
      <color theme="1"/>
      <name val="Calibri"/>
      <family val="2"/>
      <charset val="204"/>
      <scheme val="minor"/>
    </font>
    <font>
      <b/>
      <i/>
      <sz val="16"/>
      <color theme="1"/>
      <name val="Times New Roman"/>
      <family val="1"/>
    </font>
    <font>
      <b/>
      <sz val="16"/>
      <color theme="1"/>
      <name val="Times New Roman"/>
      <family val="1"/>
      <charset val="204"/>
    </font>
    <font>
      <sz val="14"/>
      <color theme="1"/>
      <name val="Calibri"/>
      <family val="2"/>
      <charset val="238"/>
      <scheme val="minor"/>
    </font>
    <font>
      <b/>
      <i/>
      <sz val="14"/>
      <color theme="1"/>
      <name val="Calibri"/>
      <family val="2"/>
      <charset val="238"/>
      <scheme val="minor"/>
    </font>
    <font>
      <b/>
      <sz val="14"/>
      <color theme="1"/>
      <name val="Calibri"/>
      <family val="2"/>
      <charset val="204"/>
      <scheme val="minor"/>
    </font>
    <font>
      <sz val="16"/>
      <color theme="1"/>
      <name val="Calibri"/>
      <family val="2"/>
      <charset val="238"/>
      <scheme val="minor"/>
    </font>
    <font>
      <sz val="16"/>
      <color theme="1"/>
      <name val="Times New Roman"/>
      <family val="1"/>
    </font>
    <font>
      <b/>
      <sz val="14"/>
      <color theme="1"/>
      <name val="Calibri"/>
      <family val="2"/>
      <charset val="238"/>
      <scheme val="minor"/>
    </font>
    <font>
      <b/>
      <sz val="10"/>
      <name val="Arial"/>
      <family val="2"/>
    </font>
    <font>
      <b/>
      <sz val="11"/>
      <name val="Arial"/>
      <family val="2"/>
    </font>
    <font>
      <b/>
      <sz val="12"/>
      <color indexed="8"/>
      <name val="Times New Roman"/>
      <family val="1"/>
      <charset val="238"/>
    </font>
    <font>
      <b/>
      <sz val="14"/>
      <color indexed="8"/>
      <name val="Times New Roman"/>
      <family val="1"/>
      <charset val="238"/>
    </font>
    <font>
      <b/>
      <sz val="12"/>
      <color indexed="8"/>
      <name val="Times New Roman"/>
      <family val="1"/>
    </font>
  </fonts>
  <fills count="9">
    <fill>
      <patternFill patternType="none"/>
    </fill>
    <fill>
      <patternFill patternType="gray125"/>
    </fill>
    <fill>
      <patternFill patternType="solid">
        <fgColor indexed="22"/>
        <bgColor indexed="64"/>
      </patternFill>
    </fill>
    <fill>
      <patternFill patternType="solid">
        <fgColor indexed="9"/>
        <bgColor indexed="26"/>
      </patternFill>
    </fill>
    <fill>
      <patternFill patternType="solid">
        <fgColor theme="5" tint="0.79998168889431442"/>
        <bgColor indexed="26"/>
      </patternFill>
    </fill>
    <fill>
      <patternFill patternType="solid">
        <fgColor theme="8" tint="0.79998168889431442"/>
        <bgColor indexed="26"/>
      </patternFill>
    </fill>
    <fill>
      <patternFill patternType="solid">
        <fgColor theme="8" tint="0.59999389629810485"/>
        <bgColor indexed="64"/>
      </patternFill>
    </fill>
    <fill>
      <patternFill patternType="solid">
        <fgColor theme="9" tint="0.59996337778862885"/>
        <bgColor indexed="64"/>
      </patternFill>
    </fill>
    <fill>
      <patternFill patternType="solid">
        <fgColor theme="9" tint="0.39997558519241921"/>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auto="1"/>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auto="1"/>
      </left>
      <right/>
      <top/>
      <bottom style="thin">
        <color auto="1"/>
      </bottom>
      <diagonal/>
    </border>
    <border>
      <left/>
      <right style="thin">
        <color indexed="64"/>
      </right>
      <top/>
      <bottom style="thin">
        <color indexed="64"/>
      </bottom>
      <diagonal/>
    </border>
    <border>
      <left/>
      <right/>
      <top/>
      <bottom style="thin">
        <color rgb="FF000000"/>
      </bottom>
      <diagonal/>
    </border>
    <border>
      <left/>
      <right/>
      <top/>
      <bottom style="thin">
        <color auto="1"/>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double">
        <color auto="1"/>
      </top>
      <bottom style="thin">
        <color auto="1"/>
      </bottom>
      <diagonal/>
    </border>
    <border>
      <left style="thin">
        <color indexed="64"/>
      </left>
      <right style="thin">
        <color indexed="64"/>
      </right>
      <top/>
      <bottom style="double">
        <color indexed="64"/>
      </bottom>
      <diagonal/>
    </border>
  </borders>
  <cellStyleXfs count="2">
    <xf numFmtId="0" fontId="0" fillId="0" borderId="0"/>
    <xf numFmtId="0" fontId="5" fillId="0" borderId="0"/>
  </cellStyleXfs>
  <cellXfs count="187">
    <xf numFmtId="0" fontId="0" fillId="0" borderId="0" xfId="0"/>
    <xf numFmtId="0" fontId="0" fillId="0" borderId="0" xfId="0" applyAlignment="1">
      <alignment horizontal="center"/>
    </xf>
    <xf numFmtId="0" fontId="2" fillId="0" borderId="0" xfId="0" applyFont="1"/>
    <xf numFmtId="0" fontId="4" fillId="0" borderId="14" xfId="0" applyFont="1" applyBorder="1" applyAlignment="1">
      <alignment horizontal="center"/>
    </xf>
    <xf numFmtId="0" fontId="6" fillId="0" borderId="14" xfId="0" applyFont="1" applyBorder="1" applyAlignment="1">
      <alignment horizontal="center"/>
    </xf>
    <xf numFmtId="0" fontId="7" fillId="0" borderId="14" xfId="0" applyFont="1" applyBorder="1" applyAlignment="1">
      <alignment horizontal="center"/>
    </xf>
    <xf numFmtId="0" fontId="8" fillId="0" borderId="0" xfId="0" applyFont="1"/>
    <xf numFmtId="0" fontId="9" fillId="0" borderId="0" xfId="0" applyFont="1"/>
    <xf numFmtId="0" fontId="10" fillId="0" borderId="0" xfId="0" applyFont="1" applyAlignment="1">
      <alignment horizontal="center"/>
    </xf>
    <xf numFmtId="0" fontId="10" fillId="0" borderId="0" xfId="0" applyFont="1" applyAlignment="1">
      <alignment horizontal="center" wrapText="1"/>
    </xf>
    <xf numFmtId="0" fontId="1" fillId="0" borderId="0" xfId="0" applyFont="1" applyAlignment="1">
      <alignment horizontal="center"/>
    </xf>
    <xf numFmtId="0" fontId="11" fillId="0" borderId="0" xfId="0" applyFont="1" applyAlignment="1">
      <alignment horizontal="center"/>
    </xf>
    <xf numFmtId="0" fontId="8" fillId="0" borderId="0" xfId="0" applyFont="1" applyAlignment="1">
      <alignment horizontal="center"/>
    </xf>
    <xf numFmtId="1" fontId="13" fillId="0" borderId="0" xfId="0" applyNumberFormat="1" applyFont="1" applyAlignment="1">
      <alignment horizontal="center"/>
    </xf>
    <xf numFmtId="49" fontId="9" fillId="0" borderId="0" xfId="0" applyNumberFormat="1" applyFont="1"/>
    <xf numFmtId="0" fontId="12" fillId="0" borderId="0" xfId="0" applyFont="1" applyAlignment="1">
      <alignment horizontal="center" vertical="center"/>
    </xf>
    <xf numFmtId="0" fontId="9" fillId="0" borderId="0" xfId="0" applyFont="1" applyAlignment="1">
      <alignment horizontal="center"/>
    </xf>
    <xf numFmtId="1" fontId="12" fillId="0" borderId="0" xfId="0" applyNumberFormat="1" applyFont="1" applyAlignment="1">
      <alignment horizontal="center" vertical="center"/>
    </xf>
    <xf numFmtId="0" fontId="0" fillId="0" borderId="0" xfId="0" applyAlignment="1">
      <alignment vertical="center"/>
    </xf>
    <xf numFmtId="0" fontId="6" fillId="0" borderId="15" xfId="0" applyFont="1" applyBorder="1" applyAlignment="1">
      <alignment horizontal="center" vertical="center"/>
    </xf>
    <xf numFmtId="0" fontId="6" fillId="0" borderId="14" xfId="0" applyFont="1" applyBorder="1" applyAlignment="1">
      <alignment horizontal="center" wrapText="1"/>
    </xf>
    <xf numFmtId="164" fontId="9" fillId="0" borderId="0" xfId="0" applyNumberFormat="1" applyFont="1" applyAlignment="1">
      <alignment horizontal="center"/>
    </xf>
    <xf numFmtId="0" fontId="12" fillId="0" borderId="0" xfId="0" applyFont="1" applyAlignment="1">
      <alignment horizontal="center"/>
    </xf>
    <xf numFmtId="0" fontId="14" fillId="0" borderId="0" xfId="0" applyFont="1" applyAlignment="1">
      <alignment horizontal="center"/>
    </xf>
    <xf numFmtId="0" fontId="14" fillId="0" borderId="14" xfId="0" applyFont="1" applyBorder="1" applyAlignment="1">
      <alignment horizontal="center" wrapText="1"/>
    </xf>
    <xf numFmtId="0" fontId="10" fillId="0" borderId="0" xfId="0" applyFont="1"/>
    <xf numFmtId="0" fontId="4" fillId="0" borderId="15" xfId="0" applyFont="1" applyBorder="1" applyAlignment="1">
      <alignment horizontal="center" vertical="center"/>
    </xf>
    <xf numFmtId="1" fontId="16" fillId="0" borderId="0" xfId="0" applyNumberFormat="1" applyFont="1" applyAlignment="1">
      <alignment horizontal="center"/>
    </xf>
    <xf numFmtId="1" fontId="16" fillId="0" borderId="0" xfId="0" applyNumberFormat="1" applyFont="1" applyAlignment="1">
      <alignment horizontal="center" vertical="center"/>
    </xf>
    <xf numFmtId="0" fontId="6" fillId="0" borderId="0" xfId="0" applyFont="1" applyAlignment="1">
      <alignment horizontal="center" vertical="center"/>
    </xf>
    <xf numFmtId="1" fontId="4" fillId="0" borderId="0" xfId="0" applyNumberFormat="1" applyFont="1" applyAlignment="1">
      <alignment horizontal="center" vertical="center"/>
    </xf>
    <xf numFmtId="0" fontId="4" fillId="0" borderId="0" xfId="0" applyFont="1" applyAlignment="1">
      <alignment horizontal="left" vertical="center"/>
    </xf>
    <xf numFmtId="1" fontId="12" fillId="0" borderId="0" xfId="0" applyNumberFormat="1" applyFont="1" applyAlignment="1">
      <alignment horizontal="center"/>
    </xf>
    <xf numFmtId="0" fontId="19" fillId="0" borderId="0" xfId="0" applyFont="1" applyAlignment="1">
      <alignment horizontal="center" vertical="center"/>
    </xf>
    <xf numFmtId="0" fontId="22" fillId="0" borderId="0" xfId="0" applyFont="1" applyAlignment="1">
      <alignment horizontal="center" vertical="center"/>
    </xf>
    <xf numFmtId="0" fontId="23" fillId="0" borderId="0" xfId="0" applyFont="1" applyAlignment="1">
      <alignment vertical="center" wrapText="1"/>
    </xf>
    <xf numFmtId="1" fontId="24" fillId="0" borderId="1" xfId="0" applyNumberFormat="1" applyFont="1" applyBorder="1" applyAlignment="1">
      <alignment horizontal="center" vertical="center" textRotation="90" wrapText="1"/>
    </xf>
    <xf numFmtId="0" fontId="21" fillId="0" borderId="0" xfId="0" applyFont="1" applyAlignment="1">
      <alignment horizontal="center" vertical="center"/>
    </xf>
    <xf numFmtId="0" fontId="12" fillId="0" borderId="14" xfId="0" applyFont="1" applyBorder="1" applyAlignment="1">
      <alignment horizontal="center"/>
    </xf>
    <xf numFmtId="49" fontId="15" fillId="0" borderId="14" xfId="0" applyNumberFormat="1" applyFont="1" applyBorder="1" applyAlignment="1">
      <alignment horizontal="center" wrapText="1"/>
    </xf>
    <xf numFmtId="49" fontId="10" fillId="0" borderId="0" xfId="0" applyNumberFormat="1" applyFont="1" applyAlignment="1">
      <alignment horizontal="center"/>
    </xf>
    <xf numFmtId="49" fontId="29" fillId="0" borderId="0" xfId="0" applyNumberFormat="1" applyFont="1" applyAlignment="1">
      <alignment horizontal="center"/>
    </xf>
    <xf numFmtId="49" fontId="10" fillId="0" borderId="0" xfId="0" applyNumberFormat="1" applyFont="1"/>
    <xf numFmtId="1" fontId="15" fillId="0" borderId="0" xfId="0" applyNumberFormat="1" applyFont="1" applyAlignment="1">
      <alignment horizontal="center"/>
    </xf>
    <xf numFmtId="1" fontId="30" fillId="0" borderId="0" xfId="0" applyNumberFormat="1" applyFont="1"/>
    <xf numFmtId="0" fontId="22" fillId="0" borderId="0" xfId="0" applyFont="1" applyAlignment="1">
      <alignment vertical="top" wrapText="1"/>
    </xf>
    <xf numFmtId="0" fontId="32" fillId="0" borderId="0" xfId="0" applyFont="1"/>
    <xf numFmtId="0" fontId="32" fillId="0" borderId="0" xfId="0" applyFont="1" applyAlignment="1">
      <alignment horizontal="center" vertical="center"/>
    </xf>
    <xf numFmtId="0" fontId="32" fillId="0" borderId="0" xfId="0" applyFont="1" applyAlignment="1">
      <alignment horizontal="center"/>
    </xf>
    <xf numFmtId="0" fontId="32" fillId="0" borderId="0" xfId="0" applyFont="1" applyAlignment="1">
      <alignment horizontal="left" vertical="center"/>
    </xf>
    <xf numFmtId="0" fontId="2" fillId="0" borderId="0" xfId="0" applyFont="1" applyAlignment="1">
      <alignment horizontal="center" vertical="center"/>
    </xf>
    <xf numFmtId="0" fontId="0" fillId="0" borderId="0" xfId="0" applyAlignment="1">
      <alignment horizontal="center" vertical="center"/>
    </xf>
    <xf numFmtId="0" fontId="33" fillId="0" borderId="0" xfId="0" applyFont="1" applyAlignment="1">
      <alignment horizontal="center" vertical="center"/>
    </xf>
    <xf numFmtId="0" fontId="34" fillId="0" borderId="0" xfId="0" applyFont="1"/>
    <xf numFmtId="0" fontId="22" fillId="0" borderId="0" xfId="0" applyFont="1" applyAlignment="1">
      <alignment horizontal="left" vertical="center"/>
    </xf>
    <xf numFmtId="0" fontId="25" fillId="0" borderId="0" xfId="0" applyFont="1" applyAlignment="1">
      <alignment horizontal="center" vertical="center"/>
    </xf>
    <xf numFmtId="0" fontId="23" fillId="0" borderId="0" xfId="0" applyFont="1" applyAlignment="1">
      <alignment horizontal="center" vertical="center"/>
    </xf>
    <xf numFmtId="0" fontId="23" fillId="0" borderId="0" xfId="0" applyFont="1"/>
    <xf numFmtId="0" fontId="22" fillId="0" borderId="0" xfId="0" applyFont="1" applyAlignment="1">
      <alignment vertical="center" textRotation="90"/>
    </xf>
    <xf numFmtId="1" fontId="26" fillId="0" borderId="1" xfId="0" applyNumberFormat="1" applyFont="1" applyBorder="1" applyAlignment="1">
      <alignment horizontal="center" vertical="center" textRotation="90"/>
    </xf>
    <xf numFmtId="0" fontId="23" fillId="0" borderId="1" xfId="0" applyFont="1" applyBorder="1" applyAlignment="1">
      <alignment horizontal="center" vertical="center"/>
    </xf>
    <xf numFmtId="0" fontId="30" fillId="0" borderId="0" xfId="0" applyFont="1"/>
    <xf numFmtId="0" fontId="19" fillId="0" borderId="9" xfId="0" applyFont="1" applyBorder="1" applyAlignment="1">
      <alignment horizontal="center" vertical="center"/>
    </xf>
    <xf numFmtId="0" fontId="22" fillId="0" borderId="10" xfId="0" applyFont="1" applyBorder="1" applyAlignment="1">
      <alignment horizontal="center" vertical="center"/>
    </xf>
    <xf numFmtId="1" fontId="20" fillId="0" borderId="9" xfId="0" applyNumberFormat="1" applyFont="1" applyBorder="1" applyAlignment="1">
      <alignment horizontal="center" vertical="center" textRotation="90" wrapText="1"/>
    </xf>
    <xf numFmtId="1" fontId="20" fillId="0" borderId="10" xfId="0" applyNumberFormat="1" applyFont="1" applyBorder="1" applyAlignment="1">
      <alignment horizontal="center" vertical="center" textRotation="90" wrapText="1"/>
    </xf>
    <xf numFmtId="1" fontId="36" fillId="0" borderId="11" xfId="0" applyNumberFormat="1" applyFont="1" applyBorder="1" applyAlignment="1">
      <alignment horizontal="center" vertical="center"/>
    </xf>
    <xf numFmtId="0" fontId="38" fillId="0" borderId="0" xfId="0" applyFont="1"/>
    <xf numFmtId="0" fontId="39" fillId="0" borderId="20" xfId="0" applyFont="1" applyBorder="1" applyAlignment="1">
      <alignment horizontal="center" vertical="center"/>
    </xf>
    <xf numFmtId="165" fontId="21" fillId="0" borderId="0" xfId="0" applyNumberFormat="1" applyFont="1"/>
    <xf numFmtId="165" fontId="21" fillId="0" borderId="0" xfId="0" applyNumberFormat="1" applyFont="1" applyAlignment="1">
      <alignment horizontal="center" vertical="center"/>
    </xf>
    <xf numFmtId="0" fontId="37" fillId="0" borderId="0" xfId="0" applyFont="1"/>
    <xf numFmtId="0" fontId="34" fillId="0" borderId="0" xfId="0" applyFont="1" applyAlignment="1">
      <alignment horizontal="center" vertical="center"/>
    </xf>
    <xf numFmtId="2" fontId="22" fillId="0" borderId="0" xfId="0" applyNumberFormat="1" applyFont="1" applyAlignment="1">
      <alignment horizontal="center" vertical="center"/>
    </xf>
    <xf numFmtId="49" fontId="18" fillId="6" borderId="1" xfId="0" applyNumberFormat="1" applyFont="1" applyFill="1" applyBorder="1" applyAlignment="1">
      <alignment horizontal="center" vertical="center" textRotation="90"/>
    </xf>
    <xf numFmtId="0" fontId="40" fillId="0" borderId="0" xfId="0" applyFont="1"/>
    <xf numFmtId="0" fontId="41" fillId="0" borderId="0" xfId="0" applyFont="1"/>
    <xf numFmtId="0" fontId="44" fillId="0" borderId="0" xfId="0" applyFont="1" applyAlignment="1">
      <alignment horizontal="left"/>
    </xf>
    <xf numFmtId="0" fontId="45" fillId="0" borderId="1" xfId="0" applyFont="1" applyBorder="1" applyAlignment="1">
      <alignment horizontal="center" vertical="center" wrapText="1"/>
    </xf>
    <xf numFmtId="0" fontId="40" fillId="0" borderId="1" xfId="0" applyFont="1" applyBorder="1" applyAlignment="1">
      <alignment horizontal="center" vertical="center"/>
    </xf>
    <xf numFmtId="0" fontId="45" fillId="0" borderId="1" xfId="0" applyFont="1" applyBorder="1" applyAlignment="1">
      <alignment horizontal="center" vertical="center"/>
    </xf>
    <xf numFmtId="0" fontId="40" fillId="0" borderId="1" xfId="0" applyFont="1" applyBorder="1" applyAlignment="1">
      <alignment horizontal="left" vertical="center" wrapText="1"/>
    </xf>
    <xf numFmtId="0" fontId="40" fillId="0" borderId="1" xfId="0" applyFont="1" applyBorder="1" applyAlignment="1">
      <alignment horizontal="center" vertical="center" wrapText="1"/>
    </xf>
    <xf numFmtId="0" fontId="46" fillId="0" borderId="1" xfId="0" applyFont="1" applyBorder="1" applyAlignment="1">
      <alignment horizontal="center" vertical="center"/>
    </xf>
    <xf numFmtId="0" fontId="22" fillId="0" borderId="10" xfId="0" applyFont="1" applyBorder="1" applyAlignment="1">
      <alignment vertical="top" wrapText="1"/>
    </xf>
    <xf numFmtId="0" fontId="15" fillId="0" borderId="0" xfId="0" applyFont="1"/>
    <xf numFmtId="0" fontId="22" fillId="0" borderId="0" xfId="0" applyFont="1" applyAlignment="1">
      <alignment horizontal="center" vertical="center" wrapText="1"/>
    </xf>
    <xf numFmtId="0" fontId="47" fillId="0" borderId="0" xfId="0" applyFont="1" applyAlignment="1">
      <alignment vertical="center" textRotation="90"/>
    </xf>
    <xf numFmtId="0" fontId="48" fillId="0" borderId="0" xfId="0" applyFont="1"/>
    <xf numFmtId="0" fontId="49" fillId="0" borderId="0" xfId="0" applyFont="1"/>
    <xf numFmtId="0" fontId="48" fillId="0" borderId="1" xfId="0" applyFont="1" applyBorder="1" applyAlignment="1">
      <alignment horizontal="center" vertical="center"/>
    </xf>
    <xf numFmtId="0" fontId="51" fillId="0" borderId="1" xfId="0" applyFont="1" applyBorder="1" applyAlignment="1">
      <alignment horizontal="center" vertical="center"/>
    </xf>
    <xf numFmtId="0" fontId="52" fillId="0" borderId="1" xfId="0" applyFont="1" applyBorder="1" applyAlignment="1">
      <alignment horizontal="left" vertical="center"/>
    </xf>
    <xf numFmtId="2" fontId="48" fillId="0" borderId="1" xfId="0" applyNumberFormat="1" applyFont="1" applyBorder="1" applyAlignment="1">
      <alignment horizontal="center" vertical="center" wrapText="1"/>
    </xf>
    <xf numFmtId="0" fontId="48" fillId="0" borderId="1" xfId="0" applyFont="1" applyBorder="1" applyAlignment="1">
      <alignment horizontal="left" vertical="center" wrapText="1"/>
    </xf>
    <xf numFmtId="0" fontId="48" fillId="0" borderId="1" xfId="0" applyFont="1" applyBorder="1" applyAlignment="1">
      <alignment horizontal="center" vertical="center" wrapText="1"/>
    </xf>
    <xf numFmtId="0" fontId="48" fillId="0" borderId="0" xfId="0" applyFont="1" applyAlignment="1">
      <alignment horizontal="center" vertical="center"/>
    </xf>
    <xf numFmtId="0" fontId="53" fillId="0" borderId="1" xfId="0" applyFont="1" applyBorder="1" applyAlignment="1">
      <alignment horizontal="right" vertical="center" wrapText="1"/>
    </xf>
    <xf numFmtId="0" fontId="53" fillId="0" borderId="1" xfId="0" applyFont="1" applyBorder="1" applyAlignment="1">
      <alignment horizontal="center" vertical="center"/>
    </xf>
    <xf numFmtId="1" fontId="22" fillId="0" borderId="0" xfId="0" applyNumberFormat="1" applyFont="1" applyAlignment="1">
      <alignment horizontal="center" vertical="center"/>
    </xf>
    <xf numFmtId="0" fontId="22" fillId="0" borderId="0" xfId="0" applyFont="1" applyAlignment="1">
      <alignment horizontal="left" vertical="top" wrapText="1"/>
    </xf>
    <xf numFmtId="49" fontId="18" fillId="7" borderId="1" xfId="0" applyNumberFormat="1" applyFont="1" applyFill="1" applyBorder="1" applyAlignment="1">
      <alignment horizontal="center" vertical="center" textRotation="90"/>
    </xf>
    <xf numFmtId="49" fontId="58" fillId="7" borderId="1" xfId="0" applyNumberFormat="1" applyFont="1" applyFill="1" applyBorder="1" applyAlignment="1">
      <alignment horizontal="center" vertical="center" textRotation="90" wrapText="1"/>
    </xf>
    <xf numFmtId="49" fontId="58" fillId="7" borderId="4" xfId="0" applyNumberFormat="1" applyFont="1" applyFill="1" applyBorder="1" applyAlignment="1">
      <alignment horizontal="center" vertical="center" textRotation="90" wrapText="1"/>
    </xf>
    <xf numFmtId="0" fontId="15" fillId="0" borderId="15" xfId="0" applyFont="1" applyBorder="1"/>
    <xf numFmtId="166" fontId="39" fillId="0" borderId="0" xfId="0" applyNumberFormat="1" applyFont="1" applyAlignment="1">
      <alignment horizontal="center" vertical="center"/>
    </xf>
    <xf numFmtId="0" fontId="17" fillId="8" borderId="5" xfId="0" applyFont="1" applyFill="1" applyBorder="1" applyAlignment="1">
      <alignment horizontal="center" vertical="center" wrapText="1"/>
    </xf>
    <xf numFmtId="0" fontId="17" fillId="8" borderId="21" xfId="0" applyFont="1" applyFill="1" applyBorder="1" applyAlignment="1">
      <alignment horizontal="center" vertical="center" wrapText="1"/>
    </xf>
    <xf numFmtId="0" fontId="39" fillId="0" borderId="0" xfId="0" applyFont="1" applyAlignment="1">
      <alignment horizontal="center" wrapText="1"/>
    </xf>
    <xf numFmtId="0" fontId="39" fillId="0" borderId="0" xfId="0" applyFont="1" applyAlignment="1">
      <alignment horizontal="center"/>
    </xf>
    <xf numFmtId="0" fontId="35" fillId="6" borderId="0" xfId="0" applyFont="1" applyFill="1" applyAlignment="1">
      <alignment horizontal="center" vertical="center"/>
    </xf>
    <xf numFmtId="1" fontId="56" fillId="2" borderId="0" xfId="0" applyNumberFormat="1" applyFont="1" applyFill="1" applyAlignment="1">
      <alignment horizontal="center" vertical="center" textRotation="90"/>
    </xf>
    <xf numFmtId="1" fontId="56" fillId="2" borderId="15" xfId="0" applyNumberFormat="1" applyFont="1" applyFill="1" applyBorder="1" applyAlignment="1">
      <alignment horizontal="center" vertical="center" textRotation="90"/>
    </xf>
    <xf numFmtId="1" fontId="57" fillId="2" borderId="0" xfId="0" applyNumberFormat="1" applyFont="1" applyFill="1" applyAlignment="1">
      <alignment horizontal="center" vertical="center" textRotation="90" wrapText="1"/>
    </xf>
    <xf numFmtId="1" fontId="57" fillId="2" borderId="15" xfId="0" applyNumberFormat="1" applyFont="1" applyFill="1" applyBorder="1" applyAlignment="1">
      <alignment horizontal="center" vertical="center" textRotation="90"/>
    </xf>
    <xf numFmtId="1" fontId="18" fillId="8" borderId="20" xfId="0" applyNumberFormat="1" applyFont="1" applyFill="1" applyBorder="1" applyAlignment="1">
      <alignment horizontal="center" vertical="center" textRotation="90" wrapText="1"/>
    </xf>
    <xf numFmtId="1" fontId="18" fillId="8" borderId="16" xfId="0" applyNumberFormat="1" applyFont="1" applyFill="1" applyBorder="1" applyAlignment="1">
      <alignment horizontal="center" vertical="center" textRotation="90" wrapText="1"/>
    </xf>
    <xf numFmtId="0" fontId="31" fillId="3" borderId="18" xfId="1" applyFont="1" applyFill="1" applyBorder="1" applyAlignment="1">
      <alignment horizontal="center" vertical="center" wrapText="1"/>
    </xf>
    <xf numFmtId="0" fontId="31" fillId="3" borderId="19" xfId="1" applyFont="1" applyFill="1" applyBorder="1" applyAlignment="1">
      <alignment horizontal="center" vertical="center" wrapText="1"/>
    </xf>
    <xf numFmtId="0" fontId="31" fillId="3" borderId="17" xfId="1" applyFont="1" applyFill="1" applyBorder="1" applyAlignment="1">
      <alignment horizontal="center" vertical="center" wrapText="1"/>
    </xf>
    <xf numFmtId="0" fontId="22" fillId="0" borderId="0" xfId="0" applyFont="1" applyAlignment="1">
      <alignment horizontal="left" vertical="top" wrapText="1"/>
    </xf>
    <xf numFmtId="0" fontId="22" fillId="0" borderId="15" xfId="0" applyFont="1" applyBorder="1" applyAlignment="1">
      <alignment horizontal="center" vertical="center" wrapText="1"/>
    </xf>
    <xf numFmtId="0" fontId="31" fillId="3" borderId="5" xfId="1" applyFont="1" applyFill="1" applyBorder="1" applyAlignment="1">
      <alignment horizontal="center" vertical="center" textRotation="90" wrapText="1"/>
    </xf>
    <xf numFmtId="0" fontId="31" fillId="3" borderId="6" xfId="1" applyFont="1" applyFill="1" applyBorder="1" applyAlignment="1">
      <alignment horizontal="center" vertical="center" textRotation="90" wrapText="1"/>
    </xf>
    <xf numFmtId="0" fontId="31" fillId="3" borderId="11" xfId="1" applyFont="1" applyFill="1" applyBorder="1" applyAlignment="1">
      <alignment horizontal="center" vertical="center" textRotation="90" wrapText="1"/>
    </xf>
    <xf numFmtId="0" fontId="27" fillId="3" borderId="1" xfId="1" applyFont="1" applyFill="1" applyBorder="1" applyAlignment="1">
      <alignment horizontal="center" vertical="center" wrapText="1"/>
    </xf>
    <xf numFmtId="0" fontId="27" fillId="3" borderId="7" xfId="1" applyFont="1" applyFill="1" applyBorder="1" applyAlignment="1">
      <alignment horizontal="center" vertical="center" wrapText="1"/>
    </xf>
    <xf numFmtId="0" fontId="27" fillId="3" borderId="8" xfId="1" applyFont="1" applyFill="1" applyBorder="1" applyAlignment="1">
      <alignment horizontal="center" vertical="center" wrapText="1"/>
    </xf>
    <xf numFmtId="0" fontId="27" fillId="3" borderId="9" xfId="1" applyFont="1" applyFill="1" applyBorder="1" applyAlignment="1">
      <alignment horizontal="center" vertical="center" wrapText="1"/>
    </xf>
    <xf numFmtId="0" fontId="27" fillId="3" borderId="10" xfId="1" applyFont="1" applyFill="1" applyBorder="1" applyAlignment="1">
      <alignment horizontal="center" vertical="center" wrapText="1"/>
    </xf>
    <xf numFmtId="0" fontId="27" fillId="3" borderId="12" xfId="1" applyFont="1" applyFill="1" applyBorder="1" applyAlignment="1">
      <alignment horizontal="center" vertical="center" wrapText="1"/>
    </xf>
    <xf numFmtId="0" fontId="27" fillId="3" borderId="13" xfId="1" applyFont="1" applyFill="1" applyBorder="1" applyAlignment="1">
      <alignment horizontal="center" vertical="center" wrapText="1"/>
    </xf>
    <xf numFmtId="0" fontId="27" fillId="3" borderId="1" xfId="1" applyFont="1" applyFill="1" applyBorder="1" applyAlignment="1">
      <alignment horizontal="center" vertical="center" textRotation="90" wrapText="1"/>
    </xf>
    <xf numFmtId="1" fontId="20" fillId="0" borderId="9" xfId="0" applyNumberFormat="1" applyFont="1" applyBorder="1" applyAlignment="1">
      <alignment horizontal="center" vertical="center" wrapText="1"/>
    </xf>
    <xf numFmtId="1" fontId="20" fillId="0" borderId="10" xfId="0" applyNumberFormat="1" applyFont="1" applyBorder="1" applyAlignment="1">
      <alignment horizontal="center" vertical="center" wrapText="1"/>
    </xf>
    <xf numFmtId="0" fontId="28" fillId="0" borderId="2" xfId="0" applyFont="1" applyBorder="1" applyAlignment="1">
      <alignment horizontal="center" vertical="center"/>
    </xf>
    <xf numFmtId="0" fontId="28" fillId="0" borderId="3" xfId="0" applyFont="1" applyBorder="1" applyAlignment="1">
      <alignment horizontal="center" vertical="center"/>
    </xf>
    <xf numFmtId="0" fontId="28" fillId="0" borderId="4" xfId="0" applyFont="1" applyBorder="1" applyAlignment="1">
      <alignment horizontal="center" vertical="center"/>
    </xf>
    <xf numFmtId="0" fontId="35" fillId="7" borderId="0" xfId="0" applyFont="1" applyFill="1" applyAlignment="1">
      <alignment horizontal="center" vertical="center"/>
    </xf>
    <xf numFmtId="0" fontId="55" fillId="3" borderId="2" xfId="1" applyFont="1" applyFill="1" applyBorder="1" applyAlignment="1">
      <alignment horizontal="center" vertical="center" wrapText="1"/>
    </xf>
    <xf numFmtId="0" fontId="55" fillId="3" borderId="4" xfId="1" applyFont="1" applyFill="1" applyBorder="1" applyAlignment="1">
      <alignment horizontal="center" vertical="center" wrapText="1"/>
    </xf>
    <xf numFmtId="0" fontId="27" fillId="3" borderId="5" xfId="1" applyFont="1" applyFill="1" applyBorder="1" applyAlignment="1">
      <alignment horizontal="center" vertical="center" textRotation="90" wrapText="1"/>
    </xf>
    <xf numFmtId="0" fontId="27" fillId="3" borderId="6" xfId="1" applyFont="1" applyFill="1" applyBorder="1" applyAlignment="1">
      <alignment horizontal="center" vertical="center" textRotation="90" wrapText="1"/>
    </xf>
    <xf numFmtId="0" fontId="27" fillId="3" borderId="11" xfId="1" applyFont="1" applyFill="1" applyBorder="1" applyAlignment="1">
      <alignment horizontal="center" vertical="center" textRotation="90" wrapText="1"/>
    </xf>
    <xf numFmtId="0" fontId="54" fillId="4" borderId="5" xfId="1" applyFont="1" applyFill="1" applyBorder="1" applyAlignment="1">
      <alignment horizontal="center" vertical="center" textRotation="90" wrapText="1"/>
    </xf>
    <xf numFmtId="0" fontId="54" fillId="4" borderId="11" xfId="1" applyFont="1" applyFill="1" applyBorder="1" applyAlignment="1">
      <alignment horizontal="center" vertical="center" textRotation="90" wrapText="1"/>
    </xf>
    <xf numFmtId="0" fontId="54" fillId="5" borderId="5" xfId="1" applyFont="1" applyFill="1" applyBorder="1" applyAlignment="1">
      <alignment horizontal="center" vertical="center" textRotation="90" wrapText="1"/>
    </xf>
    <xf numFmtId="0" fontId="54" fillId="5" borderId="11" xfId="1" applyFont="1" applyFill="1" applyBorder="1" applyAlignment="1">
      <alignment horizontal="center" vertical="center" textRotation="90" wrapText="1"/>
    </xf>
    <xf numFmtId="165" fontId="27" fillId="3" borderId="5" xfId="1" applyNumberFormat="1" applyFont="1" applyFill="1" applyBorder="1" applyAlignment="1">
      <alignment horizontal="center" vertical="center" textRotation="90" wrapText="1"/>
    </xf>
    <xf numFmtId="165" fontId="27" fillId="3" borderId="6" xfId="1" applyNumberFormat="1" applyFont="1" applyFill="1" applyBorder="1" applyAlignment="1">
      <alignment horizontal="center" vertical="center" textRotation="90" wrapText="1"/>
    </xf>
    <xf numFmtId="0" fontId="6" fillId="0" borderId="0" xfId="0" applyFont="1" applyAlignment="1">
      <alignment horizontal="center" wrapText="1"/>
    </xf>
    <xf numFmtId="0" fontId="15" fillId="0" borderId="15" xfId="0" applyFont="1" applyBorder="1" applyAlignment="1">
      <alignment horizontal="center"/>
    </xf>
    <xf numFmtId="0" fontId="48" fillId="0" borderId="5" xfId="0" applyFont="1" applyBorder="1" applyAlignment="1">
      <alignment horizontal="center" vertical="center" wrapText="1"/>
    </xf>
    <xf numFmtId="0" fontId="48" fillId="0" borderId="11" xfId="0" applyFont="1" applyBorder="1" applyAlignment="1">
      <alignment horizontal="center" vertical="center" wrapText="1"/>
    </xf>
    <xf numFmtId="0" fontId="45" fillId="0" borderId="1" xfId="0" applyFont="1" applyBorder="1" applyAlignment="1">
      <alignment horizontal="center"/>
    </xf>
    <xf numFmtId="0" fontId="50" fillId="0" borderId="1" xfId="0" applyFont="1" applyBorder="1" applyAlignment="1">
      <alignment horizontal="center" vertical="center" wrapText="1"/>
    </xf>
    <xf numFmtId="2" fontId="22" fillId="0" borderId="7" xfId="0" applyNumberFormat="1" applyFont="1" applyBorder="1" applyAlignment="1">
      <alignment horizontal="center" vertical="center" textRotation="90" wrapText="1"/>
    </xf>
    <xf numFmtId="0" fontId="22" fillId="0" borderId="12" xfId="0" applyFont="1" applyBorder="1" applyAlignment="1">
      <alignment horizontal="center" vertical="center" textRotation="90" wrapText="1"/>
    </xf>
    <xf numFmtId="0" fontId="48" fillId="0" borderId="5" xfId="0" applyFont="1" applyBorder="1" applyAlignment="1">
      <alignment vertical="top" wrapText="1"/>
    </xf>
    <xf numFmtId="0" fontId="48" fillId="0" borderId="6" xfId="0" applyFont="1" applyBorder="1" applyAlignment="1">
      <alignment vertical="top" wrapText="1"/>
    </xf>
    <xf numFmtId="0" fontId="48" fillId="0" borderId="11" xfId="0" applyFont="1" applyBorder="1" applyAlignment="1">
      <alignment vertical="top" wrapText="1"/>
    </xf>
    <xf numFmtId="0" fontId="48" fillId="0" borderId="6" xfId="0" applyFont="1" applyBorder="1" applyAlignment="1">
      <alignment horizontal="center" vertical="center" wrapText="1"/>
    </xf>
    <xf numFmtId="2" fontId="48" fillId="0" borderId="5" xfId="0" applyNumberFormat="1" applyFont="1" applyBorder="1" applyAlignment="1">
      <alignment horizontal="center" vertical="center" wrapText="1"/>
    </xf>
    <xf numFmtId="2" fontId="48" fillId="0" borderId="6" xfId="0" applyNumberFormat="1" applyFont="1" applyBorder="1" applyAlignment="1">
      <alignment horizontal="center" vertical="center" wrapText="1"/>
    </xf>
    <xf numFmtId="2" fontId="48" fillId="0" borderId="11" xfId="0" applyNumberFormat="1" applyFont="1" applyBorder="1" applyAlignment="1">
      <alignment horizontal="center" vertical="center" wrapText="1"/>
    </xf>
    <xf numFmtId="0" fontId="48" fillId="0" borderId="5" xfId="0" applyFont="1" applyBorder="1" applyAlignment="1">
      <alignment vertical="center" wrapText="1"/>
    </xf>
    <xf numFmtId="0" fontId="48" fillId="0" borderId="6" xfId="0" applyFont="1" applyBorder="1" applyAlignment="1">
      <alignment vertical="center" wrapText="1"/>
    </xf>
    <xf numFmtId="0" fontId="48" fillId="0" borderId="11" xfId="0" applyFont="1" applyBorder="1" applyAlignment="1">
      <alignment vertical="center" wrapText="1"/>
    </xf>
    <xf numFmtId="0" fontId="48" fillId="0" borderId="7" xfId="0" applyFont="1" applyBorder="1" applyAlignment="1">
      <alignment vertical="center" wrapText="1"/>
    </xf>
    <xf numFmtId="0" fontId="48" fillId="0" borderId="9" xfId="0" applyFont="1" applyBorder="1" applyAlignment="1">
      <alignment vertical="center" wrapText="1"/>
    </xf>
    <xf numFmtId="0" fontId="48" fillId="0" borderId="12" xfId="0" applyFont="1" applyBorder="1" applyAlignment="1">
      <alignment vertical="center" wrapText="1"/>
    </xf>
    <xf numFmtId="0" fontId="48" fillId="0" borderId="5" xfId="0" applyFont="1" applyBorder="1" applyAlignment="1">
      <alignment horizontal="left" vertical="center" wrapText="1"/>
    </xf>
    <xf numFmtId="0" fontId="48" fillId="0" borderId="6" xfId="0" applyFont="1" applyBorder="1" applyAlignment="1">
      <alignment horizontal="left" vertical="center" wrapText="1"/>
    </xf>
    <xf numFmtId="0" fontId="48" fillId="0" borderId="11" xfId="0" applyFont="1" applyBorder="1" applyAlignment="1">
      <alignment horizontal="left" vertical="center" wrapText="1"/>
    </xf>
    <xf numFmtId="0" fontId="10" fillId="0" borderId="5" xfId="0" applyFont="1" applyBorder="1" applyAlignment="1">
      <alignment horizontal="center" vertical="center"/>
    </xf>
    <xf numFmtId="0" fontId="10" fillId="0" borderId="6" xfId="0" applyFont="1" applyBorder="1" applyAlignment="1">
      <alignment horizontal="center" vertical="center"/>
    </xf>
    <xf numFmtId="0" fontId="10" fillId="0" borderId="11" xfId="0" applyFont="1" applyBorder="1" applyAlignment="1">
      <alignment horizontal="center" vertical="center"/>
    </xf>
    <xf numFmtId="0" fontId="48" fillId="0" borderId="5" xfId="0" applyFont="1" applyBorder="1" applyAlignment="1">
      <alignment horizontal="center" vertical="center"/>
    </xf>
    <xf numFmtId="0" fontId="48" fillId="0" borderId="6" xfId="0" applyFont="1" applyBorder="1" applyAlignment="1">
      <alignment horizontal="center" vertical="center"/>
    </xf>
    <xf numFmtId="0" fontId="48" fillId="0" borderId="11" xfId="0" applyFont="1" applyBorder="1" applyAlignment="1">
      <alignment horizontal="center" vertical="center"/>
    </xf>
    <xf numFmtId="0" fontId="53" fillId="0" borderId="5" xfId="0" applyFont="1" applyBorder="1" applyAlignment="1">
      <alignment horizontal="center" vertical="center"/>
    </xf>
    <xf numFmtId="0" fontId="53" fillId="0" borderId="11" xfId="0" applyFont="1" applyBorder="1" applyAlignment="1">
      <alignment horizontal="center" vertical="center"/>
    </xf>
    <xf numFmtId="0" fontId="10" fillId="0" borderId="5" xfId="0" applyFont="1" applyBorder="1" applyAlignment="1">
      <alignment horizontal="left" vertical="center" wrapText="1"/>
    </xf>
    <xf numFmtId="0" fontId="10" fillId="0" borderId="11" xfId="0" applyFont="1" applyBorder="1" applyAlignment="1">
      <alignment horizontal="left" vertical="center" wrapText="1"/>
    </xf>
    <xf numFmtId="0" fontId="45" fillId="0" borderId="1" xfId="0" applyFont="1" applyBorder="1" applyAlignment="1">
      <alignment horizontal="center" vertical="center" wrapText="1"/>
    </xf>
    <xf numFmtId="0" fontId="40" fillId="0" borderId="5" xfId="0" applyFont="1" applyBorder="1" applyAlignment="1">
      <alignment horizontal="center" vertical="center" wrapText="1"/>
    </xf>
    <xf numFmtId="0" fontId="40" fillId="0" borderId="11" xfId="0" applyFont="1" applyBorder="1" applyAlignment="1">
      <alignment horizontal="center" vertical="center" wrapText="1"/>
    </xf>
  </cellXfs>
  <cellStyles count="2">
    <cellStyle name="Excel Built-in Normal" xfId="1" xr:uid="{00000000-0005-0000-0000-000000000000}"/>
    <cellStyle name="Normal" xfId="0" builtinId="0"/>
  </cellStyles>
  <dxfs count="6">
    <dxf>
      <fill>
        <patternFill>
          <bgColor rgb="FFFF0000"/>
        </patternFill>
      </fill>
      <border>
        <left style="thin">
          <color auto="1"/>
        </left>
        <right style="thin">
          <color auto="1"/>
        </right>
        <top style="thin">
          <color auto="1"/>
        </top>
        <bottom style="thin">
          <color auto="1"/>
        </bottom>
        <vertical/>
        <horizontal/>
      </border>
    </dxf>
    <dxf>
      <fill>
        <patternFill>
          <bgColor theme="8" tint="0.79998168889431442"/>
        </patternFill>
      </fill>
      <border>
        <left style="thin">
          <color auto="1"/>
        </left>
        <right style="thin">
          <color auto="1"/>
        </right>
        <top style="thin">
          <color auto="1"/>
        </top>
        <bottom style="thin">
          <color auto="1"/>
        </bottom>
        <vertical/>
        <horizontal/>
      </border>
    </dxf>
    <dxf>
      <fill>
        <patternFill>
          <bgColor theme="9" tint="0.59996337778862885"/>
        </patternFill>
      </fill>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s>
  <tableStyles count="0" defaultTableStyle="TableStyleMedium2" defaultPivotStyle="PivotStyleLight16"/>
  <colors>
    <mruColors>
      <color rgb="FFFF3300"/>
      <color rgb="FFFF6446"/>
      <color rgb="FFED2939"/>
      <color rgb="FFFF6743"/>
      <color rgb="FFFF6161"/>
      <color rgb="FFFF8989"/>
      <color rgb="FFFF5050"/>
      <color rgb="FFFF6600"/>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Notele, </a:t>
            </a:r>
            <a:r>
              <a:rPr lang="ro-MD"/>
              <a:t>Ev.</a:t>
            </a:r>
            <a:r>
              <a:rPr lang="ro-MD" baseline="0"/>
              <a:t> Curentă</a:t>
            </a:r>
            <a:endParaRPr lang="ro-MD"/>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8.3440278522377884E-2"/>
          <c:y val="0.19484330758349538"/>
          <c:w val="0.79931477587517519"/>
          <c:h val="0.63522962530981197"/>
        </c:manualLayout>
      </c:layout>
      <c:barChart>
        <c:barDir val="col"/>
        <c:grouping val="clustered"/>
        <c:varyColors val="0"/>
        <c:ser>
          <c:idx val="0"/>
          <c:order val="0"/>
          <c:tx>
            <c:strRef>
              <c:f>'Ev. Curentă'!$M$3:$M$12</c:f>
              <c:strCache>
                <c:ptCount val="10"/>
                <c:pt idx="0">
                  <c:v>1</c:v>
                </c:pt>
                <c:pt idx="1">
                  <c:v>2</c:v>
                </c:pt>
                <c:pt idx="2">
                  <c:v>3</c:v>
                </c:pt>
                <c:pt idx="3">
                  <c:v>4</c:v>
                </c:pt>
                <c:pt idx="4">
                  <c:v>5</c:v>
                </c:pt>
                <c:pt idx="5">
                  <c:v>6</c:v>
                </c:pt>
                <c:pt idx="6">
                  <c:v>7</c:v>
                </c:pt>
                <c:pt idx="7">
                  <c:v>8</c:v>
                </c:pt>
                <c:pt idx="8">
                  <c:v>9</c:v>
                </c:pt>
                <c:pt idx="9">
                  <c:v>10</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'Ev. Curentă'!$N$3:$N$12</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D2FD-47F2-9E86-CDE7FDA36D74}"/>
            </c:ext>
          </c:extLst>
        </c:ser>
        <c:dLbls>
          <c:dLblPos val="inEnd"/>
          <c:showLegendKey val="0"/>
          <c:showVal val="1"/>
          <c:showCatName val="0"/>
          <c:showSerName val="0"/>
          <c:showPercent val="0"/>
          <c:showBubbleSize val="0"/>
        </c:dLbls>
        <c:gapWidth val="65"/>
        <c:axId val="356757480"/>
        <c:axId val="356757808"/>
      </c:barChart>
      <c:catAx>
        <c:axId val="3567574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56757808"/>
        <c:crosses val="autoZero"/>
        <c:auto val="1"/>
        <c:lblAlgn val="ctr"/>
        <c:lblOffset val="100"/>
        <c:noMultiLvlLbl val="0"/>
      </c:catAx>
      <c:valAx>
        <c:axId val="35675780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356757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Notele, </a:t>
            </a:r>
            <a:r>
              <a:rPr lang="ro-MD"/>
              <a:t>L</a:t>
            </a:r>
            <a:r>
              <a:rPr lang="ro-RO"/>
              <a:t>ucru individual</a:t>
            </a:r>
            <a:endParaRPr lang="ro-MD"/>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8.3440278522377884E-2"/>
          <c:y val="0.19484330758349538"/>
          <c:w val="0.79931477587517519"/>
          <c:h val="0.63522962530981197"/>
        </c:manualLayout>
      </c:layout>
      <c:barChart>
        <c:barDir val="col"/>
        <c:grouping val="clustered"/>
        <c:varyColors val="0"/>
        <c:ser>
          <c:idx val="0"/>
          <c:order val="0"/>
          <c:tx>
            <c:strRef>
              <c:f>'L. Indiv.'!$J$3:$J$12</c:f>
              <c:strCache>
                <c:ptCount val="10"/>
                <c:pt idx="0">
                  <c:v>1</c:v>
                </c:pt>
                <c:pt idx="1">
                  <c:v>2</c:v>
                </c:pt>
                <c:pt idx="2">
                  <c:v>3</c:v>
                </c:pt>
                <c:pt idx="3">
                  <c:v>4</c:v>
                </c:pt>
                <c:pt idx="4">
                  <c:v>5</c:v>
                </c:pt>
                <c:pt idx="5">
                  <c:v>6</c:v>
                </c:pt>
                <c:pt idx="6">
                  <c:v>7</c:v>
                </c:pt>
                <c:pt idx="7">
                  <c:v>8</c:v>
                </c:pt>
                <c:pt idx="8">
                  <c:v>9</c:v>
                </c:pt>
                <c:pt idx="9">
                  <c:v>10</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'L. Indiv.'!$K$3:$K$12</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5673-4D83-9E4F-A5B3802A61F3}"/>
            </c:ext>
          </c:extLst>
        </c:ser>
        <c:dLbls>
          <c:dLblPos val="inEnd"/>
          <c:showLegendKey val="0"/>
          <c:showVal val="1"/>
          <c:showCatName val="0"/>
          <c:showSerName val="0"/>
          <c:showPercent val="0"/>
          <c:showBubbleSize val="0"/>
        </c:dLbls>
        <c:gapWidth val="65"/>
        <c:axId val="356757480"/>
        <c:axId val="356757808"/>
      </c:barChart>
      <c:catAx>
        <c:axId val="3567574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56757808"/>
        <c:crosses val="autoZero"/>
        <c:auto val="1"/>
        <c:lblAlgn val="ctr"/>
        <c:lblOffset val="100"/>
        <c:noMultiLvlLbl val="0"/>
      </c:catAx>
      <c:valAx>
        <c:axId val="35675780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356757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Notele, Examen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8.3440278522377884E-2"/>
          <c:y val="0.19484330758349538"/>
          <c:w val="0.79931477587517519"/>
          <c:h val="0.63522962530981197"/>
        </c:manualLayout>
      </c:layout>
      <c:barChart>
        <c:barDir val="col"/>
        <c:grouping val="clustered"/>
        <c:varyColors val="0"/>
        <c:ser>
          <c:idx val="0"/>
          <c:order val="0"/>
          <c:tx>
            <c:strRef>
              <c:f>Examen!$K$3:$K$12</c:f>
              <c:strCache>
                <c:ptCount val="10"/>
                <c:pt idx="0">
                  <c:v>1</c:v>
                </c:pt>
                <c:pt idx="1">
                  <c:v>2</c:v>
                </c:pt>
                <c:pt idx="2">
                  <c:v>3</c:v>
                </c:pt>
                <c:pt idx="3">
                  <c:v>4</c:v>
                </c:pt>
                <c:pt idx="4">
                  <c:v>5</c:v>
                </c:pt>
                <c:pt idx="5">
                  <c:v>6</c:v>
                </c:pt>
                <c:pt idx="6">
                  <c:v>7</c:v>
                </c:pt>
                <c:pt idx="7">
                  <c:v>8</c:v>
                </c:pt>
                <c:pt idx="8">
                  <c:v>9</c:v>
                </c:pt>
                <c:pt idx="9">
                  <c:v>10</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Examen!$L$3:$L$12</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2-F031-4EB8-B103-2FE680095C6C}"/>
            </c:ext>
          </c:extLst>
        </c:ser>
        <c:dLbls>
          <c:dLblPos val="inEnd"/>
          <c:showLegendKey val="0"/>
          <c:showVal val="1"/>
          <c:showCatName val="0"/>
          <c:showSerName val="0"/>
          <c:showPercent val="0"/>
          <c:showBubbleSize val="0"/>
        </c:dLbls>
        <c:gapWidth val="65"/>
        <c:axId val="356757480"/>
        <c:axId val="356757808"/>
      </c:barChart>
      <c:catAx>
        <c:axId val="3567574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56757808"/>
        <c:crosses val="autoZero"/>
        <c:auto val="1"/>
        <c:lblAlgn val="ctr"/>
        <c:lblOffset val="100"/>
        <c:noMultiLvlLbl val="0"/>
      </c:catAx>
      <c:valAx>
        <c:axId val="35675780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356757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Notele, ReExaminare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8.3440278522377884E-2"/>
          <c:y val="0.19484330758349538"/>
          <c:w val="0.79931477587517519"/>
          <c:h val="0.63522962530981197"/>
        </c:manualLayout>
      </c:layout>
      <c:barChart>
        <c:barDir val="col"/>
        <c:grouping val="clustered"/>
        <c:varyColors val="0"/>
        <c:ser>
          <c:idx val="0"/>
          <c:order val="0"/>
          <c:tx>
            <c:strRef>
              <c:f>ReExaminare!$K$3:$K$12</c:f>
              <c:strCache>
                <c:ptCount val="10"/>
                <c:pt idx="0">
                  <c:v>1</c:v>
                </c:pt>
                <c:pt idx="1">
                  <c:v>2</c:v>
                </c:pt>
                <c:pt idx="2">
                  <c:v>3</c:v>
                </c:pt>
                <c:pt idx="3">
                  <c:v>4</c:v>
                </c:pt>
                <c:pt idx="4">
                  <c:v>5</c:v>
                </c:pt>
                <c:pt idx="5">
                  <c:v>6</c:v>
                </c:pt>
                <c:pt idx="6">
                  <c:v>7</c:v>
                </c:pt>
                <c:pt idx="7">
                  <c:v>8</c:v>
                </c:pt>
                <c:pt idx="8">
                  <c:v>9</c:v>
                </c:pt>
                <c:pt idx="9">
                  <c:v>10</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ReExaminare!$L$3:$L$12</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352C-45E3-BC3C-F33B22187E53}"/>
            </c:ext>
          </c:extLst>
        </c:ser>
        <c:dLbls>
          <c:dLblPos val="inEnd"/>
          <c:showLegendKey val="0"/>
          <c:showVal val="1"/>
          <c:showCatName val="0"/>
          <c:showSerName val="0"/>
          <c:showPercent val="0"/>
          <c:showBubbleSize val="0"/>
        </c:dLbls>
        <c:gapWidth val="65"/>
        <c:axId val="356757480"/>
        <c:axId val="356757808"/>
      </c:barChart>
      <c:catAx>
        <c:axId val="3567574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56757808"/>
        <c:crosses val="autoZero"/>
        <c:auto val="1"/>
        <c:lblAlgn val="ctr"/>
        <c:lblOffset val="100"/>
        <c:noMultiLvlLbl val="0"/>
      </c:catAx>
      <c:valAx>
        <c:axId val="35675780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356757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16</xdr:col>
      <xdr:colOff>23853</xdr:colOff>
      <xdr:row>0</xdr:row>
      <xdr:rowOff>425939</xdr:rowOff>
    </xdr:from>
    <xdr:to>
      <xdr:col>23</xdr:col>
      <xdr:colOff>385482</xdr:colOff>
      <xdr:row>15</xdr:row>
      <xdr:rowOff>188259</xdr:rowOff>
    </xdr:to>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23854</xdr:colOff>
      <xdr:row>1</xdr:row>
      <xdr:rowOff>33935</xdr:rowOff>
    </xdr:from>
    <xdr:to>
      <xdr:col>21</xdr:col>
      <xdr:colOff>237567</xdr:colOff>
      <xdr:row>16</xdr:row>
      <xdr:rowOff>138391</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12</xdr:col>
      <xdr:colOff>136072</xdr:colOff>
      <xdr:row>1</xdr:row>
      <xdr:rowOff>43543</xdr:rowOff>
    </xdr:from>
    <xdr:to>
      <xdr:col>21</xdr:col>
      <xdr:colOff>163285</xdr:colOff>
      <xdr:row>18</xdr:row>
      <xdr:rowOff>108857</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12</xdr:col>
      <xdr:colOff>136072</xdr:colOff>
      <xdr:row>1</xdr:row>
      <xdr:rowOff>43543</xdr:rowOff>
    </xdr:from>
    <xdr:to>
      <xdr:col>21</xdr:col>
      <xdr:colOff>163285</xdr:colOff>
      <xdr:row>18</xdr:row>
      <xdr:rowOff>108857</xdr:rowOff>
    </xdr:to>
    <xdr:graphicFrame macro="">
      <xdr:nvGraphicFramePr>
        <xdr:cNvPr id="2" name="Chart 1">
          <a:extLst>
            <a:ext uri="{FF2B5EF4-FFF2-40B4-BE49-F238E27FC236}">
              <a16:creationId xmlns:a16="http://schemas.microsoft.com/office/drawing/2014/main" id="{B8CB7880-D751-4880-BC4E-C11542646A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165"/>
  <sheetViews>
    <sheetView tabSelected="1" topLeftCell="A2" zoomScale="70" zoomScaleNormal="70" workbookViewId="0">
      <selection activeCell="D15" sqref="D15"/>
    </sheetView>
  </sheetViews>
  <sheetFormatPr defaultRowHeight="18" x14ac:dyDescent="0.35"/>
  <cols>
    <col min="1" max="1" width="3.44140625" customWidth="1"/>
    <col min="2" max="2" width="5" style="51" customWidth="1"/>
    <col min="3" max="3" width="26.6640625" customWidth="1"/>
    <col min="4" max="4" width="19.88671875" customWidth="1"/>
    <col min="5" max="17" width="4.44140625" customWidth="1"/>
    <col min="18" max="20" width="4.44140625" style="37" customWidth="1"/>
    <col min="21" max="22" width="4.44140625" customWidth="1"/>
    <col min="23" max="24" width="6.109375" style="69" customWidth="1"/>
    <col min="25" max="25" width="6.33203125" style="33" customWidth="1"/>
    <col min="26" max="26" width="6" style="34" customWidth="1"/>
    <col min="28" max="28" width="10.44140625" bestFit="1" customWidth="1"/>
    <col min="30" max="30" width="8.88671875" style="71"/>
    <col min="32" max="32" width="13.5546875" customWidth="1"/>
    <col min="35" max="43" width="7" customWidth="1"/>
    <col min="50" max="50" width="14" customWidth="1"/>
    <col min="51" max="51" width="13.33203125" customWidth="1"/>
  </cols>
  <sheetData>
    <row r="1" spans="1:51" ht="15.75" customHeight="1" x14ac:dyDescent="0.35">
      <c r="A1" s="2"/>
      <c r="B1" s="50"/>
      <c r="C1" s="2"/>
      <c r="D1" s="2"/>
      <c r="E1" s="2"/>
      <c r="F1" s="2"/>
      <c r="G1" s="2"/>
    </row>
    <row r="2" spans="1:51" ht="73.2" customHeight="1" thickBot="1" x14ac:dyDescent="0.35">
      <c r="B2" s="55"/>
      <c r="C2" s="120" t="s">
        <v>56</v>
      </c>
      <c r="D2" s="120"/>
      <c r="E2" s="120"/>
      <c r="F2" s="120"/>
      <c r="G2" s="120"/>
      <c r="H2" s="120"/>
      <c r="I2" s="120"/>
      <c r="J2" s="120"/>
      <c r="K2" s="120"/>
      <c r="L2" s="120"/>
      <c r="M2" s="120"/>
      <c r="N2" s="120"/>
      <c r="O2" s="120"/>
      <c r="P2" s="120"/>
      <c r="Q2" s="120"/>
      <c r="R2" s="120"/>
      <c r="S2" s="100"/>
      <c r="T2" s="45"/>
      <c r="U2" s="121"/>
      <c r="V2" s="121"/>
      <c r="W2" s="121"/>
      <c r="X2" s="86"/>
      <c r="Y2" s="45"/>
      <c r="Z2" s="84"/>
      <c r="AA2" s="125" t="s">
        <v>6</v>
      </c>
      <c r="AB2" s="125"/>
      <c r="AC2" s="125"/>
      <c r="AD2" s="122" t="s">
        <v>81</v>
      </c>
      <c r="AE2" s="125" t="s">
        <v>7</v>
      </c>
      <c r="AF2" s="125"/>
      <c r="AG2" s="125"/>
      <c r="AI2" s="117" t="s">
        <v>47</v>
      </c>
      <c r="AJ2" s="118"/>
      <c r="AK2" s="118"/>
      <c r="AL2" s="119"/>
    </row>
    <row r="3" spans="1:51" ht="27" customHeight="1" thickTop="1" x14ac:dyDescent="0.3">
      <c r="A3" s="2"/>
      <c r="B3" s="56"/>
      <c r="C3" s="57"/>
      <c r="D3" s="57"/>
      <c r="E3" s="110" t="s">
        <v>26</v>
      </c>
      <c r="F3" s="110"/>
      <c r="G3" s="110"/>
      <c r="H3" s="110"/>
      <c r="I3" s="110"/>
      <c r="J3" s="110"/>
      <c r="K3" s="33"/>
      <c r="L3" s="138" t="s">
        <v>73</v>
      </c>
      <c r="M3" s="138"/>
      <c r="N3" s="138"/>
      <c r="O3" s="138"/>
      <c r="P3" s="138"/>
      <c r="Q3" s="138"/>
      <c r="R3"/>
      <c r="S3"/>
      <c r="T3"/>
      <c r="U3" s="135" t="s">
        <v>3</v>
      </c>
      <c r="V3" s="136"/>
      <c r="W3" s="136"/>
      <c r="X3" s="137"/>
      <c r="Y3" s="62"/>
      <c r="Z3" s="63"/>
      <c r="AA3" s="139" t="s">
        <v>8</v>
      </c>
      <c r="AB3" s="140"/>
      <c r="AC3" s="141" t="s">
        <v>82</v>
      </c>
      <c r="AD3" s="123"/>
      <c r="AE3" s="126" t="s">
        <v>9</v>
      </c>
      <c r="AF3" s="127"/>
      <c r="AG3" s="132" t="s">
        <v>10</v>
      </c>
      <c r="AI3" s="115" t="s">
        <v>50</v>
      </c>
      <c r="AJ3" s="115" t="s">
        <v>51</v>
      </c>
      <c r="AK3" s="115" t="s">
        <v>52</v>
      </c>
      <c r="AL3" s="115" t="s">
        <v>46</v>
      </c>
      <c r="AN3" s="106" t="s">
        <v>37</v>
      </c>
      <c r="AO3" s="106" t="s">
        <v>38</v>
      </c>
      <c r="AP3" s="106" t="s">
        <v>39</v>
      </c>
      <c r="AQ3" s="106" t="s">
        <v>40</v>
      </c>
      <c r="AR3" s="106" t="s">
        <v>41</v>
      </c>
      <c r="AS3" s="106" t="s">
        <v>42</v>
      </c>
      <c r="AT3" s="106" t="s">
        <v>43</v>
      </c>
      <c r="AU3" s="106" t="s">
        <v>24</v>
      </c>
      <c r="AV3" s="106" t="s">
        <v>44</v>
      </c>
      <c r="AX3" s="108" t="s">
        <v>100</v>
      </c>
      <c r="AY3" s="108" t="s">
        <v>101</v>
      </c>
    </row>
    <row r="4" spans="1:51" ht="51.6" customHeight="1" thickBot="1" x14ac:dyDescent="0.35">
      <c r="A4" s="2"/>
      <c r="B4" s="56"/>
      <c r="C4" s="35"/>
      <c r="D4" s="57"/>
      <c r="E4" s="58" t="s">
        <v>30</v>
      </c>
      <c r="F4" s="58" t="s">
        <v>31</v>
      </c>
      <c r="G4" s="58" t="s">
        <v>32</v>
      </c>
      <c r="H4" s="58" t="s">
        <v>33</v>
      </c>
      <c r="I4" s="58" t="s">
        <v>34</v>
      </c>
      <c r="J4" s="58" t="s">
        <v>35</v>
      </c>
      <c r="K4" s="111" t="s">
        <v>96</v>
      </c>
      <c r="L4" s="87" t="s">
        <v>74</v>
      </c>
      <c r="M4" s="87" t="s">
        <v>75</v>
      </c>
      <c r="N4" s="87" t="s">
        <v>76</v>
      </c>
      <c r="O4" s="87" t="s">
        <v>77</v>
      </c>
      <c r="P4" s="87" t="s">
        <v>78</v>
      </c>
      <c r="Q4" s="87" t="s">
        <v>79</v>
      </c>
      <c r="R4" s="111" t="s">
        <v>97</v>
      </c>
      <c r="S4" s="113" t="s">
        <v>98</v>
      </c>
      <c r="T4"/>
      <c r="U4" s="36" t="s">
        <v>4</v>
      </c>
      <c r="V4" s="36" t="s">
        <v>5</v>
      </c>
      <c r="W4" s="148" t="s">
        <v>55</v>
      </c>
      <c r="X4" s="148" t="s">
        <v>72</v>
      </c>
      <c r="Y4" s="133" t="s">
        <v>49</v>
      </c>
      <c r="Z4" s="134"/>
      <c r="AA4" s="144" t="s">
        <v>13</v>
      </c>
      <c r="AB4" s="146" t="s">
        <v>14</v>
      </c>
      <c r="AC4" s="142"/>
      <c r="AD4" s="123"/>
      <c r="AE4" s="128"/>
      <c r="AF4" s="129"/>
      <c r="AG4" s="132"/>
      <c r="AI4" s="116"/>
      <c r="AJ4" s="116"/>
      <c r="AK4" s="116"/>
      <c r="AL4" s="116"/>
      <c r="AN4" s="107"/>
      <c r="AO4" s="107"/>
      <c r="AP4" s="107"/>
      <c r="AQ4" s="107"/>
      <c r="AR4" s="107"/>
      <c r="AS4" s="107"/>
      <c r="AT4" s="107"/>
      <c r="AU4" s="107"/>
      <c r="AV4" s="107"/>
      <c r="AX4" s="109"/>
      <c r="AY4" s="109"/>
    </row>
    <row r="5" spans="1:51" ht="74.400000000000006" customHeight="1" thickTop="1" x14ac:dyDescent="0.4">
      <c r="A5" s="2"/>
      <c r="B5" s="59" t="s">
        <v>0</v>
      </c>
      <c r="C5" s="60" t="s">
        <v>1</v>
      </c>
      <c r="D5" s="60" t="s">
        <v>2</v>
      </c>
      <c r="E5" s="74"/>
      <c r="F5" s="74"/>
      <c r="G5" s="74"/>
      <c r="H5" s="74"/>
      <c r="I5" s="74"/>
      <c r="J5" s="74"/>
      <c r="K5" s="112"/>
      <c r="L5" s="101"/>
      <c r="M5" s="101"/>
      <c r="N5" s="101"/>
      <c r="O5" s="101"/>
      <c r="P5" s="101"/>
      <c r="Q5" s="101"/>
      <c r="R5" s="112"/>
      <c r="S5" s="114" t="s">
        <v>99</v>
      </c>
      <c r="T5"/>
      <c r="U5" s="102"/>
      <c r="V5" s="103"/>
      <c r="W5" s="149"/>
      <c r="X5" s="149"/>
      <c r="Y5" s="64" t="s">
        <v>48</v>
      </c>
      <c r="Z5" s="65" t="s">
        <v>46</v>
      </c>
      <c r="AA5" s="145"/>
      <c r="AB5" s="147"/>
      <c r="AC5" s="143"/>
      <c r="AD5" s="124"/>
      <c r="AE5" s="130"/>
      <c r="AF5" s="131"/>
      <c r="AG5" s="132"/>
      <c r="AI5" s="66">
        <f>COUNTA(C6:C105)</f>
        <v>1</v>
      </c>
      <c r="AJ5" s="66">
        <f>AI5-COUNTIFS(B6:B105,"&gt;0",Y6:Y105,"a")</f>
        <v>1</v>
      </c>
      <c r="AK5" s="66">
        <f>AI5-COUNTIF(AD6:AD105,"n/a")</f>
        <v>0</v>
      </c>
      <c r="AL5" s="66">
        <f>COUNTA(Z6:Z105)</f>
        <v>0</v>
      </c>
      <c r="AM5" s="67"/>
      <c r="AN5" s="68">
        <f t="shared" ref="AN5:AT5" si="0">COUNTIF($AG$6:$AG$105,AN3)</f>
        <v>0</v>
      </c>
      <c r="AO5" s="68">
        <f t="shared" si="0"/>
        <v>0</v>
      </c>
      <c r="AP5" s="68">
        <f t="shared" si="0"/>
        <v>0</v>
      </c>
      <c r="AQ5" s="68">
        <f t="shared" si="0"/>
        <v>0</v>
      </c>
      <c r="AR5" s="68">
        <f t="shared" si="0"/>
        <v>0</v>
      </c>
      <c r="AS5" s="68">
        <f t="shared" si="0"/>
        <v>0</v>
      </c>
      <c r="AT5" s="68">
        <f t="shared" si="0"/>
        <v>0</v>
      </c>
      <c r="AU5" s="68">
        <f>COUNTIF($AD$6:$AD$105,AU3)</f>
        <v>0</v>
      </c>
      <c r="AV5" s="68">
        <f>COUNTIF($AD$6:$AD$105,AV3)</f>
        <v>1</v>
      </c>
      <c r="AX5" s="105">
        <f>SUM(AN5:AR5)/AI5</f>
        <v>0</v>
      </c>
      <c r="AY5" s="105">
        <f>SUM(AN5:AR5)/AJ5</f>
        <v>0</v>
      </c>
    </row>
    <row r="6" spans="1:51" x14ac:dyDescent="0.35">
      <c r="A6" s="2"/>
      <c r="B6" s="34">
        <f>IF(NOT(ISBLANK(C6)),COUNTA($C$6:C6),"")</f>
        <v>1</v>
      </c>
      <c r="C6" s="54" t="s">
        <v>1</v>
      </c>
      <c r="D6" s="46"/>
      <c r="E6" s="33"/>
      <c r="F6" s="33"/>
      <c r="G6" s="33"/>
      <c r="H6" s="33"/>
      <c r="I6" s="33"/>
      <c r="J6" s="33"/>
      <c r="K6" s="33"/>
      <c r="L6" s="33"/>
      <c r="M6" s="33"/>
      <c r="N6" s="33"/>
      <c r="O6" s="33"/>
      <c r="P6" s="33"/>
      <c r="Q6" s="33"/>
      <c r="R6" s="34" t="str">
        <f>IF(NOT(ISBLANK(C6)),IF(COUNTIF(E6:Q6,"a")&lt;&gt;0,COUNTIF(E6:Q6,"a")*2,""),"")</f>
        <v/>
      </c>
      <c r="S6" s="34"/>
      <c r="T6"/>
      <c r="U6" s="34" t="str">
        <f>Examen!G2</f>
        <v>n/p</v>
      </c>
      <c r="V6" s="34" t="str">
        <f>ReExaminare!G2</f>
        <v>n/p</v>
      </c>
      <c r="W6" s="70" t="str">
        <f>IF(NOT(ISBLANK(B6)),
IF(SUM(E6:Q6)&lt;&gt;0,SUM(E6:Q6),""),
"")</f>
        <v/>
      </c>
      <c r="X6" s="70"/>
      <c r="AA6" s="34" t="str">
        <f>'Ev. Curentă'!I2</f>
        <v>n/p</v>
      </c>
      <c r="AB6" s="99" t="str">
        <f>'L. Indiv.'!H2</f>
        <v>n/p</v>
      </c>
      <c r="AC6" s="34" t="str">
        <f>IF(NOT(ISBLANK(C6)),
IF(OR(AA6="n/p",AB6="n/p",AA6&lt;5,AB6&lt;5)," ",TRUNC(SUM(AA6:AB6)/2,2)),
"")</f>
        <v xml:space="preserve"> </v>
      </c>
      <c r="AD6" s="34" t="str">
        <f t="shared" ref="AD6:AD70" si="1">IF(NOT(ISBLANK(C6)),
IF(AC6=" ","n/a",
IF(Z6,Z6,
IF(COUNT(MAX(AVERAGE(U6:V6),0)),MAX(U6:V6),"n/p"))),
"")</f>
        <v>n/a</v>
      </c>
      <c r="AE6" s="73" t="str">
        <f>IF(NOT(ISBLANK(C6)),
IF(OR(AD6="n/a",AD6="n/p")," ",
IF(AD6&lt;5,AD6,TRUNC(AC6*0.5+AD6*0.5,2))),
"")</f>
        <v xml:space="preserve"> </v>
      </c>
      <c r="AF6" s="33" t="str">
        <f>IF(NOT(ISBLANK(C6)),
IF(AE6=" "," ",
IF(AND(AE6&gt;=1,AE6&lt;2),"(unu, "&amp;ROUNDUP(MOD(AE6*100,100),0)&amp;")",
IF(AND(AE6&gt;=2,AE6&lt;3),"(doi, "&amp;ROUNDUP(MOD(AE6*100,100),0)&amp;")",
IF(AND(AE6&gt;=3,AE6&lt;4),"(trei, "&amp;ROUNDUP(MOD(AE6*100,100),0)&amp;")",
IF(AND(AE6&gt;=4,AE6&lt;5),"(patru, "&amp;ROUNDUP(MOD(AE6*100,100),0)&amp;")",
IF(AND(AE6&gt;=5,AE6&lt;6),"(cinci, "&amp;ROUNDUP(MOD(AE6*100,100),0)&amp;")",
IF(AND(AE6&gt;=6,AE6&lt;7),"(şase, "&amp;ROUNDUP(MOD(AE6*100,100),0)&amp;")",
IF(AND(AE6&gt;=7,AE6&lt;8),"(şapte, "&amp;ROUNDUP(MOD(AE6*100,100),0)&amp;")",
IF(AND(AE6&gt;=8,AE6&lt;9),"(opt, "&amp;ROUNDUP(MOD(AE6*100,100),0)&amp;")",
IF(AND(AE6&gt;=9,AE6&lt;10),"(nouă, "&amp;ROUNDUP(MOD(AE6*100,100),0)&amp;")",
IF(AE6=10,"(zece, 00)",
))))))))))),"")</f>
        <v xml:space="preserve"> </v>
      </c>
      <c r="AG6" s="34" t="str">
        <f>IF(NOT(ISBLANK(C6)),
IF(AE6=" ","  ",
IF(AND(AE6&gt;=1,AE6&lt;=3),"F",
IF(AND(AE6&gt;3,AE6&lt;5),"FX",
IF(AND(AE6&gt;=5,AE6&lt;=6),"E",
IF(AND(AE6&gt;6,AE6&lt;=7),"D",
IF(AND(AE6&gt;7,AE6&lt;=8),"C",
IF(AND(AE6&gt;8,AE6&lt;=9),"B",
IF(AND(AE6&gt;9,AE6&lt;=10),"A",
)))))))),"")</f>
        <v xml:space="preserve">  </v>
      </c>
      <c r="AI6" s="85"/>
      <c r="AJ6" s="85"/>
      <c r="AK6" s="85"/>
      <c r="AL6" s="61"/>
      <c r="AM6" s="61"/>
      <c r="AN6" s="61"/>
      <c r="AO6" s="61"/>
      <c r="AP6" s="61"/>
      <c r="AQ6" s="61"/>
    </row>
    <row r="7" spans="1:51" x14ac:dyDescent="0.35">
      <c r="A7" s="2"/>
      <c r="B7" s="34" t="str">
        <f>IF(NOT(ISBLANK(C7)),COUNTA($C$6:C7),"")</f>
        <v/>
      </c>
      <c r="C7" s="54"/>
      <c r="D7" s="46"/>
      <c r="E7" s="33"/>
      <c r="F7" s="33"/>
      <c r="G7" s="33"/>
      <c r="H7" s="33"/>
      <c r="I7" s="33"/>
      <c r="J7" s="33"/>
      <c r="K7" s="33"/>
      <c r="L7" s="33"/>
      <c r="M7" s="33"/>
      <c r="N7" s="33"/>
      <c r="O7" s="33"/>
      <c r="P7" s="33"/>
      <c r="Q7" s="33"/>
      <c r="R7" s="34" t="str">
        <f t="shared" ref="R7:R70" si="2">IF(NOT(ISBLANK(C7)),IF(COUNTIF(E7:Q7,"a")&lt;&gt;0,COUNTIF(E7:Q7,"a")*2,""),"")</f>
        <v/>
      </c>
      <c r="S7" s="34"/>
      <c r="T7"/>
      <c r="U7" s="34" t="str">
        <f>Examen!G3</f>
        <v/>
      </c>
      <c r="V7" s="34" t="str">
        <f>ReExaminare!G3</f>
        <v/>
      </c>
      <c r="W7" s="70" t="str">
        <f t="shared" ref="W7:W70" si="3">IF(NOT(ISBLANK(B7)),
IF(SUM(E7:Q7)&lt;&gt;0,SUM(E7:Q7),""),
"")</f>
        <v/>
      </c>
      <c r="X7" s="70"/>
      <c r="AA7" s="34" t="str">
        <f>'Ev. Curentă'!I3</f>
        <v/>
      </c>
      <c r="AB7" s="99" t="str">
        <f>'L. Indiv.'!H3</f>
        <v/>
      </c>
      <c r="AC7" s="34" t="str">
        <f t="shared" ref="AC7:AC70" si="4">IF(NOT(ISBLANK(C7)),
IF(OR(AA7="n/p",AB7="n/p",AA7&lt;5,AB7&lt;5)," ",TRUNC(SUM(AA7:AB7)/2,2)),
"")</f>
        <v/>
      </c>
      <c r="AD7" s="34" t="str">
        <f t="shared" si="1"/>
        <v/>
      </c>
      <c r="AE7" s="73" t="str">
        <f t="shared" ref="AE7:AE70" si="5">IF(NOT(ISBLANK(C7)),
IF(OR(AD7="n/a",AD7="n/p")," ",
IF(AD7&lt;5,AD7,TRUNC(AC7*0.5+AD7*0.5,2))),
"")</f>
        <v/>
      </c>
      <c r="AF7" s="33" t="str">
        <f t="shared" ref="AF7:AF70" si="6">IF(NOT(ISBLANK(C7)),
IF(AE7=" "," ",
IF(AND(AE7&gt;=1,AE7&lt;2),"(unu, "&amp;ROUNDUP(MOD(AE7*100,100),0)&amp;")",
IF(AND(AE7&gt;=2,AE7&lt;3),"(doi, "&amp;ROUNDUP(MOD(AE7*100,100),0)&amp;")",
IF(AND(AE7&gt;=3,AE7&lt;4),"(trei, "&amp;ROUNDUP(MOD(AE7*100,100),0)&amp;")",
IF(AND(AE7&gt;=4,AE7&lt;5),"(patru, "&amp;ROUNDUP(MOD(AE7*100,100),0)&amp;")",
IF(AND(AE7&gt;=5,AE7&lt;6),"(cinci, "&amp;ROUNDUP(MOD(AE7*100,100),0)&amp;")",
IF(AND(AE7&gt;=6,AE7&lt;7),"(şase, "&amp;ROUNDUP(MOD(AE7*100,100),0)&amp;")",
IF(AND(AE7&gt;=7,AE7&lt;8),"(şapte, "&amp;ROUNDUP(MOD(AE7*100,100),0)&amp;")",
IF(AND(AE7&gt;=8,AE7&lt;9),"(opt, "&amp;ROUNDUP(MOD(AE7*100,100),0)&amp;")",
IF(AND(AE7&gt;=9,AE7&lt;10),"(nouă, "&amp;ROUNDUP(MOD(AE7*100,100),0)&amp;")",
IF(AE7=10,"(zece, 00)",
))))))))))),"")</f>
        <v/>
      </c>
      <c r="AG7" s="34" t="str">
        <f t="shared" ref="AG7:AG70" si="7">IF(NOT(ISBLANK(C7)),
IF(AE7=" ","  ",
IF(AND(AE7&gt;=1,AE7&lt;=3),"F",
IF(AND(AE7&gt;3,AE7&lt;5),"FX",
IF(AND(AE7&gt;=5,AE7&lt;=6),"E",
IF(AND(AE7&gt;6,AE7&lt;=7),"D",
IF(AND(AE7&gt;7,AE7&lt;=8),"C",
IF(AND(AE7&gt;8,AE7&lt;=9),"B",
IF(AND(AE7&gt;9,AE7&lt;=10),"A",
)))))))),"")</f>
        <v/>
      </c>
      <c r="AI7" s="61"/>
      <c r="AJ7" s="61"/>
      <c r="AK7" s="13"/>
      <c r="AL7" s="61"/>
      <c r="AM7" s="61"/>
      <c r="AN7" s="61"/>
      <c r="AO7" s="61"/>
      <c r="AP7" s="61"/>
      <c r="AQ7" s="61"/>
    </row>
    <row r="8" spans="1:51" x14ac:dyDescent="0.35">
      <c r="A8" s="2"/>
      <c r="B8" s="34" t="str">
        <f>IF(NOT(ISBLANK(C8)),COUNTA($C$6:C8),"")</f>
        <v/>
      </c>
      <c r="C8" s="54"/>
      <c r="D8" s="46"/>
      <c r="E8" s="33"/>
      <c r="F8" s="33"/>
      <c r="G8" s="33"/>
      <c r="H8" s="33"/>
      <c r="I8" s="33"/>
      <c r="J8" s="33"/>
      <c r="K8" s="33"/>
      <c r="L8" s="33"/>
      <c r="M8" s="33"/>
      <c r="N8" s="33"/>
      <c r="O8" s="33"/>
      <c r="P8" s="33"/>
      <c r="Q8" s="33"/>
      <c r="R8" s="34" t="str">
        <f t="shared" si="2"/>
        <v/>
      </c>
      <c r="S8" s="34"/>
      <c r="T8"/>
      <c r="U8" s="34" t="str">
        <f>Examen!G4</f>
        <v/>
      </c>
      <c r="V8" s="34" t="str">
        <f>ReExaminare!G4</f>
        <v/>
      </c>
      <c r="W8" s="70" t="str">
        <f t="shared" si="3"/>
        <v/>
      </c>
      <c r="X8" s="70"/>
      <c r="AA8" s="34" t="str">
        <f>'Ev. Curentă'!I4</f>
        <v/>
      </c>
      <c r="AB8" s="99" t="str">
        <f>'L. Indiv.'!H4</f>
        <v/>
      </c>
      <c r="AC8" s="34" t="str">
        <f t="shared" si="4"/>
        <v/>
      </c>
      <c r="AD8" s="34" t="str">
        <f t="shared" si="1"/>
        <v/>
      </c>
      <c r="AE8" s="73" t="str">
        <f t="shared" si="5"/>
        <v/>
      </c>
      <c r="AF8" s="33" t="str">
        <f t="shared" si="6"/>
        <v/>
      </c>
      <c r="AG8" s="34" t="str">
        <f t="shared" si="7"/>
        <v/>
      </c>
      <c r="AI8" s="61"/>
      <c r="AJ8" s="61"/>
      <c r="AK8" s="13"/>
      <c r="AL8" s="61"/>
      <c r="AM8" s="61"/>
      <c r="AN8" s="61"/>
      <c r="AO8" s="61"/>
      <c r="AP8" s="61"/>
      <c r="AQ8" s="61"/>
    </row>
    <row r="9" spans="1:51" x14ac:dyDescent="0.35">
      <c r="A9" s="2"/>
      <c r="B9" s="34" t="str">
        <f>IF(NOT(ISBLANK(C9)),COUNTA($C$6:C9),"")</f>
        <v/>
      </c>
      <c r="C9" s="54"/>
      <c r="D9" s="46"/>
      <c r="E9" s="33"/>
      <c r="F9" s="33"/>
      <c r="G9" s="33"/>
      <c r="H9" s="33"/>
      <c r="I9" s="33"/>
      <c r="J9" s="33"/>
      <c r="K9" s="33"/>
      <c r="L9" s="33"/>
      <c r="M9" s="33"/>
      <c r="N9" s="33"/>
      <c r="O9" s="33"/>
      <c r="P9" s="33"/>
      <c r="Q9" s="33"/>
      <c r="R9" s="34" t="str">
        <f t="shared" si="2"/>
        <v/>
      </c>
      <c r="S9" s="34"/>
      <c r="T9"/>
      <c r="U9" s="34" t="str">
        <f>Examen!G5</f>
        <v/>
      </c>
      <c r="V9" s="34" t="str">
        <f>ReExaminare!G5</f>
        <v/>
      </c>
      <c r="W9" s="70" t="str">
        <f t="shared" si="3"/>
        <v/>
      </c>
      <c r="X9" s="70"/>
      <c r="AA9" s="34" t="str">
        <f>'Ev. Curentă'!I5</f>
        <v/>
      </c>
      <c r="AB9" s="99" t="str">
        <f>'L. Indiv.'!H5</f>
        <v/>
      </c>
      <c r="AC9" s="34" t="str">
        <f t="shared" si="4"/>
        <v/>
      </c>
      <c r="AD9" s="34" t="str">
        <f t="shared" si="1"/>
        <v/>
      </c>
      <c r="AE9" s="73" t="str">
        <f t="shared" si="5"/>
        <v/>
      </c>
      <c r="AF9" s="33" t="str">
        <f t="shared" si="6"/>
        <v/>
      </c>
      <c r="AG9" s="34" t="str">
        <f t="shared" si="7"/>
        <v/>
      </c>
      <c r="AI9" s="61"/>
      <c r="AJ9" s="61"/>
      <c r="AK9" s="13"/>
      <c r="AL9" s="61"/>
      <c r="AM9" s="61"/>
      <c r="AN9" s="61"/>
      <c r="AO9" s="61"/>
      <c r="AP9" s="61"/>
      <c r="AQ9" s="61"/>
    </row>
    <row r="10" spans="1:51" x14ac:dyDescent="0.35">
      <c r="A10" s="2"/>
      <c r="B10" s="34" t="str">
        <f>IF(NOT(ISBLANK(C10)),COUNTA($C$6:C10),"")</f>
        <v/>
      </c>
      <c r="C10" s="54"/>
      <c r="D10" s="46"/>
      <c r="E10" s="33"/>
      <c r="F10" s="33"/>
      <c r="G10" s="33"/>
      <c r="H10" s="33"/>
      <c r="I10" s="33"/>
      <c r="J10" s="33"/>
      <c r="K10" s="33"/>
      <c r="L10" s="33"/>
      <c r="M10" s="33"/>
      <c r="N10" s="33"/>
      <c r="O10" s="33"/>
      <c r="P10" s="33"/>
      <c r="Q10" s="33"/>
      <c r="R10" s="34" t="str">
        <f t="shared" si="2"/>
        <v/>
      </c>
      <c r="S10" s="34"/>
      <c r="T10"/>
      <c r="U10" s="34" t="str">
        <f>Examen!G6</f>
        <v/>
      </c>
      <c r="V10" s="34" t="str">
        <f>ReExaminare!G6</f>
        <v/>
      </c>
      <c r="W10" s="70" t="str">
        <f t="shared" si="3"/>
        <v/>
      </c>
      <c r="X10" s="70"/>
      <c r="AA10" s="34" t="str">
        <f>'Ev. Curentă'!I6</f>
        <v/>
      </c>
      <c r="AB10" s="99" t="str">
        <f>'L. Indiv.'!H6</f>
        <v/>
      </c>
      <c r="AC10" s="34" t="str">
        <f t="shared" si="4"/>
        <v/>
      </c>
      <c r="AD10" s="34" t="str">
        <f t="shared" si="1"/>
        <v/>
      </c>
      <c r="AE10" s="73" t="str">
        <f t="shared" si="5"/>
        <v/>
      </c>
      <c r="AF10" s="33" t="str">
        <f t="shared" si="6"/>
        <v/>
      </c>
      <c r="AG10" s="34" t="str">
        <f t="shared" si="7"/>
        <v/>
      </c>
      <c r="AI10" s="61"/>
      <c r="AJ10" s="61"/>
      <c r="AK10" s="13"/>
      <c r="AL10" s="61"/>
      <c r="AM10" s="61"/>
      <c r="AN10" s="61"/>
      <c r="AO10" s="61"/>
      <c r="AP10" s="61"/>
      <c r="AQ10" s="61"/>
    </row>
    <row r="11" spans="1:51" x14ac:dyDescent="0.35">
      <c r="A11" s="2"/>
      <c r="B11" s="34" t="str">
        <f>IF(NOT(ISBLANK(C11)),COUNTA($C$6:C11),"")</f>
        <v/>
      </c>
      <c r="C11" s="54"/>
      <c r="D11" s="46"/>
      <c r="E11" s="33"/>
      <c r="F11" s="33"/>
      <c r="G11" s="33"/>
      <c r="H11" s="33"/>
      <c r="I11" s="33"/>
      <c r="J11" s="33"/>
      <c r="K11" s="33"/>
      <c r="L11" s="33"/>
      <c r="M11" s="33"/>
      <c r="N11" s="33"/>
      <c r="O11" s="33"/>
      <c r="P11" s="33"/>
      <c r="Q11" s="33"/>
      <c r="R11" s="34" t="str">
        <f t="shared" si="2"/>
        <v/>
      </c>
      <c r="S11" s="34"/>
      <c r="T11"/>
      <c r="U11" s="34" t="str">
        <f>Examen!G7</f>
        <v/>
      </c>
      <c r="V11" s="34" t="str">
        <f>ReExaminare!G7</f>
        <v/>
      </c>
      <c r="W11" s="70" t="str">
        <f t="shared" si="3"/>
        <v/>
      </c>
      <c r="X11" s="70"/>
      <c r="AA11" s="34" t="str">
        <f>'Ev. Curentă'!I7</f>
        <v/>
      </c>
      <c r="AB11" s="99" t="str">
        <f>'L. Indiv.'!H7</f>
        <v/>
      </c>
      <c r="AC11" s="34" t="str">
        <f t="shared" si="4"/>
        <v/>
      </c>
      <c r="AD11" s="34" t="str">
        <f t="shared" si="1"/>
        <v/>
      </c>
      <c r="AE11" s="73" t="str">
        <f t="shared" si="5"/>
        <v/>
      </c>
      <c r="AF11" s="33" t="str">
        <f t="shared" si="6"/>
        <v/>
      </c>
      <c r="AG11" s="34" t="str">
        <f t="shared" si="7"/>
        <v/>
      </c>
      <c r="AI11" s="8"/>
      <c r="AJ11" s="13"/>
      <c r="AK11" s="13"/>
    </row>
    <row r="12" spans="1:51" x14ac:dyDescent="0.35">
      <c r="A12" s="2"/>
      <c r="B12" s="34" t="str">
        <f>IF(NOT(ISBLANK(C12)),COUNTA($C$6:C12),"")</f>
        <v/>
      </c>
      <c r="C12" s="54"/>
      <c r="D12" s="46"/>
      <c r="E12" s="33"/>
      <c r="F12" s="33"/>
      <c r="G12" s="33"/>
      <c r="H12" s="33"/>
      <c r="I12" s="33"/>
      <c r="J12" s="33"/>
      <c r="K12" s="33"/>
      <c r="L12" s="33"/>
      <c r="M12" s="33"/>
      <c r="N12" s="33"/>
      <c r="O12" s="33"/>
      <c r="P12" s="33"/>
      <c r="Q12" s="33"/>
      <c r="R12" s="34" t="str">
        <f t="shared" si="2"/>
        <v/>
      </c>
      <c r="S12" s="34"/>
      <c r="T12"/>
      <c r="U12" s="34" t="str">
        <f>Examen!G8</f>
        <v/>
      </c>
      <c r="V12" s="34" t="str">
        <f>ReExaminare!G8</f>
        <v/>
      </c>
      <c r="W12" s="70" t="str">
        <f t="shared" si="3"/>
        <v/>
      </c>
      <c r="X12" s="70"/>
      <c r="AA12" s="34" t="str">
        <f>'Ev. Curentă'!I8</f>
        <v/>
      </c>
      <c r="AB12" s="99" t="str">
        <f>'L. Indiv.'!H8</f>
        <v/>
      </c>
      <c r="AC12" s="34" t="str">
        <f t="shared" si="4"/>
        <v/>
      </c>
      <c r="AD12" s="34" t="str">
        <f t="shared" si="1"/>
        <v/>
      </c>
      <c r="AE12" s="73" t="str">
        <f t="shared" si="5"/>
        <v/>
      </c>
      <c r="AF12" s="33" t="str">
        <f t="shared" si="6"/>
        <v/>
      </c>
      <c r="AG12" s="34" t="str">
        <f t="shared" si="7"/>
        <v/>
      </c>
      <c r="AI12" s="8"/>
      <c r="AJ12" s="13"/>
      <c r="AK12" s="13"/>
    </row>
    <row r="13" spans="1:51" x14ac:dyDescent="0.35">
      <c r="A13" s="2"/>
      <c r="B13" s="34" t="str">
        <f>IF(NOT(ISBLANK(C13)),COUNTA($C$6:C13),"")</f>
        <v/>
      </c>
      <c r="C13" s="54"/>
      <c r="D13" s="46"/>
      <c r="E13" s="33"/>
      <c r="F13" s="33"/>
      <c r="G13" s="33"/>
      <c r="H13" s="33"/>
      <c r="I13" s="33"/>
      <c r="J13" s="33"/>
      <c r="K13" s="33"/>
      <c r="L13" s="33"/>
      <c r="M13" s="33"/>
      <c r="N13" s="33"/>
      <c r="O13" s="33"/>
      <c r="P13" s="33"/>
      <c r="Q13" s="33"/>
      <c r="R13" s="34" t="str">
        <f t="shared" si="2"/>
        <v/>
      </c>
      <c r="S13" s="34"/>
      <c r="T13"/>
      <c r="U13" s="34" t="str">
        <f>Examen!G9</f>
        <v/>
      </c>
      <c r="V13" s="34" t="str">
        <f>ReExaminare!G9</f>
        <v/>
      </c>
      <c r="W13" s="70" t="str">
        <f t="shared" si="3"/>
        <v/>
      </c>
      <c r="X13" s="70"/>
      <c r="AA13" s="34" t="str">
        <f>'Ev. Curentă'!I9</f>
        <v/>
      </c>
      <c r="AB13" s="99" t="str">
        <f>'L. Indiv.'!H9</f>
        <v/>
      </c>
      <c r="AC13" s="34" t="str">
        <f t="shared" si="4"/>
        <v/>
      </c>
      <c r="AD13" s="34" t="str">
        <f t="shared" si="1"/>
        <v/>
      </c>
      <c r="AE13" s="73" t="str">
        <f t="shared" si="5"/>
        <v/>
      </c>
      <c r="AF13" s="33" t="str">
        <f t="shared" si="6"/>
        <v/>
      </c>
      <c r="AG13" s="34" t="str">
        <f t="shared" si="7"/>
        <v/>
      </c>
      <c r="AI13" s="8"/>
      <c r="AJ13" s="13"/>
      <c r="AK13" s="13"/>
    </row>
    <row r="14" spans="1:51" x14ac:dyDescent="0.35">
      <c r="A14" s="2"/>
      <c r="B14" s="34" t="str">
        <f>IF(NOT(ISBLANK(C14)),COUNTA($C$6:C14),"")</f>
        <v/>
      </c>
      <c r="C14" s="54"/>
      <c r="D14" s="46"/>
      <c r="E14" s="33"/>
      <c r="F14" s="33"/>
      <c r="G14" s="33"/>
      <c r="H14" s="33"/>
      <c r="I14" s="33"/>
      <c r="J14" s="33"/>
      <c r="K14" s="33"/>
      <c r="L14" s="33"/>
      <c r="M14" s="33"/>
      <c r="N14" s="33"/>
      <c r="O14" s="33"/>
      <c r="P14" s="33"/>
      <c r="Q14" s="33"/>
      <c r="R14" s="34" t="str">
        <f t="shared" si="2"/>
        <v/>
      </c>
      <c r="S14" s="34"/>
      <c r="T14"/>
      <c r="U14" s="34" t="str">
        <f>Examen!G10</f>
        <v/>
      </c>
      <c r="V14" s="34" t="str">
        <f>ReExaminare!G10</f>
        <v/>
      </c>
      <c r="W14" s="70" t="str">
        <f t="shared" si="3"/>
        <v/>
      </c>
      <c r="X14" s="70"/>
      <c r="AA14" s="34" t="str">
        <f>'Ev. Curentă'!I10</f>
        <v/>
      </c>
      <c r="AB14" s="99" t="str">
        <f>'L. Indiv.'!H10</f>
        <v/>
      </c>
      <c r="AC14" s="34" t="str">
        <f t="shared" si="4"/>
        <v/>
      </c>
      <c r="AD14" s="34" t="str">
        <f t="shared" si="1"/>
        <v/>
      </c>
      <c r="AE14" s="73" t="str">
        <f t="shared" si="5"/>
        <v/>
      </c>
      <c r="AF14" s="33" t="str">
        <f t="shared" si="6"/>
        <v/>
      </c>
      <c r="AG14" s="34" t="str">
        <f t="shared" si="7"/>
        <v/>
      </c>
      <c r="AI14" s="8"/>
      <c r="AJ14" s="13"/>
      <c r="AK14" s="13"/>
    </row>
    <row r="15" spans="1:51" x14ac:dyDescent="0.35">
      <c r="A15" s="2"/>
      <c r="B15" s="34" t="str">
        <f>IF(NOT(ISBLANK(C15)),COUNTA($C$6:C15),"")</f>
        <v/>
      </c>
      <c r="C15" s="54"/>
      <c r="D15" s="46"/>
      <c r="E15" s="33"/>
      <c r="F15" s="33"/>
      <c r="G15" s="33"/>
      <c r="H15" s="33"/>
      <c r="I15" s="33"/>
      <c r="J15" s="33"/>
      <c r="K15" s="33"/>
      <c r="L15" s="33"/>
      <c r="M15" s="33"/>
      <c r="N15" s="33"/>
      <c r="O15" s="33"/>
      <c r="P15" s="33"/>
      <c r="Q15" s="33"/>
      <c r="R15" s="34" t="str">
        <f t="shared" si="2"/>
        <v/>
      </c>
      <c r="S15" s="34"/>
      <c r="T15"/>
      <c r="U15" s="34" t="str">
        <f>Examen!G11</f>
        <v/>
      </c>
      <c r="V15" s="34" t="str">
        <f>ReExaminare!G11</f>
        <v/>
      </c>
      <c r="W15" s="70" t="str">
        <f t="shared" si="3"/>
        <v/>
      </c>
      <c r="X15" s="70"/>
      <c r="AA15" s="34" t="str">
        <f>'Ev. Curentă'!I11</f>
        <v/>
      </c>
      <c r="AB15" s="99" t="str">
        <f>'L. Indiv.'!H11</f>
        <v/>
      </c>
      <c r="AC15" s="34" t="str">
        <f t="shared" si="4"/>
        <v/>
      </c>
      <c r="AD15" s="34" t="str">
        <f t="shared" si="1"/>
        <v/>
      </c>
      <c r="AE15" s="73" t="str">
        <f t="shared" si="5"/>
        <v/>
      </c>
      <c r="AF15" s="33" t="str">
        <f t="shared" si="6"/>
        <v/>
      </c>
      <c r="AG15" s="34" t="str">
        <f t="shared" si="7"/>
        <v/>
      </c>
      <c r="AI15" s="8"/>
      <c r="AJ15" s="13"/>
      <c r="AK15" s="13"/>
    </row>
    <row r="16" spans="1:51" x14ac:dyDescent="0.35">
      <c r="A16" s="2"/>
      <c r="B16" s="34" t="str">
        <f>IF(NOT(ISBLANK(C16)),COUNTA($C$6:C16),"")</f>
        <v/>
      </c>
      <c r="C16" s="54"/>
      <c r="D16" s="46"/>
      <c r="E16" s="33"/>
      <c r="F16" s="33"/>
      <c r="G16" s="33"/>
      <c r="H16" s="33"/>
      <c r="I16" s="33"/>
      <c r="J16" s="33"/>
      <c r="K16" s="33"/>
      <c r="L16" s="33"/>
      <c r="M16" s="33"/>
      <c r="N16" s="33"/>
      <c r="O16" s="33"/>
      <c r="P16" s="33"/>
      <c r="Q16" s="33"/>
      <c r="R16" s="34" t="str">
        <f t="shared" si="2"/>
        <v/>
      </c>
      <c r="S16" s="34"/>
      <c r="T16"/>
      <c r="U16" s="34" t="str">
        <f>Examen!G12</f>
        <v/>
      </c>
      <c r="V16" s="34" t="str">
        <f>ReExaminare!G12</f>
        <v/>
      </c>
      <c r="W16" s="70" t="str">
        <f t="shared" si="3"/>
        <v/>
      </c>
      <c r="X16" s="70"/>
      <c r="AA16" s="34" t="str">
        <f>'Ev. Curentă'!I12</f>
        <v/>
      </c>
      <c r="AB16" s="99" t="str">
        <f>'L. Indiv.'!H12</f>
        <v/>
      </c>
      <c r="AC16" s="34" t="str">
        <f t="shared" si="4"/>
        <v/>
      </c>
      <c r="AD16" s="34" t="str">
        <f t="shared" si="1"/>
        <v/>
      </c>
      <c r="AE16" s="73" t="str">
        <f t="shared" si="5"/>
        <v/>
      </c>
      <c r="AF16" s="33" t="str">
        <f t="shared" si="6"/>
        <v/>
      </c>
      <c r="AG16" s="34" t="str">
        <f t="shared" si="7"/>
        <v/>
      </c>
      <c r="AI16" s="8"/>
      <c r="AJ16" s="13"/>
      <c r="AK16" s="13"/>
    </row>
    <row r="17" spans="1:37" x14ac:dyDescent="0.35">
      <c r="A17" s="2"/>
      <c r="B17" s="34" t="str">
        <f>IF(NOT(ISBLANK(C17)),COUNTA($C$6:C17),"")</f>
        <v/>
      </c>
      <c r="C17" s="54"/>
      <c r="D17" s="46"/>
      <c r="E17" s="33"/>
      <c r="F17" s="33"/>
      <c r="G17" s="33"/>
      <c r="H17" s="33"/>
      <c r="I17" s="33"/>
      <c r="J17" s="33"/>
      <c r="K17" s="33"/>
      <c r="L17" s="33"/>
      <c r="M17" s="33"/>
      <c r="N17" s="33"/>
      <c r="O17" s="33"/>
      <c r="P17" s="33"/>
      <c r="Q17" s="33"/>
      <c r="R17" s="34" t="str">
        <f t="shared" si="2"/>
        <v/>
      </c>
      <c r="S17" s="34"/>
      <c r="T17"/>
      <c r="U17" s="34" t="str">
        <f>Examen!G13</f>
        <v/>
      </c>
      <c r="V17" s="34" t="str">
        <f>ReExaminare!G13</f>
        <v/>
      </c>
      <c r="W17" s="70" t="str">
        <f t="shared" si="3"/>
        <v/>
      </c>
      <c r="X17" s="70"/>
      <c r="AA17" s="34" t="str">
        <f>'Ev. Curentă'!I13</f>
        <v/>
      </c>
      <c r="AB17" s="99" t="str">
        <f>'L. Indiv.'!H13</f>
        <v/>
      </c>
      <c r="AC17" s="34" t="str">
        <f t="shared" si="4"/>
        <v/>
      </c>
      <c r="AD17" s="34" t="str">
        <f t="shared" si="1"/>
        <v/>
      </c>
      <c r="AE17" s="73" t="str">
        <f t="shared" si="5"/>
        <v/>
      </c>
      <c r="AF17" s="33" t="str">
        <f t="shared" si="6"/>
        <v/>
      </c>
      <c r="AG17" s="34" t="str">
        <f t="shared" si="7"/>
        <v/>
      </c>
      <c r="AI17" s="8"/>
      <c r="AJ17" s="13"/>
      <c r="AK17" s="13"/>
    </row>
    <row r="18" spans="1:37" x14ac:dyDescent="0.35">
      <c r="A18" s="2"/>
      <c r="B18" s="34" t="str">
        <f>IF(NOT(ISBLANK(C18)),COUNTA($C$6:C18),"")</f>
        <v/>
      </c>
      <c r="C18" s="54"/>
      <c r="D18" s="46"/>
      <c r="E18" s="33"/>
      <c r="F18" s="33"/>
      <c r="G18" s="33"/>
      <c r="H18" s="33"/>
      <c r="I18" s="33"/>
      <c r="J18" s="33"/>
      <c r="K18" s="33"/>
      <c r="L18" s="33"/>
      <c r="M18" s="33"/>
      <c r="N18" s="33"/>
      <c r="O18" s="33"/>
      <c r="P18" s="33"/>
      <c r="Q18" s="33"/>
      <c r="R18" s="34" t="str">
        <f t="shared" si="2"/>
        <v/>
      </c>
      <c r="S18" s="34"/>
      <c r="T18"/>
      <c r="U18" s="34" t="str">
        <f>Examen!G14</f>
        <v/>
      </c>
      <c r="V18" s="34" t="str">
        <f>ReExaminare!G14</f>
        <v/>
      </c>
      <c r="W18" s="70" t="str">
        <f t="shared" si="3"/>
        <v/>
      </c>
      <c r="X18" s="70"/>
      <c r="AA18" s="34" t="str">
        <f>'Ev. Curentă'!I14</f>
        <v/>
      </c>
      <c r="AB18" s="99" t="str">
        <f>'L. Indiv.'!H14</f>
        <v/>
      </c>
      <c r="AC18" s="34" t="str">
        <f t="shared" si="4"/>
        <v/>
      </c>
      <c r="AD18" s="34" t="str">
        <f t="shared" si="1"/>
        <v/>
      </c>
      <c r="AE18" s="73" t="str">
        <f t="shared" si="5"/>
        <v/>
      </c>
      <c r="AF18" s="33" t="str">
        <f t="shared" si="6"/>
        <v/>
      </c>
      <c r="AG18" s="34" t="str">
        <f t="shared" si="7"/>
        <v/>
      </c>
      <c r="AK18" s="13"/>
    </row>
    <row r="19" spans="1:37" x14ac:dyDescent="0.35">
      <c r="A19" s="2"/>
      <c r="B19" s="34" t="str">
        <f>IF(NOT(ISBLANK(C19)),COUNTA($C$6:C19),"")</f>
        <v/>
      </c>
      <c r="C19" s="54"/>
      <c r="D19" s="46"/>
      <c r="E19" s="33"/>
      <c r="F19" s="33"/>
      <c r="G19" s="33"/>
      <c r="H19" s="33"/>
      <c r="I19" s="33"/>
      <c r="J19" s="33"/>
      <c r="K19" s="33"/>
      <c r="L19" s="33"/>
      <c r="M19" s="33"/>
      <c r="N19" s="33"/>
      <c r="O19" s="33"/>
      <c r="P19" s="33"/>
      <c r="Q19" s="33"/>
      <c r="R19" s="34" t="str">
        <f t="shared" si="2"/>
        <v/>
      </c>
      <c r="S19" s="34"/>
      <c r="T19"/>
      <c r="U19" s="34" t="str">
        <f>Examen!G15</f>
        <v/>
      </c>
      <c r="V19" s="34" t="str">
        <f>ReExaminare!G15</f>
        <v/>
      </c>
      <c r="W19" s="70" t="str">
        <f t="shared" si="3"/>
        <v/>
      </c>
      <c r="X19" s="70"/>
      <c r="AA19" s="34" t="str">
        <f>'Ev. Curentă'!I15</f>
        <v/>
      </c>
      <c r="AB19" s="99" t="str">
        <f>'L. Indiv.'!H15</f>
        <v/>
      </c>
      <c r="AC19" s="34" t="str">
        <f t="shared" si="4"/>
        <v/>
      </c>
      <c r="AD19" s="34" t="str">
        <f t="shared" si="1"/>
        <v/>
      </c>
      <c r="AE19" s="73" t="str">
        <f t="shared" si="5"/>
        <v/>
      </c>
      <c r="AF19" s="33" t="str">
        <f t="shared" si="6"/>
        <v/>
      </c>
      <c r="AG19" s="34" t="str">
        <f t="shared" si="7"/>
        <v/>
      </c>
      <c r="AK19" s="13"/>
    </row>
    <row r="20" spans="1:37" x14ac:dyDescent="0.35">
      <c r="A20" s="2"/>
      <c r="B20" s="34" t="str">
        <f>IF(NOT(ISBLANK(C20)),COUNTA($C$6:C20),"")</f>
        <v/>
      </c>
      <c r="C20" s="54"/>
      <c r="D20" s="46"/>
      <c r="E20" s="33"/>
      <c r="F20" s="33"/>
      <c r="G20" s="33"/>
      <c r="H20" s="33"/>
      <c r="I20" s="33"/>
      <c r="J20" s="33"/>
      <c r="K20" s="33"/>
      <c r="L20" s="33"/>
      <c r="M20" s="33"/>
      <c r="N20" s="33"/>
      <c r="O20" s="33"/>
      <c r="P20" s="33"/>
      <c r="Q20" s="33"/>
      <c r="R20" s="34" t="str">
        <f t="shared" si="2"/>
        <v/>
      </c>
      <c r="S20" s="34"/>
      <c r="T20"/>
      <c r="U20" s="34" t="str">
        <f>Examen!G16</f>
        <v/>
      </c>
      <c r="V20" s="34" t="str">
        <f>ReExaminare!G16</f>
        <v/>
      </c>
      <c r="W20" s="70" t="str">
        <f t="shared" si="3"/>
        <v/>
      </c>
      <c r="X20" s="70"/>
      <c r="AA20" s="34" t="str">
        <f>'Ev. Curentă'!I16</f>
        <v/>
      </c>
      <c r="AB20" s="99" t="str">
        <f>'L. Indiv.'!H16</f>
        <v/>
      </c>
      <c r="AC20" s="34" t="str">
        <f t="shared" si="4"/>
        <v/>
      </c>
      <c r="AD20" s="34" t="str">
        <f t="shared" si="1"/>
        <v/>
      </c>
      <c r="AE20" s="73" t="str">
        <f t="shared" si="5"/>
        <v/>
      </c>
      <c r="AF20" s="33" t="str">
        <f t="shared" si="6"/>
        <v/>
      </c>
      <c r="AG20" s="34" t="str">
        <f t="shared" si="7"/>
        <v/>
      </c>
      <c r="AK20" s="13"/>
    </row>
    <row r="21" spans="1:37" x14ac:dyDescent="0.35">
      <c r="A21" s="2"/>
      <c r="B21" s="34" t="str">
        <f>IF(NOT(ISBLANK(C21)),COUNTA($C$6:C21),"")</f>
        <v/>
      </c>
      <c r="C21" s="54"/>
      <c r="D21" s="46"/>
      <c r="E21" s="33"/>
      <c r="F21" s="33"/>
      <c r="G21" s="33"/>
      <c r="H21" s="33"/>
      <c r="I21" s="33"/>
      <c r="J21" s="33"/>
      <c r="K21" s="33"/>
      <c r="L21" s="33"/>
      <c r="M21" s="33"/>
      <c r="N21" s="33"/>
      <c r="O21" s="33"/>
      <c r="P21" s="33"/>
      <c r="Q21" s="33"/>
      <c r="R21" s="34" t="str">
        <f t="shared" si="2"/>
        <v/>
      </c>
      <c r="S21" s="34"/>
      <c r="T21"/>
      <c r="U21" s="34" t="str">
        <f>Examen!G17</f>
        <v/>
      </c>
      <c r="V21" s="34" t="str">
        <f>ReExaminare!G17</f>
        <v/>
      </c>
      <c r="W21" s="70" t="str">
        <f t="shared" si="3"/>
        <v/>
      </c>
      <c r="X21" s="70"/>
      <c r="AA21" s="34" t="str">
        <f>'Ev. Curentă'!I17</f>
        <v/>
      </c>
      <c r="AB21" s="99" t="str">
        <f>'L. Indiv.'!H17</f>
        <v/>
      </c>
      <c r="AC21" s="34" t="str">
        <f t="shared" si="4"/>
        <v/>
      </c>
      <c r="AD21" s="34" t="str">
        <f t="shared" si="1"/>
        <v/>
      </c>
      <c r="AE21" s="73" t="str">
        <f t="shared" si="5"/>
        <v/>
      </c>
      <c r="AF21" s="33" t="str">
        <f t="shared" si="6"/>
        <v/>
      </c>
      <c r="AG21" s="34" t="str">
        <f t="shared" si="7"/>
        <v/>
      </c>
      <c r="AK21" s="13"/>
    </row>
    <row r="22" spans="1:37" x14ac:dyDescent="0.35">
      <c r="A22" s="2"/>
      <c r="B22" s="34" t="str">
        <f>IF(NOT(ISBLANK(C22)),COUNTA($C$6:C22),"")</f>
        <v/>
      </c>
      <c r="C22" s="54"/>
      <c r="D22" s="46"/>
      <c r="E22" s="33"/>
      <c r="F22" s="33"/>
      <c r="G22" s="33"/>
      <c r="H22" s="33"/>
      <c r="I22" s="33"/>
      <c r="J22" s="33"/>
      <c r="K22" s="33"/>
      <c r="L22" s="33"/>
      <c r="M22" s="33"/>
      <c r="N22" s="33"/>
      <c r="O22" s="33"/>
      <c r="P22" s="33"/>
      <c r="Q22" s="33"/>
      <c r="R22" s="34" t="str">
        <f t="shared" si="2"/>
        <v/>
      </c>
      <c r="S22" s="34"/>
      <c r="T22"/>
      <c r="U22" s="34" t="str">
        <f>Examen!G18</f>
        <v/>
      </c>
      <c r="V22" s="34" t="str">
        <f>ReExaminare!G18</f>
        <v/>
      </c>
      <c r="W22" s="70" t="str">
        <f t="shared" si="3"/>
        <v/>
      </c>
      <c r="X22" s="70"/>
      <c r="AA22" s="34" t="str">
        <f>'Ev. Curentă'!I18</f>
        <v/>
      </c>
      <c r="AB22" s="99" t="str">
        <f>'L. Indiv.'!H18</f>
        <v/>
      </c>
      <c r="AC22" s="34" t="str">
        <f t="shared" si="4"/>
        <v/>
      </c>
      <c r="AD22" s="34" t="str">
        <f t="shared" si="1"/>
        <v/>
      </c>
      <c r="AE22" s="73" t="str">
        <f t="shared" si="5"/>
        <v/>
      </c>
      <c r="AF22" s="33" t="str">
        <f t="shared" si="6"/>
        <v/>
      </c>
      <c r="AG22" s="34" t="str">
        <f t="shared" si="7"/>
        <v/>
      </c>
      <c r="AJ22" s="8"/>
      <c r="AK22" s="13"/>
    </row>
    <row r="23" spans="1:37" x14ac:dyDescent="0.35">
      <c r="A23" s="2"/>
      <c r="B23" s="34" t="str">
        <f>IF(NOT(ISBLANK(C23)),COUNTA($C$6:C23),"")</f>
        <v/>
      </c>
      <c r="C23" s="54"/>
      <c r="D23" s="46"/>
      <c r="E23" s="33"/>
      <c r="F23" s="33"/>
      <c r="G23" s="33"/>
      <c r="H23" s="33"/>
      <c r="I23" s="33"/>
      <c r="J23" s="33"/>
      <c r="K23" s="33"/>
      <c r="L23" s="33"/>
      <c r="M23" s="33"/>
      <c r="N23" s="33"/>
      <c r="O23" s="33"/>
      <c r="P23" s="33"/>
      <c r="Q23" s="33"/>
      <c r="R23" s="34" t="str">
        <f t="shared" si="2"/>
        <v/>
      </c>
      <c r="S23" s="34"/>
      <c r="T23"/>
      <c r="U23" s="34" t="str">
        <f>Examen!G19</f>
        <v/>
      </c>
      <c r="V23" s="34" t="str">
        <f>ReExaminare!G19</f>
        <v/>
      </c>
      <c r="W23" s="70" t="str">
        <f t="shared" si="3"/>
        <v/>
      </c>
      <c r="X23" s="70"/>
      <c r="AA23" s="34" t="str">
        <f>'Ev. Curentă'!I19</f>
        <v/>
      </c>
      <c r="AB23" s="99" t="str">
        <f>'L. Indiv.'!H19</f>
        <v/>
      </c>
      <c r="AC23" s="34" t="str">
        <f t="shared" si="4"/>
        <v/>
      </c>
      <c r="AD23" s="34" t="str">
        <f t="shared" si="1"/>
        <v/>
      </c>
      <c r="AE23" s="73" t="str">
        <f t="shared" si="5"/>
        <v/>
      </c>
      <c r="AF23" s="33" t="str">
        <f t="shared" si="6"/>
        <v/>
      </c>
      <c r="AG23" s="34" t="str">
        <f t="shared" si="7"/>
        <v/>
      </c>
      <c r="AJ23" s="8"/>
      <c r="AK23" s="13"/>
    </row>
    <row r="24" spans="1:37" x14ac:dyDescent="0.35">
      <c r="A24" s="2"/>
      <c r="B24" s="34" t="str">
        <f>IF(NOT(ISBLANK(C24)),COUNTA($C$6:C24),"")</f>
        <v/>
      </c>
      <c r="C24" s="54"/>
      <c r="D24" s="46"/>
      <c r="E24" s="33"/>
      <c r="F24" s="33"/>
      <c r="G24" s="33"/>
      <c r="H24" s="33"/>
      <c r="I24" s="33"/>
      <c r="J24" s="33"/>
      <c r="K24" s="33"/>
      <c r="L24" s="33"/>
      <c r="M24" s="33"/>
      <c r="N24" s="33"/>
      <c r="O24" s="33"/>
      <c r="P24" s="33"/>
      <c r="Q24" s="33"/>
      <c r="R24" s="34" t="str">
        <f t="shared" si="2"/>
        <v/>
      </c>
      <c r="S24" s="34"/>
      <c r="T24"/>
      <c r="U24" s="34" t="str">
        <f>Examen!G20</f>
        <v/>
      </c>
      <c r="V24" s="34" t="str">
        <f>ReExaminare!G20</f>
        <v/>
      </c>
      <c r="W24" s="70" t="str">
        <f t="shared" si="3"/>
        <v/>
      </c>
      <c r="X24" s="70"/>
      <c r="AA24" s="34" t="str">
        <f>'Ev. Curentă'!I20</f>
        <v/>
      </c>
      <c r="AB24" s="99" t="str">
        <f>'L. Indiv.'!H20</f>
        <v/>
      </c>
      <c r="AC24" s="34" t="str">
        <f t="shared" si="4"/>
        <v/>
      </c>
      <c r="AD24" s="34" t="str">
        <f t="shared" si="1"/>
        <v/>
      </c>
      <c r="AE24" s="73" t="str">
        <f t="shared" si="5"/>
        <v/>
      </c>
      <c r="AF24" s="33" t="str">
        <f t="shared" si="6"/>
        <v/>
      </c>
      <c r="AG24" s="34" t="str">
        <f t="shared" si="7"/>
        <v/>
      </c>
      <c r="AJ24" s="8"/>
      <c r="AK24" s="13"/>
    </row>
    <row r="25" spans="1:37" x14ac:dyDescent="0.35">
      <c r="A25" s="2"/>
      <c r="B25" s="34" t="str">
        <f>IF(NOT(ISBLANK(C25)),COUNTA($C$6:C25),"")</f>
        <v/>
      </c>
      <c r="C25" s="54"/>
      <c r="D25" s="46"/>
      <c r="E25" s="33"/>
      <c r="F25" s="33"/>
      <c r="G25" s="33"/>
      <c r="H25" s="33"/>
      <c r="I25" s="33"/>
      <c r="J25" s="33"/>
      <c r="K25" s="33"/>
      <c r="L25" s="33"/>
      <c r="M25" s="33"/>
      <c r="N25" s="33"/>
      <c r="O25" s="33"/>
      <c r="P25" s="33"/>
      <c r="Q25" s="33"/>
      <c r="R25" s="34" t="str">
        <f t="shared" si="2"/>
        <v/>
      </c>
      <c r="S25" s="34"/>
      <c r="T25"/>
      <c r="U25" s="34" t="str">
        <f>Examen!G21</f>
        <v/>
      </c>
      <c r="V25" s="34" t="str">
        <f>ReExaminare!G21</f>
        <v/>
      </c>
      <c r="W25" s="70" t="str">
        <f t="shared" si="3"/>
        <v/>
      </c>
      <c r="X25" s="70"/>
      <c r="AA25" s="34" t="str">
        <f>'Ev. Curentă'!I21</f>
        <v/>
      </c>
      <c r="AB25" s="99" t="str">
        <f>'L. Indiv.'!H21</f>
        <v/>
      </c>
      <c r="AC25" s="34" t="str">
        <f t="shared" si="4"/>
        <v/>
      </c>
      <c r="AD25" s="34" t="str">
        <f t="shared" si="1"/>
        <v/>
      </c>
      <c r="AE25" s="73" t="str">
        <f t="shared" si="5"/>
        <v/>
      </c>
      <c r="AF25" s="33" t="str">
        <f t="shared" si="6"/>
        <v/>
      </c>
      <c r="AG25" s="34" t="str">
        <f t="shared" si="7"/>
        <v/>
      </c>
      <c r="AJ25" s="8"/>
      <c r="AK25" s="13"/>
    </row>
    <row r="26" spans="1:37" x14ac:dyDescent="0.35">
      <c r="A26" s="2"/>
      <c r="B26" s="34" t="str">
        <f>IF(NOT(ISBLANK(C26)),COUNTA($C$6:C26),"")</f>
        <v/>
      </c>
      <c r="C26" s="54"/>
      <c r="D26" s="46"/>
      <c r="E26" s="33"/>
      <c r="F26" s="33"/>
      <c r="G26" s="33"/>
      <c r="H26" s="33"/>
      <c r="I26" s="33"/>
      <c r="J26" s="33"/>
      <c r="K26" s="33"/>
      <c r="L26" s="33"/>
      <c r="M26" s="33"/>
      <c r="N26" s="33"/>
      <c r="O26" s="33"/>
      <c r="P26" s="33"/>
      <c r="Q26" s="33"/>
      <c r="R26" s="34" t="str">
        <f t="shared" si="2"/>
        <v/>
      </c>
      <c r="S26" s="34"/>
      <c r="T26"/>
      <c r="U26" s="34" t="str">
        <f>Examen!G22</f>
        <v/>
      </c>
      <c r="V26" s="34" t="str">
        <f>ReExaminare!G22</f>
        <v/>
      </c>
      <c r="W26" s="70" t="str">
        <f t="shared" si="3"/>
        <v/>
      </c>
      <c r="X26" s="70"/>
      <c r="AA26" s="34" t="str">
        <f>'Ev. Curentă'!I22</f>
        <v/>
      </c>
      <c r="AB26" s="99" t="str">
        <f>'L. Indiv.'!H22</f>
        <v/>
      </c>
      <c r="AC26" s="34" t="str">
        <f t="shared" si="4"/>
        <v/>
      </c>
      <c r="AD26" s="34" t="str">
        <f t="shared" si="1"/>
        <v/>
      </c>
      <c r="AE26" s="73" t="str">
        <f t="shared" si="5"/>
        <v/>
      </c>
      <c r="AF26" s="33" t="str">
        <f t="shared" si="6"/>
        <v/>
      </c>
      <c r="AG26" s="34" t="str">
        <f t="shared" si="7"/>
        <v/>
      </c>
      <c r="AJ26" s="8"/>
      <c r="AK26" s="13"/>
    </row>
    <row r="27" spans="1:37" x14ac:dyDescent="0.35">
      <c r="A27" s="2"/>
      <c r="B27" s="34" t="str">
        <f>IF(NOT(ISBLANK(C27)),COUNTA($C$6:C27),"")</f>
        <v/>
      </c>
      <c r="C27" s="54"/>
      <c r="D27" s="46"/>
      <c r="E27" s="33"/>
      <c r="F27" s="33"/>
      <c r="G27" s="33"/>
      <c r="H27" s="33"/>
      <c r="I27" s="33"/>
      <c r="J27" s="33"/>
      <c r="K27" s="33"/>
      <c r="L27" s="33"/>
      <c r="M27" s="33"/>
      <c r="N27" s="33"/>
      <c r="O27" s="33"/>
      <c r="P27" s="33"/>
      <c r="Q27" s="33"/>
      <c r="R27" s="34" t="str">
        <f t="shared" si="2"/>
        <v/>
      </c>
      <c r="S27" s="34"/>
      <c r="T27"/>
      <c r="U27" s="34" t="str">
        <f>Examen!G23</f>
        <v/>
      </c>
      <c r="V27" s="34" t="str">
        <f>ReExaminare!G23</f>
        <v/>
      </c>
      <c r="W27" s="70" t="str">
        <f t="shared" si="3"/>
        <v/>
      </c>
      <c r="X27" s="70"/>
      <c r="AA27" s="34" t="str">
        <f>'Ev. Curentă'!I23</f>
        <v/>
      </c>
      <c r="AB27" s="99" t="str">
        <f>'L. Indiv.'!H23</f>
        <v/>
      </c>
      <c r="AC27" s="34" t="str">
        <f t="shared" si="4"/>
        <v/>
      </c>
      <c r="AD27" s="34" t="str">
        <f t="shared" si="1"/>
        <v/>
      </c>
      <c r="AE27" s="73" t="str">
        <f t="shared" si="5"/>
        <v/>
      </c>
      <c r="AF27" s="33" t="str">
        <f t="shared" si="6"/>
        <v/>
      </c>
      <c r="AG27" s="34" t="str">
        <f t="shared" si="7"/>
        <v/>
      </c>
      <c r="AJ27" s="8"/>
      <c r="AK27" s="13"/>
    </row>
    <row r="28" spans="1:37" x14ac:dyDescent="0.35">
      <c r="A28" s="2"/>
      <c r="B28" s="34" t="str">
        <f>IF(NOT(ISBLANK(C28)),COUNTA($C$6:C28),"")</f>
        <v/>
      </c>
      <c r="C28" s="54"/>
      <c r="D28" s="46"/>
      <c r="E28" s="33"/>
      <c r="F28" s="33"/>
      <c r="G28" s="33"/>
      <c r="H28" s="33"/>
      <c r="I28" s="33"/>
      <c r="J28" s="33"/>
      <c r="K28" s="33"/>
      <c r="L28" s="33"/>
      <c r="M28" s="33"/>
      <c r="N28" s="33"/>
      <c r="O28" s="33"/>
      <c r="P28" s="33"/>
      <c r="Q28" s="33"/>
      <c r="R28" s="34" t="str">
        <f t="shared" si="2"/>
        <v/>
      </c>
      <c r="S28" s="34"/>
      <c r="T28"/>
      <c r="U28" s="34" t="str">
        <f>Examen!G24</f>
        <v/>
      </c>
      <c r="V28" s="34" t="str">
        <f>ReExaminare!G24</f>
        <v/>
      </c>
      <c r="W28" s="70" t="str">
        <f t="shared" si="3"/>
        <v/>
      </c>
      <c r="X28" s="70"/>
      <c r="AA28" s="34" t="str">
        <f>'Ev. Curentă'!I24</f>
        <v/>
      </c>
      <c r="AB28" s="99" t="str">
        <f>'L. Indiv.'!H24</f>
        <v/>
      </c>
      <c r="AC28" s="34" t="str">
        <f t="shared" si="4"/>
        <v/>
      </c>
      <c r="AD28" s="34" t="str">
        <f t="shared" si="1"/>
        <v/>
      </c>
      <c r="AE28" s="73" t="str">
        <f t="shared" si="5"/>
        <v/>
      </c>
      <c r="AF28" s="33" t="str">
        <f t="shared" si="6"/>
        <v/>
      </c>
      <c r="AG28" s="34" t="str">
        <f t="shared" si="7"/>
        <v/>
      </c>
      <c r="AJ28" s="8"/>
      <c r="AK28" s="13"/>
    </row>
    <row r="29" spans="1:37" x14ac:dyDescent="0.35">
      <c r="A29" s="2"/>
      <c r="B29" s="34" t="str">
        <f>IF(NOT(ISBLANK(C29)),COUNTA($C$6:C29),"")</f>
        <v/>
      </c>
      <c r="C29" s="54"/>
      <c r="D29" s="46"/>
      <c r="E29" s="33"/>
      <c r="F29" s="33"/>
      <c r="G29" s="33"/>
      <c r="H29" s="33"/>
      <c r="I29" s="33"/>
      <c r="J29" s="33"/>
      <c r="K29" s="33"/>
      <c r="L29" s="33"/>
      <c r="M29" s="33"/>
      <c r="N29" s="33"/>
      <c r="O29" s="33"/>
      <c r="P29" s="33"/>
      <c r="Q29" s="33"/>
      <c r="R29" s="34" t="str">
        <f t="shared" si="2"/>
        <v/>
      </c>
      <c r="S29" s="34"/>
      <c r="T29"/>
      <c r="U29" s="34" t="str">
        <f>Examen!G25</f>
        <v/>
      </c>
      <c r="V29" s="34" t="str">
        <f>ReExaminare!G25</f>
        <v/>
      </c>
      <c r="W29" s="70" t="str">
        <f t="shared" si="3"/>
        <v/>
      </c>
      <c r="X29" s="70"/>
      <c r="AA29" s="34" t="str">
        <f>'Ev. Curentă'!I25</f>
        <v/>
      </c>
      <c r="AB29" s="99" t="str">
        <f>'L. Indiv.'!H25</f>
        <v/>
      </c>
      <c r="AC29" s="34" t="str">
        <f t="shared" si="4"/>
        <v/>
      </c>
      <c r="AD29" s="34" t="str">
        <f t="shared" si="1"/>
        <v/>
      </c>
      <c r="AE29" s="73" t="str">
        <f t="shared" si="5"/>
        <v/>
      </c>
      <c r="AF29" s="33" t="str">
        <f t="shared" si="6"/>
        <v/>
      </c>
      <c r="AG29" s="34" t="str">
        <f t="shared" si="7"/>
        <v/>
      </c>
      <c r="AJ29" s="8"/>
      <c r="AK29" s="13"/>
    </row>
    <row r="30" spans="1:37" x14ac:dyDescent="0.35">
      <c r="A30" s="2"/>
      <c r="B30" s="34" t="str">
        <f>IF(NOT(ISBLANK(C30)),COUNTA($C$6:C30),"")</f>
        <v/>
      </c>
      <c r="C30" s="54"/>
      <c r="D30" s="46"/>
      <c r="E30" s="33"/>
      <c r="F30" s="33"/>
      <c r="G30" s="33"/>
      <c r="H30" s="33"/>
      <c r="I30" s="33"/>
      <c r="J30" s="33"/>
      <c r="K30" s="33"/>
      <c r="L30" s="33"/>
      <c r="M30" s="33"/>
      <c r="N30" s="33"/>
      <c r="O30" s="33"/>
      <c r="P30" s="33"/>
      <c r="Q30" s="33"/>
      <c r="R30" s="34" t="str">
        <f t="shared" si="2"/>
        <v/>
      </c>
      <c r="S30" s="34"/>
      <c r="T30"/>
      <c r="U30" s="34" t="str">
        <f>Examen!G26</f>
        <v/>
      </c>
      <c r="V30" s="34" t="str">
        <f>ReExaminare!G26</f>
        <v/>
      </c>
      <c r="W30" s="70" t="str">
        <f t="shared" si="3"/>
        <v/>
      </c>
      <c r="X30" s="70"/>
      <c r="AA30" s="34" t="str">
        <f>'Ev. Curentă'!I26</f>
        <v/>
      </c>
      <c r="AB30" s="99" t="str">
        <f>'L. Indiv.'!H26</f>
        <v/>
      </c>
      <c r="AC30" s="34" t="str">
        <f t="shared" si="4"/>
        <v/>
      </c>
      <c r="AD30" s="34" t="str">
        <f t="shared" si="1"/>
        <v/>
      </c>
      <c r="AE30" s="73" t="str">
        <f t="shared" si="5"/>
        <v/>
      </c>
      <c r="AF30" s="33" t="str">
        <f t="shared" si="6"/>
        <v/>
      </c>
      <c r="AG30" s="34" t="str">
        <f t="shared" si="7"/>
        <v/>
      </c>
      <c r="AJ30" s="8"/>
      <c r="AK30" s="13"/>
    </row>
    <row r="31" spans="1:37" x14ac:dyDescent="0.3">
      <c r="B31" s="34" t="str">
        <f>IF(NOT(ISBLANK(C31)),COUNTA($C$6:C31),"")</f>
        <v/>
      </c>
      <c r="C31" s="54"/>
      <c r="D31" s="46"/>
      <c r="E31" s="33"/>
      <c r="F31" s="33"/>
      <c r="G31" s="33"/>
      <c r="H31" s="33"/>
      <c r="I31" s="33"/>
      <c r="J31" s="33"/>
      <c r="K31" s="33"/>
      <c r="L31" s="33"/>
      <c r="M31" s="33"/>
      <c r="N31" s="33"/>
      <c r="O31" s="33"/>
      <c r="P31" s="33"/>
      <c r="Q31" s="33"/>
      <c r="R31" s="34" t="str">
        <f t="shared" si="2"/>
        <v/>
      </c>
      <c r="S31" s="34"/>
      <c r="T31"/>
      <c r="U31" s="34" t="str">
        <f>Examen!G27</f>
        <v/>
      </c>
      <c r="V31" s="34" t="str">
        <f>ReExaminare!G27</f>
        <v/>
      </c>
      <c r="W31" s="70" t="str">
        <f t="shared" si="3"/>
        <v/>
      </c>
      <c r="X31" s="70"/>
      <c r="AA31" s="34" t="str">
        <f>'Ev. Curentă'!I27</f>
        <v/>
      </c>
      <c r="AB31" s="99" t="str">
        <f>'L. Indiv.'!H27</f>
        <v/>
      </c>
      <c r="AC31" s="34" t="str">
        <f t="shared" si="4"/>
        <v/>
      </c>
      <c r="AD31" s="34" t="str">
        <f t="shared" si="1"/>
        <v/>
      </c>
      <c r="AE31" s="73" t="str">
        <f t="shared" si="5"/>
        <v/>
      </c>
      <c r="AF31" s="33" t="str">
        <f t="shared" si="6"/>
        <v/>
      </c>
      <c r="AG31" s="34" t="str">
        <f t="shared" si="7"/>
        <v/>
      </c>
    </row>
    <row r="32" spans="1:37" x14ac:dyDescent="0.3">
      <c r="B32" s="34" t="str">
        <f>IF(NOT(ISBLANK(C32)),COUNTA($C$6:C32),"")</f>
        <v/>
      </c>
      <c r="C32" s="54"/>
      <c r="D32" s="46"/>
      <c r="E32" s="33"/>
      <c r="F32" s="33"/>
      <c r="G32" s="33"/>
      <c r="H32" s="33"/>
      <c r="I32" s="33"/>
      <c r="J32" s="33"/>
      <c r="K32" s="33"/>
      <c r="L32" s="33"/>
      <c r="M32" s="33"/>
      <c r="N32" s="33"/>
      <c r="O32" s="33"/>
      <c r="P32" s="33"/>
      <c r="Q32" s="33"/>
      <c r="R32" s="34" t="str">
        <f t="shared" si="2"/>
        <v/>
      </c>
      <c r="S32" s="34"/>
      <c r="T32"/>
      <c r="U32" s="34" t="str">
        <f>Examen!G28</f>
        <v/>
      </c>
      <c r="V32" s="34" t="str">
        <f>ReExaminare!G28</f>
        <v/>
      </c>
      <c r="W32" s="70" t="str">
        <f t="shared" si="3"/>
        <v/>
      </c>
      <c r="X32" s="70"/>
      <c r="AA32" s="34" t="str">
        <f>'Ev. Curentă'!I28</f>
        <v/>
      </c>
      <c r="AB32" s="99" t="str">
        <f>'L. Indiv.'!H28</f>
        <v/>
      </c>
      <c r="AC32" s="34" t="str">
        <f t="shared" si="4"/>
        <v/>
      </c>
      <c r="AD32" s="34" t="str">
        <f t="shared" si="1"/>
        <v/>
      </c>
      <c r="AE32" s="73" t="str">
        <f t="shared" si="5"/>
        <v/>
      </c>
      <c r="AF32" s="33" t="str">
        <f t="shared" si="6"/>
        <v/>
      </c>
      <c r="AG32" s="34" t="str">
        <f t="shared" si="7"/>
        <v/>
      </c>
    </row>
    <row r="33" spans="2:33" x14ac:dyDescent="0.3">
      <c r="B33" s="34" t="str">
        <f>IF(NOT(ISBLANK(C33)),COUNTA($C$6:C33),"")</f>
        <v/>
      </c>
      <c r="C33" s="54"/>
      <c r="D33" s="46"/>
      <c r="E33" s="33"/>
      <c r="F33" s="33"/>
      <c r="G33" s="33"/>
      <c r="H33" s="33"/>
      <c r="I33" s="33"/>
      <c r="J33" s="33"/>
      <c r="K33" s="33"/>
      <c r="L33" s="33"/>
      <c r="M33" s="33"/>
      <c r="N33" s="33"/>
      <c r="O33" s="33"/>
      <c r="P33" s="33"/>
      <c r="Q33" s="33"/>
      <c r="R33" s="34" t="str">
        <f t="shared" si="2"/>
        <v/>
      </c>
      <c r="S33" s="34"/>
      <c r="T33"/>
      <c r="U33" s="34" t="str">
        <f>Examen!G29</f>
        <v/>
      </c>
      <c r="V33" s="34" t="str">
        <f>ReExaminare!G29</f>
        <v/>
      </c>
      <c r="W33" s="70" t="str">
        <f t="shared" si="3"/>
        <v/>
      </c>
      <c r="X33" s="70"/>
      <c r="AA33" s="34" t="str">
        <f>'Ev. Curentă'!I29</f>
        <v/>
      </c>
      <c r="AB33" s="99" t="str">
        <f>'L. Indiv.'!H29</f>
        <v/>
      </c>
      <c r="AC33" s="34" t="str">
        <f t="shared" si="4"/>
        <v/>
      </c>
      <c r="AD33" s="34" t="str">
        <f t="shared" si="1"/>
        <v/>
      </c>
      <c r="AE33" s="73" t="str">
        <f t="shared" si="5"/>
        <v/>
      </c>
      <c r="AF33" s="33" t="str">
        <f t="shared" si="6"/>
        <v/>
      </c>
      <c r="AG33" s="34" t="str">
        <f t="shared" si="7"/>
        <v/>
      </c>
    </row>
    <row r="34" spans="2:33" x14ac:dyDescent="0.3">
      <c r="B34" s="34" t="str">
        <f>IF(NOT(ISBLANK(C34)),COUNTA($C$6:C34),"")</f>
        <v/>
      </c>
      <c r="C34" s="54"/>
      <c r="D34" s="46"/>
      <c r="E34" s="33"/>
      <c r="F34" s="33"/>
      <c r="G34" s="33"/>
      <c r="H34" s="33"/>
      <c r="I34" s="33"/>
      <c r="J34" s="33"/>
      <c r="K34" s="33"/>
      <c r="L34" s="33"/>
      <c r="M34" s="33"/>
      <c r="N34" s="33"/>
      <c r="O34" s="33"/>
      <c r="P34" s="33"/>
      <c r="Q34" s="33"/>
      <c r="R34" s="34" t="str">
        <f t="shared" si="2"/>
        <v/>
      </c>
      <c r="S34" s="34"/>
      <c r="T34"/>
      <c r="U34" s="34" t="str">
        <f>Examen!G30</f>
        <v/>
      </c>
      <c r="V34" s="34" t="str">
        <f>ReExaminare!G30</f>
        <v/>
      </c>
      <c r="W34" s="70" t="str">
        <f t="shared" si="3"/>
        <v/>
      </c>
      <c r="X34" s="70"/>
      <c r="AA34" s="34" t="str">
        <f>'Ev. Curentă'!I30</f>
        <v/>
      </c>
      <c r="AB34" s="99" t="str">
        <f>'L. Indiv.'!H30</f>
        <v/>
      </c>
      <c r="AC34" s="34" t="str">
        <f t="shared" si="4"/>
        <v/>
      </c>
      <c r="AD34" s="34" t="str">
        <f t="shared" si="1"/>
        <v/>
      </c>
      <c r="AE34" s="73" t="str">
        <f t="shared" si="5"/>
        <v/>
      </c>
      <c r="AF34" s="33" t="str">
        <f t="shared" si="6"/>
        <v/>
      </c>
      <c r="AG34" s="34" t="str">
        <f t="shared" si="7"/>
        <v/>
      </c>
    </row>
    <row r="35" spans="2:33" x14ac:dyDescent="0.3">
      <c r="B35" s="34" t="str">
        <f>IF(NOT(ISBLANK(C35)),COUNTA($C$6:C35),"")</f>
        <v/>
      </c>
      <c r="C35" s="54"/>
      <c r="D35" s="46"/>
      <c r="E35" s="33"/>
      <c r="F35" s="33"/>
      <c r="G35" s="33"/>
      <c r="H35" s="33"/>
      <c r="I35" s="33"/>
      <c r="J35" s="33"/>
      <c r="K35" s="33"/>
      <c r="L35" s="33"/>
      <c r="M35" s="33"/>
      <c r="N35" s="33"/>
      <c r="O35" s="33"/>
      <c r="P35" s="33"/>
      <c r="Q35" s="33"/>
      <c r="R35" s="34" t="str">
        <f t="shared" si="2"/>
        <v/>
      </c>
      <c r="S35" s="34"/>
      <c r="T35"/>
      <c r="U35" s="34" t="str">
        <f>Examen!G31</f>
        <v/>
      </c>
      <c r="V35" s="34" t="str">
        <f>ReExaminare!G31</f>
        <v/>
      </c>
      <c r="W35" s="70" t="str">
        <f t="shared" si="3"/>
        <v/>
      </c>
      <c r="X35" s="70"/>
      <c r="AA35" s="34" t="str">
        <f>'Ev. Curentă'!I31</f>
        <v/>
      </c>
      <c r="AB35" s="99" t="str">
        <f>'L. Indiv.'!H31</f>
        <v/>
      </c>
      <c r="AC35" s="34" t="str">
        <f t="shared" si="4"/>
        <v/>
      </c>
      <c r="AD35" s="34" t="str">
        <f t="shared" si="1"/>
        <v/>
      </c>
      <c r="AE35" s="73" t="str">
        <f t="shared" si="5"/>
        <v/>
      </c>
      <c r="AF35" s="33" t="str">
        <f t="shared" si="6"/>
        <v/>
      </c>
      <c r="AG35" s="34" t="str">
        <f t="shared" si="7"/>
        <v/>
      </c>
    </row>
    <row r="36" spans="2:33" x14ac:dyDescent="0.3">
      <c r="B36" s="34" t="str">
        <f>IF(NOT(ISBLANK(C36)),COUNTA($C$6:C36),"")</f>
        <v/>
      </c>
      <c r="C36" s="54"/>
      <c r="D36" s="46"/>
      <c r="E36" s="33"/>
      <c r="F36" s="33"/>
      <c r="G36" s="33"/>
      <c r="H36" s="33"/>
      <c r="I36" s="33"/>
      <c r="J36" s="33"/>
      <c r="K36" s="33"/>
      <c r="L36" s="33"/>
      <c r="M36" s="33"/>
      <c r="N36" s="33"/>
      <c r="O36" s="33"/>
      <c r="P36" s="33"/>
      <c r="Q36" s="33"/>
      <c r="R36" s="34" t="str">
        <f t="shared" si="2"/>
        <v/>
      </c>
      <c r="S36" s="34"/>
      <c r="T36"/>
      <c r="U36" s="34" t="str">
        <f>Examen!G32</f>
        <v/>
      </c>
      <c r="V36" s="34" t="str">
        <f>ReExaminare!G32</f>
        <v/>
      </c>
      <c r="W36" s="70" t="str">
        <f t="shared" si="3"/>
        <v/>
      </c>
      <c r="X36" s="70"/>
      <c r="AA36" s="34" t="str">
        <f>'Ev. Curentă'!I32</f>
        <v/>
      </c>
      <c r="AB36" s="99" t="str">
        <f>'L. Indiv.'!H32</f>
        <v/>
      </c>
      <c r="AC36" s="34" t="str">
        <f t="shared" si="4"/>
        <v/>
      </c>
      <c r="AD36" s="34" t="str">
        <f t="shared" si="1"/>
        <v/>
      </c>
      <c r="AE36" s="73" t="str">
        <f t="shared" si="5"/>
        <v/>
      </c>
      <c r="AF36" s="33" t="str">
        <f t="shared" si="6"/>
        <v/>
      </c>
      <c r="AG36" s="34" t="str">
        <f t="shared" si="7"/>
        <v/>
      </c>
    </row>
    <row r="37" spans="2:33" x14ac:dyDescent="0.3">
      <c r="B37" s="34" t="str">
        <f>IF(NOT(ISBLANK(C37)),COUNTA($C$6:C37),"")</f>
        <v/>
      </c>
      <c r="C37" s="54"/>
      <c r="D37" s="46"/>
      <c r="E37" s="33"/>
      <c r="F37" s="33"/>
      <c r="G37" s="33"/>
      <c r="H37" s="33"/>
      <c r="I37" s="33"/>
      <c r="J37" s="33"/>
      <c r="K37" s="33"/>
      <c r="L37" s="33"/>
      <c r="M37" s="33"/>
      <c r="N37" s="33"/>
      <c r="O37" s="33"/>
      <c r="P37" s="33"/>
      <c r="Q37" s="33"/>
      <c r="R37" s="34" t="str">
        <f t="shared" si="2"/>
        <v/>
      </c>
      <c r="S37" s="34"/>
      <c r="T37"/>
      <c r="U37" s="34" t="str">
        <f>Examen!G33</f>
        <v/>
      </c>
      <c r="V37" s="34" t="str">
        <f>ReExaminare!G33</f>
        <v/>
      </c>
      <c r="W37" s="70" t="str">
        <f t="shared" si="3"/>
        <v/>
      </c>
      <c r="X37" s="70"/>
      <c r="AA37" s="34" t="str">
        <f>'Ev. Curentă'!I33</f>
        <v/>
      </c>
      <c r="AB37" s="99" t="str">
        <f>'L. Indiv.'!H33</f>
        <v/>
      </c>
      <c r="AC37" s="34" t="str">
        <f t="shared" si="4"/>
        <v/>
      </c>
      <c r="AD37" s="34" t="str">
        <f t="shared" si="1"/>
        <v/>
      </c>
      <c r="AE37" s="73" t="str">
        <f t="shared" si="5"/>
        <v/>
      </c>
      <c r="AF37" s="33" t="str">
        <f t="shared" si="6"/>
        <v/>
      </c>
      <c r="AG37" s="34" t="str">
        <f t="shared" si="7"/>
        <v/>
      </c>
    </row>
    <row r="38" spans="2:33" x14ac:dyDescent="0.3">
      <c r="B38" s="34" t="str">
        <f>IF(NOT(ISBLANK(C38)),COUNTA($C$6:C38),"")</f>
        <v/>
      </c>
      <c r="C38" s="54"/>
      <c r="D38" s="46"/>
      <c r="E38" s="33"/>
      <c r="F38" s="33"/>
      <c r="G38" s="33"/>
      <c r="H38" s="33"/>
      <c r="I38" s="33"/>
      <c r="J38" s="33"/>
      <c r="K38" s="33"/>
      <c r="L38" s="33"/>
      <c r="M38" s="33"/>
      <c r="N38" s="33"/>
      <c r="O38" s="33"/>
      <c r="P38" s="33"/>
      <c r="Q38" s="33"/>
      <c r="R38" s="34" t="str">
        <f t="shared" si="2"/>
        <v/>
      </c>
      <c r="S38" s="34"/>
      <c r="T38"/>
      <c r="U38" s="34" t="str">
        <f>Examen!G34</f>
        <v/>
      </c>
      <c r="V38" s="34" t="str">
        <f>ReExaminare!G34</f>
        <v/>
      </c>
      <c r="W38" s="70" t="str">
        <f t="shared" si="3"/>
        <v/>
      </c>
      <c r="X38" s="70"/>
      <c r="AA38" s="34" t="str">
        <f>'Ev. Curentă'!I34</f>
        <v/>
      </c>
      <c r="AB38" s="99" t="str">
        <f>'L. Indiv.'!H34</f>
        <v/>
      </c>
      <c r="AC38" s="34" t="str">
        <f t="shared" si="4"/>
        <v/>
      </c>
      <c r="AD38" s="34" t="str">
        <f t="shared" si="1"/>
        <v/>
      </c>
      <c r="AE38" s="73" t="str">
        <f t="shared" si="5"/>
        <v/>
      </c>
      <c r="AF38" s="33" t="str">
        <f t="shared" si="6"/>
        <v/>
      </c>
      <c r="AG38" s="34" t="str">
        <f t="shared" si="7"/>
        <v/>
      </c>
    </row>
    <row r="39" spans="2:33" x14ac:dyDescent="0.3">
      <c r="B39" s="34" t="str">
        <f>IF(NOT(ISBLANK(C39)),COUNTA($C$6:C39),"")</f>
        <v/>
      </c>
      <c r="C39" s="54"/>
      <c r="D39" s="46"/>
      <c r="E39" s="33"/>
      <c r="F39" s="33"/>
      <c r="G39" s="33"/>
      <c r="H39" s="33"/>
      <c r="I39" s="33"/>
      <c r="J39" s="33"/>
      <c r="K39" s="33"/>
      <c r="L39" s="33"/>
      <c r="M39" s="33"/>
      <c r="N39" s="33"/>
      <c r="O39" s="33"/>
      <c r="P39" s="33"/>
      <c r="Q39" s="33"/>
      <c r="R39" s="34" t="str">
        <f t="shared" si="2"/>
        <v/>
      </c>
      <c r="S39" s="34"/>
      <c r="T39"/>
      <c r="U39" s="34" t="str">
        <f>Examen!G35</f>
        <v/>
      </c>
      <c r="V39" s="34" t="str">
        <f>ReExaminare!G35</f>
        <v/>
      </c>
      <c r="W39" s="70" t="str">
        <f t="shared" si="3"/>
        <v/>
      </c>
      <c r="X39" s="70"/>
      <c r="AA39" s="34" t="str">
        <f>'Ev. Curentă'!I35</f>
        <v/>
      </c>
      <c r="AB39" s="99" t="str">
        <f>'L. Indiv.'!H35</f>
        <v/>
      </c>
      <c r="AC39" s="34" t="str">
        <f t="shared" si="4"/>
        <v/>
      </c>
      <c r="AD39" s="34" t="str">
        <f t="shared" si="1"/>
        <v/>
      </c>
      <c r="AE39" s="73" t="str">
        <f t="shared" si="5"/>
        <v/>
      </c>
      <c r="AF39" s="33" t="str">
        <f t="shared" si="6"/>
        <v/>
      </c>
      <c r="AG39" s="34" t="str">
        <f t="shared" si="7"/>
        <v/>
      </c>
    </row>
    <row r="40" spans="2:33" x14ac:dyDescent="0.3">
      <c r="B40" s="34" t="str">
        <f>IF(NOT(ISBLANK(C40)),COUNTA($C$6:C40),"")</f>
        <v/>
      </c>
      <c r="C40" s="54"/>
      <c r="D40" s="46"/>
      <c r="E40" s="33"/>
      <c r="F40" s="33"/>
      <c r="G40" s="33"/>
      <c r="H40" s="33"/>
      <c r="I40" s="33"/>
      <c r="J40" s="33"/>
      <c r="K40" s="33"/>
      <c r="L40" s="33"/>
      <c r="M40" s="33"/>
      <c r="N40" s="33"/>
      <c r="O40" s="33"/>
      <c r="P40" s="33"/>
      <c r="Q40" s="33"/>
      <c r="R40" s="34" t="str">
        <f t="shared" si="2"/>
        <v/>
      </c>
      <c r="S40" s="34"/>
      <c r="T40"/>
      <c r="U40" s="34" t="str">
        <f>Examen!G36</f>
        <v/>
      </c>
      <c r="V40" s="34" t="str">
        <f>ReExaminare!G36</f>
        <v/>
      </c>
      <c r="W40" s="70" t="str">
        <f t="shared" si="3"/>
        <v/>
      </c>
      <c r="X40" s="70"/>
      <c r="AA40" s="34" t="str">
        <f>'Ev. Curentă'!I36</f>
        <v/>
      </c>
      <c r="AB40" s="99" t="str">
        <f>'L. Indiv.'!H36</f>
        <v/>
      </c>
      <c r="AC40" s="34" t="str">
        <f t="shared" si="4"/>
        <v/>
      </c>
      <c r="AD40" s="34" t="str">
        <f t="shared" si="1"/>
        <v/>
      </c>
      <c r="AE40" s="73" t="str">
        <f t="shared" si="5"/>
        <v/>
      </c>
      <c r="AF40" s="33" t="str">
        <f t="shared" si="6"/>
        <v/>
      </c>
      <c r="AG40" s="34" t="str">
        <f t="shared" si="7"/>
        <v/>
      </c>
    </row>
    <row r="41" spans="2:33" x14ac:dyDescent="0.3">
      <c r="B41" s="34" t="str">
        <f>IF(NOT(ISBLANK(C41)),COUNTA($C$6:C41),"")</f>
        <v/>
      </c>
      <c r="C41" s="54"/>
      <c r="D41" s="46"/>
      <c r="E41" s="33"/>
      <c r="F41" s="33"/>
      <c r="G41" s="33"/>
      <c r="H41" s="33"/>
      <c r="I41" s="33"/>
      <c r="J41" s="33"/>
      <c r="K41" s="33"/>
      <c r="L41" s="33"/>
      <c r="M41" s="33"/>
      <c r="N41" s="33"/>
      <c r="O41" s="33"/>
      <c r="P41" s="33"/>
      <c r="Q41" s="33"/>
      <c r="R41" s="34" t="str">
        <f t="shared" si="2"/>
        <v/>
      </c>
      <c r="S41" s="34"/>
      <c r="T41"/>
      <c r="U41" s="34" t="str">
        <f>Examen!G37</f>
        <v/>
      </c>
      <c r="V41" s="34" t="str">
        <f>ReExaminare!G37</f>
        <v/>
      </c>
      <c r="W41" s="70" t="str">
        <f t="shared" si="3"/>
        <v/>
      </c>
      <c r="X41" s="70"/>
      <c r="AA41" s="34" t="str">
        <f>'Ev. Curentă'!I37</f>
        <v/>
      </c>
      <c r="AB41" s="99" t="str">
        <f>'L. Indiv.'!H37</f>
        <v/>
      </c>
      <c r="AC41" s="34" t="str">
        <f t="shared" si="4"/>
        <v/>
      </c>
      <c r="AD41" s="34" t="str">
        <f t="shared" si="1"/>
        <v/>
      </c>
      <c r="AE41" s="73" t="str">
        <f t="shared" si="5"/>
        <v/>
      </c>
      <c r="AF41" s="33" t="str">
        <f t="shared" si="6"/>
        <v/>
      </c>
      <c r="AG41" s="34" t="str">
        <f t="shared" si="7"/>
        <v/>
      </c>
    </row>
    <row r="42" spans="2:33" x14ac:dyDescent="0.3">
      <c r="B42" s="34" t="str">
        <f>IF(NOT(ISBLANK(C42)),COUNTA($C$6:C42),"")</f>
        <v/>
      </c>
      <c r="C42" s="54"/>
      <c r="D42" s="46"/>
      <c r="E42" s="33"/>
      <c r="F42" s="33"/>
      <c r="G42" s="33"/>
      <c r="H42" s="33"/>
      <c r="I42" s="33"/>
      <c r="J42" s="33"/>
      <c r="K42" s="33"/>
      <c r="L42" s="33"/>
      <c r="M42" s="33"/>
      <c r="N42" s="33"/>
      <c r="O42" s="33"/>
      <c r="P42" s="33"/>
      <c r="Q42" s="33"/>
      <c r="R42" s="34" t="str">
        <f t="shared" si="2"/>
        <v/>
      </c>
      <c r="S42" s="34"/>
      <c r="T42"/>
      <c r="U42" s="34" t="str">
        <f>Examen!G38</f>
        <v/>
      </c>
      <c r="V42" s="34" t="str">
        <f>ReExaminare!G38</f>
        <v/>
      </c>
      <c r="W42" s="70" t="str">
        <f t="shared" si="3"/>
        <v/>
      </c>
      <c r="X42" s="70"/>
      <c r="AA42" s="34" t="str">
        <f>'Ev. Curentă'!I38</f>
        <v/>
      </c>
      <c r="AB42" s="99" t="str">
        <f>'L. Indiv.'!H38</f>
        <v/>
      </c>
      <c r="AC42" s="34" t="str">
        <f t="shared" si="4"/>
        <v/>
      </c>
      <c r="AD42" s="34" t="str">
        <f t="shared" si="1"/>
        <v/>
      </c>
      <c r="AE42" s="73" t="str">
        <f t="shared" si="5"/>
        <v/>
      </c>
      <c r="AF42" s="33" t="str">
        <f t="shared" si="6"/>
        <v/>
      </c>
      <c r="AG42" s="34" t="str">
        <f t="shared" si="7"/>
        <v/>
      </c>
    </row>
    <row r="43" spans="2:33" x14ac:dyDescent="0.3">
      <c r="B43" s="34" t="str">
        <f>IF(NOT(ISBLANK(C43)),COUNTA($C$6:C43),"")</f>
        <v/>
      </c>
      <c r="C43" s="54"/>
      <c r="D43" s="46"/>
      <c r="E43" s="33"/>
      <c r="F43" s="33"/>
      <c r="G43" s="33"/>
      <c r="H43" s="33"/>
      <c r="I43" s="33"/>
      <c r="J43" s="33"/>
      <c r="K43" s="33"/>
      <c r="L43" s="33"/>
      <c r="M43" s="33"/>
      <c r="N43" s="33"/>
      <c r="O43" s="33"/>
      <c r="P43" s="33"/>
      <c r="Q43" s="33"/>
      <c r="R43" s="34" t="str">
        <f t="shared" si="2"/>
        <v/>
      </c>
      <c r="S43" s="34"/>
      <c r="T43"/>
      <c r="U43" s="34" t="str">
        <f>Examen!G39</f>
        <v/>
      </c>
      <c r="V43" s="34" t="str">
        <f>ReExaminare!G39</f>
        <v/>
      </c>
      <c r="W43" s="70" t="str">
        <f t="shared" si="3"/>
        <v/>
      </c>
      <c r="X43" s="70"/>
      <c r="AA43" s="34" t="str">
        <f>'Ev. Curentă'!I39</f>
        <v/>
      </c>
      <c r="AB43" s="99" t="str">
        <f>'L. Indiv.'!H39</f>
        <v/>
      </c>
      <c r="AC43" s="34" t="str">
        <f t="shared" si="4"/>
        <v/>
      </c>
      <c r="AD43" s="34" t="str">
        <f t="shared" si="1"/>
        <v/>
      </c>
      <c r="AE43" s="73" t="str">
        <f t="shared" si="5"/>
        <v/>
      </c>
      <c r="AF43" s="33" t="str">
        <f t="shared" si="6"/>
        <v/>
      </c>
      <c r="AG43" s="34" t="str">
        <f t="shared" si="7"/>
        <v/>
      </c>
    </row>
    <row r="44" spans="2:33" x14ac:dyDescent="0.3">
      <c r="B44" s="34" t="str">
        <f>IF(NOT(ISBLANK(C44)),COUNTA($C$6:C44),"")</f>
        <v/>
      </c>
      <c r="C44" s="54"/>
      <c r="D44" s="46"/>
      <c r="E44" s="33"/>
      <c r="F44" s="33"/>
      <c r="G44" s="33"/>
      <c r="H44" s="33"/>
      <c r="I44" s="33"/>
      <c r="J44" s="33"/>
      <c r="K44" s="33"/>
      <c r="L44" s="33"/>
      <c r="M44" s="33"/>
      <c r="N44" s="33"/>
      <c r="O44" s="33"/>
      <c r="P44" s="33"/>
      <c r="Q44" s="33"/>
      <c r="R44" s="34" t="str">
        <f t="shared" si="2"/>
        <v/>
      </c>
      <c r="S44" s="34"/>
      <c r="T44"/>
      <c r="U44" s="34" t="str">
        <f>Examen!G40</f>
        <v/>
      </c>
      <c r="V44" s="34" t="str">
        <f>ReExaminare!G40</f>
        <v/>
      </c>
      <c r="W44" s="70" t="str">
        <f t="shared" si="3"/>
        <v/>
      </c>
      <c r="X44" s="70"/>
      <c r="AA44" s="34" t="str">
        <f>'Ev. Curentă'!I40</f>
        <v/>
      </c>
      <c r="AB44" s="99" t="str">
        <f>'L. Indiv.'!H40</f>
        <v/>
      </c>
      <c r="AC44" s="34" t="str">
        <f t="shared" si="4"/>
        <v/>
      </c>
      <c r="AD44" s="34" t="str">
        <f t="shared" si="1"/>
        <v/>
      </c>
      <c r="AE44" s="73" t="str">
        <f t="shared" si="5"/>
        <v/>
      </c>
      <c r="AF44" s="33" t="str">
        <f t="shared" si="6"/>
        <v/>
      </c>
      <c r="AG44" s="34" t="str">
        <f t="shared" si="7"/>
        <v/>
      </c>
    </row>
    <row r="45" spans="2:33" x14ac:dyDescent="0.3">
      <c r="B45" s="34" t="str">
        <f>IF(NOT(ISBLANK(C45)),COUNTA($C$6:C45),"")</f>
        <v/>
      </c>
      <c r="C45" s="54"/>
      <c r="D45" s="46"/>
      <c r="E45" s="33"/>
      <c r="F45" s="33"/>
      <c r="G45" s="33"/>
      <c r="H45" s="33"/>
      <c r="I45" s="33"/>
      <c r="J45" s="33"/>
      <c r="K45" s="33"/>
      <c r="L45" s="33"/>
      <c r="M45" s="33"/>
      <c r="N45" s="33"/>
      <c r="O45" s="33"/>
      <c r="P45" s="33"/>
      <c r="Q45" s="33"/>
      <c r="R45" s="34" t="str">
        <f t="shared" si="2"/>
        <v/>
      </c>
      <c r="S45" s="34"/>
      <c r="T45"/>
      <c r="U45" s="34" t="str">
        <f>Examen!G41</f>
        <v/>
      </c>
      <c r="V45" s="34" t="str">
        <f>ReExaminare!G41</f>
        <v/>
      </c>
      <c r="W45" s="70" t="str">
        <f t="shared" si="3"/>
        <v/>
      </c>
      <c r="X45" s="70"/>
      <c r="AA45" s="34" t="str">
        <f>'Ev. Curentă'!I41</f>
        <v/>
      </c>
      <c r="AB45" s="99" t="str">
        <f>'L. Indiv.'!H41</f>
        <v/>
      </c>
      <c r="AC45" s="34" t="str">
        <f t="shared" si="4"/>
        <v/>
      </c>
      <c r="AD45" s="34" t="str">
        <f t="shared" si="1"/>
        <v/>
      </c>
      <c r="AE45" s="73" t="str">
        <f t="shared" si="5"/>
        <v/>
      </c>
      <c r="AF45" s="33" t="str">
        <f t="shared" si="6"/>
        <v/>
      </c>
      <c r="AG45" s="34" t="str">
        <f t="shared" si="7"/>
        <v/>
      </c>
    </row>
    <row r="46" spans="2:33" x14ac:dyDescent="0.3">
      <c r="B46" s="34" t="str">
        <f>IF(NOT(ISBLANK(C46)),COUNTA($C$6:C46),"")</f>
        <v/>
      </c>
      <c r="C46" s="54"/>
      <c r="D46" s="46"/>
      <c r="E46" s="33"/>
      <c r="F46" s="33"/>
      <c r="G46" s="33"/>
      <c r="H46" s="33"/>
      <c r="I46" s="33"/>
      <c r="J46" s="33"/>
      <c r="K46" s="33"/>
      <c r="L46" s="33"/>
      <c r="M46" s="33"/>
      <c r="N46" s="33"/>
      <c r="O46" s="33"/>
      <c r="P46" s="33"/>
      <c r="Q46" s="33"/>
      <c r="R46" s="34" t="str">
        <f t="shared" si="2"/>
        <v/>
      </c>
      <c r="S46" s="34"/>
      <c r="T46"/>
      <c r="U46" s="34" t="str">
        <f>Examen!G42</f>
        <v/>
      </c>
      <c r="V46" s="34" t="str">
        <f>ReExaminare!G42</f>
        <v/>
      </c>
      <c r="W46" s="70" t="str">
        <f t="shared" si="3"/>
        <v/>
      </c>
      <c r="X46" s="70"/>
      <c r="AA46" s="34" t="str">
        <f>'Ev. Curentă'!I42</f>
        <v/>
      </c>
      <c r="AB46" s="99" t="str">
        <f>'L. Indiv.'!H42</f>
        <v/>
      </c>
      <c r="AC46" s="34" t="str">
        <f t="shared" si="4"/>
        <v/>
      </c>
      <c r="AD46" s="34" t="str">
        <f t="shared" si="1"/>
        <v/>
      </c>
      <c r="AE46" s="73" t="str">
        <f t="shared" si="5"/>
        <v/>
      </c>
      <c r="AF46" s="33" t="str">
        <f t="shared" si="6"/>
        <v/>
      </c>
      <c r="AG46" s="34" t="str">
        <f t="shared" si="7"/>
        <v/>
      </c>
    </row>
    <row r="47" spans="2:33" x14ac:dyDescent="0.3">
      <c r="B47" s="34" t="str">
        <f>IF(NOT(ISBLANK(C47)),COUNTA($C$6:C47),"")</f>
        <v/>
      </c>
      <c r="C47" s="54"/>
      <c r="D47" s="46"/>
      <c r="E47" s="33"/>
      <c r="F47" s="33"/>
      <c r="G47" s="33"/>
      <c r="H47" s="33"/>
      <c r="I47" s="33"/>
      <c r="J47" s="33"/>
      <c r="K47" s="33"/>
      <c r="L47" s="33"/>
      <c r="M47" s="33"/>
      <c r="N47" s="33"/>
      <c r="O47" s="33"/>
      <c r="P47" s="33"/>
      <c r="Q47" s="33"/>
      <c r="R47" s="34" t="str">
        <f t="shared" si="2"/>
        <v/>
      </c>
      <c r="S47" s="34"/>
      <c r="T47"/>
      <c r="U47" s="34" t="str">
        <f>Examen!G43</f>
        <v/>
      </c>
      <c r="V47" s="34" t="str">
        <f>ReExaminare!G43</f>
        <v/>
      </c>
      <c r="W47" s="70" t="str">
        <f t="shared" si="3"/>
        <v/>
      </c>
      <c r="X47" s="70"/>
      <c r="AA47" s="34" t="str">
        <f>'Ev. Curentă'!I43</f>
        <v/>
      </c>
      <c r="AB47" s="99" t="str">
        <f>'L. Indiv.'!H43</f>
        <v/>
      </c>
      <c r="AC47" s="34" t="str">
        <f t="shared" si="4"/>
        <v/>
      </c>
      <c r="AD47" s="34" t="str">
        <f t="shared" si="1"/>
        <v/>
      </c>
      <c r="AE47" s="73" t="str">
        <f t="shared" si="5"/>
        <v/>
      </c>
      <c r="AF47" s="33" t="str">
        <f t="shared" si="6"/>
        <v/>
      </c>
      <c r="AG47" s="34" t="str">
        <f t="shared" si="7"/>
        <v/>
      </c>
    </row>
    <row r="48" spans="2:33" x14ac:dyDescent="0.3">
      <c r="B48" s="34" t="str">
        <f>IF(NOT(ISBLANK(C48)),COUNTA($C$6:C48),"")</f>
        <v/>
      </c>
      <c r="C48" s="54"/>
      <c r="D48" s="46"/>
      <c r="E48" s="33"/>
      <c r="F48" s="33"/>
      <c r="G48" s="33"/>
      <c r="H48" s="33"/>
      <c r="I48" s="33"/>
      <c r="J48" s="33"/>
      <c r="K48" s="33"/>
      <c r="L48" s="33"/>
      <c r="M48" s="33"/>
      <c r="N48" s="33"/>
      <c r="O48" s="33"/>
      <c r="P48" s="33"/>
      <c r="Q48" s="33"/>
      <c r="R48" s="34" t="str">
        <f t="shared" si="2"/>
        <v/>
      </c>
      <c r="S48" s="34"/>
      <c r="T48"/>
      <c r="U48" s="34" t="str">
        <f>Examen!G44</f>
        <v/>
      </c>
      <c r="V48" s="34" t="str">
        <f>ReExaminare!G44</f>
        <v/>
      </c>
      <c r="W48" s="70" t="str">
        <f t="shared" si="3"/>
        <v/>
      </c>
      <c r="X48" s="70"/>
      <c r="AA48" s="34" t="str">
        <f>'Ev. Curentă'!I44</f>
        <v/>
      </c>
      <c r="AB48" s="99" t="str">
        <f>'L. Indiv.'!H44</f>
        <v/>
      </c>
      <c r="AC48" s="34" t="str">
        <f t="shared" si="4"/>
        <v/>
      </c>
      <c r="AD48" s="34" t="str">
        <f t="shared" si="1"/>
        <v/>
      </c>
      <c r="AE48" s="73" t="str">
        <f t="shared" si="5"/>
        <v/>
      </c>
      <c r="AF48" s="33" t="str">
        <f t="shared" si="6"/>
        <v/>
      </c>
      <c r="AG48" s="34" t="str">
        <f t="shared" si="7"/>
        <v/>
      </c>
    </row>
    <row r="49" spans="2:33" x14ac:dyDescent="0.3">
      <c r="B49" s="34" t="str">
        <f>IF(NOT(ISBLANK(C49)),COUNTA($C$6:C49),"")</f>
        <v/>
      </c>
      <c r="C49" s="54"/>
      <c r="D49" s="46"/>
      <c r="E49" s="33"/>
      <c r="F49" s="33"/>
      <c r="G49" s="33"/>
      <c r="H49" s="33"/>
      <c r="I49" s="33"/>
      <c r="J49" s="33"/>
      <c r="K49" s="33"/>
      <c r="L49" s="33"/>
      <c r="M49" s="33"/>
      <c r="N49" s="33"/>
      <c r="O49" s="33"/>
      <c r="P49" s="33"/>
      <c r="Q49" s="33"/>
      <c r="R49" s="34" t="str">
        <f t="shared" si="2"/>
        <v/>
      </c>
      <c r="S49" s="34"/>
      <c r="T49"/>
      <c r="U49" s="34" t="str">
        <f>Examen!G45</f>
        <v/>
      </c>
      <c r="V49" s="34" t="str">
        <f>ReExaminare!G45</f>
        <v/>
      </c>
      <c r="W49" s="70" t="str">
        <f t="shared" si="3"/>
        <v/>
      </c>
      <c r="X49" s="70"/>
      <c r="AA49" s="34" t="str">
        <f>'Ev. Curentă'!I45</f>
        <v/>
      </c>
      <c r="AB49" s="99" t="str">
        <f>'L. Indiv.'!H45</f>
        <v/>
      </c>
      <c r="AC49" s="34" t="str">
        <f t="shared" si="4"/>
        <v/>
      </c>
      <c r="AD49" s="34" t="str">
        <f t="shared" si="1"/>
        <v/>
      </c>
      <c r="AE49" s="73" t="str">
        <f t="shared" si="5"/>
        <v/>
      </c>
      <c r="AF49" s="33" t="str">
        <f t="shared" si="6"/>
        <v/>
      </c>
      <c r="AG49" s="34" t="str">
        <f t="shared" si="7"/>
        <v/>
      </c>
    </row>
    <row r="50" spans="2:33" x14ac:dyDescent="0.3">
      <c r="B50" s="34" t="str">
        <f>IF(NOT(ISBLANK(C50)),COUNTA($C$6:C50),"")</f>
        <v/>
      </c>
      <c r="C50" s="54"/>
      <c r="D50" s="46"/>
      <c r="E50" s="33"/>
      <c r="F50" s="33"/>
      <c r="G50" s="33"/>
      <c r="H50" s="33"/>
      <c r="I50" s="33"/>
      <c r="J50" s="33"/>
      <c r="K50" s="33"/>
      <c r="L50" s="33"/>
      <c r="M50" s="33"/>
      <c r="N50" s="33"/>
      <c r="O50" s="33"/>
      <c r="P50" s="33"/>
      <c r="Q50" s="33"/>
      <c r="R50" s="34" t="str">
        <f t="shared" si="2"/>
        <v/>
      </c>
      <c r="S50" s="34"/>
      <c r="T50"/>
      <c r="U50" s="34" t="str">
        <f>Examen!G46</f>
        <v/>
      </c>
      <c r="V50" s="34" t="str">
        <f>ReExaminare!G46</f>
        <v/>
      </c>
      <c r="W50" s="70" t="str">
        <f t="shared" si="3"/>
        <v/>
      </c>
      <c r="X50" s="70"/>
      <c r="AA50" s="34" t="str">
        <f>'Ev. Curentă'!I46</f>
        <v/>
      </c>
      <c r="AB50" s="99" t="str">
        <f>'L. Indiv.'!H46</f>
        <v/>
      </c>
      <c r="AC50" s="34" t="str">
        <f t="shared" si="4"/>
        <v/>
      </c>
      <c r="AD50" s="34" t="str">
        <f t="shared" si="1"/>
        <v/>
      </c>
      <c r="AE50" s="73" t="str">
        <f t="shared" si="5"/>
        <v/>
      </c>
      <c r="AF50" s="33" t="str">
        <f t="shared" si="6"/>
        <v/>
      </c>
      <c r="AG50" s="34" t="str">
        <f t="shared" si="7"/>
        <v/>
      </c>
    </row>
    <row r="51" spans="2:33" x14ac:dyDescent="0.3">
      <c r="B51" s="34" t="str">
        <f>IF(NOT(ISBLANK(C51)),COUNTA($C$6:C51),"")</f>
        <v/>
      </c>
      <c r="C51" s="54"/>
      <c r="D51" s="46"/>
      <c r="E51" s="33"/>
      <c r="F51" s="33"/>
      <c r="G51" s="33"/>
      <c r="H51" s="33"/>
      <c r="I51" s="33"/>
      <c r="J51" s="33"/>
      <c r="K51" s="33"/>
      <c r="L51" s="33"/>
      <c r="M51" s="33"/>
      <c r="N51" s="33"/>
      <c r="O51" s="33"/>
      <c r="P51" s="33"/>
      <c r="Q51" s="33"/>
      <c r="R51" s="34" t="str">
        <f t="shared" si="2"/>
        <v/>
      </c>
      <c r="S51" s="34"/>
      <c r="T51"/>
      <c r="U51" s="34" t="str">
        <f>Examen!G47</f>
        <v/>
      </c>
      <c r="V51" s="34" t="str">
        <f>ReExaminare!G47</f>
        <v/>
      </c>
      <c r="W51" s="70" t="str">
        <f t="shared" si="3"/>
        <v/>
      </c>
      <c r="X51" s="70"/>
      <c r="AA51" s="34" t="str">
        <f>'Ev. Curentă'!I47</f>
        <v/>
      </c>
      <c r="AB51" s="99" t="str">
        <f>'L. Indiv.'!H47</f>
        <v/>
      </c>
      <c r="AC51" s="34" t="str">
        <f t="shared" si="4"/>
        <v/>
      </c>
      <c r="AD51" s="34" t="str">
        <f t="shared" si="1"/>
        <v/>
      </c>
      <c r="AE51" s="73" t="str">
        <f t="shared" si="5"/>
        <v/>
      </c>
      <c r="AF51" s="33" t="str">
        <f t="shared" si="6"/>
        <v/>
      </c>
      <c r="AG51" s="34" t="str">
        <f t="shared" si="7"/>
        <v/>
      </c>
    </row>
    <row r="52" spans="2:33" x14ac:dyDescent="0.3">
      <c r="B52" s="34" t="str">
        <f>IF(NOT(ISBLANK(C52)),COUNTA($C$6:C52),"")</f>
        <v/>
      </c>
      <c r="C52" s="54"/>
      <c r="D52" s="46"/>
      <c r="E52" s="33"/>
      <c r="F52" s="33"/>
      <c r="G52" s="33"/>
      <c r="H52" s="33"/>
      <c r="I52" s="33"/>
      <c r="J52" s="33"/>
      <c r="K52" s="33"/>
      <c r="L52" s="33"/>
      <c r="M52" s="33"/>
      <c r="N52" s="33"/>
      <c r="O52" s="33"/>
      <c r="P52" s="33"/>
      <c r="Q52" s="33"/>
      <c r="R52" s="34" t="str">
        <f t="shared" si="2"/>
        <v/>
      </c>
      <c r="S52" s="34"/>
      <c r="T52"/>
      <c r="U52" s="34" t="str">
        <f>Examen!G48</f>
        <v/>
      </c>
      <c r="V52" s="34" t="str">
        <f>ReExaminare!G48</f>
        <v/>
      </c>
      <c r="W52" s="70" t="str">
        <f t="shared" si="3"/>
        <v/>
      </c>
      <c r="X52" s="70"/>
      <c r="AA52" s="34" t="str">
        <f>'Ev. Curentă'!I48</f>
        <v/>
      </c>
      <c r="AB52" s="99" t="str">
        <f>'L. Indiv.'!H48</f>
        <v/>
      </c>
      <c r="AC52" s="34" t="str">
        <f t="shared" si="4"/>
        <v/>
      </c>
      <c r="AD52" s="34" t="str">
        <f t="shared" si="1"/>
        <v/>
      </c>
      <c r="AE52" s="73" t="str">
        <f t="shared" si="5"/>
        <v/>
      </c>
      <c r="AF52" s="33" t="str">
        <f t="shared" si="6"/>
        <v/>
      </c>
      <c r="AG52" s="34" t="str">
        <f t="shared" si="7"/>
        <v/>
      </c>
    </row>
    <row r="53" spans="2:33" x14ac:dyDescent="0.3">
      <c r="B53" s="34" t="str">
        <f>IF(NOT(ISBLANK(C53)),COUNTA($C$6:C53),"")</f>
        <v/>
      </c>
      <c r="C53" s="54"/>
      <c r="D53" s="46"/>
      <c r="E53" s="33"/>
      <c r="F53" s="33"/>
      <c r="G53" s="33"/>
      <c r="H53" s="33"/>
      <c r="I53" s="33"/>
      <c r="J53" s="33"/>
      <c r="K53" s="33"/>
      <c r="L53" s="33"/>
      <c r="M53" s="33"/>
      <c r="N53" s="33"/>
      <c r="O53" s="33"/>
      <c r="P53" s="33"/>
      <c r="Q53" s="33"/>
      <c r="R53" s="34" t="str">
        <f t="shared" si="2"/>
        <v/>
      </c>
      <c r="S53" s="34"/>
      <c r="T53"/>
      <c r="U53" s="34" t="str">
        <f>Examen!G49</f>
        <v/>
      </c>
      <c r="V53" s="34" t="str">
        <f>ReExaminare!G49</f>
        <v/>
      </c>
      <c r="W53" s="70" t="str">
        <f t="shared" si="3"/>
        <v/>
      </c>
      <c r="X53" s="70"/>
      <c r="AA53" s="34" t="str">
        <f>'Ev. Curentă'!I49</f>
        <v/>
      </c>
      <c r="AB53" s="99" t="str">
        <f>'L. Indiv.'!H49</f>
        <v/>
      </c>
      <c r="AC53" s="34" t="str">
        <f t="shared" si="4"/>
        <v/>
      </c>
      <c r="AD53" s="34" t="str">
        <f t="shared" si="1"/>
        <v/>
      </c>
      <c r="AE53" s="73" t="str">
        <f t="shared" si="5"/>
        <v/>
      </c>
      <c r="AF53" s="33" t="str">
        <f t="shared" si="6"/>
        <v/>
      </c>
      <c r="AG53" s="34" t="str">
        <f t="shared" si="7"/>
        <v/>
      </c>
    </row>
    <row r="54" spans="2:33" x14ac:dyDescent="0.3">
      <c r="B54" s="34" t="str">
        <f>IF(NOT(ISBLANK(C54)),COUNTA($C$6:C54),"")</f>
        <v/>
      </c>
      <c r="C54" s="54"/>
      <c r="D54" s="46"/>
      <c r="E54" s="33"/>
      <c r="F54" s="33"/>
      <c r="G54" s="33"/>
      <c r="H54" s="33"/>
      <c r="I54" s="33"/>
      <c r="J54" s="33"/>
      <c r="K54" s="33"/>
      <c r="L54" s="33"/>
      <c r="M54" s="33"/>
      <c r="N54" s="33"/>
      <c r="O54" s="33"/>
      <c r="P54" s="33"/>
      <c r="Q54" s="33"/>
      <c r="R54" s="34" t="str">
        <f t="shared" si="2"/>
        <v/>
      </c>
      <c r="S54" s="34"/>
      <c r="T54"/>
      <c r="U54" s="34" t="str">
        <f>Examen!G50</f>
        <v/>
      </c>
      <c r="V54" s="34" t="str">
        <f>ReExaminare!G50</f>
        <v/>
      </c>
      <c r="W54" s="70" t="str">
        <f t="shared" si="3"/>
        <v/>
      </c>
      <c r="X54" s="70"/>
      <c r="AA54" s="34" t="str">
        <f>'Ev. Curentă'!I50</f>
        <v/>
      </c>
      <c r="AB54" s="99" t="str">
        <f>'L. Indiv.'!H50</f>
        <v/>
      </c>
      <c r="AC54" s="34" t="str">
        <f t="shared" si="4"/>
        <v/>
      </c>
      <c r="AD54" s="34" t="str">
        <f t="shared" si="1"/>
        <v/>
      </c>
      <c r="AE54" s="73" t="str">
        <f t="shared" si="5"/>
        <v/>
      </c>
      <c r="AF54" s="33" t="str">
        <f t="shared" si="6"/>
        <v/>
      </c>
      <c r="AG54" s="34" t="str">
        <f t="shared" si="7"/>
        <v/>
      </c>
    </row>
    <row r="55" spans="2:33" x14ac:dyDescent="0.3">
      <c r="B55" s="34" t="str">
        <f>IF(NOT(ISBLANK(C55)),COUNTA($C$6:C55),"")</f>
        <v/>
      </c>
      <c r="C55" s="54"/>
      <c r="D55" s="46"/>
      <c r="E55" s="33"/>
      <c r="F55" s="33"/>
      <c r="G55" s="33"/>
      <c r="H55" s="33"/>
      <c r="I55" s="33"/>
      <c r="J55" s="33"/>
      <c r="K55" s="33"/>
      <c r="L55" s="33"/>
      <c r="M55" s="33"/>
      <c r="N55" s="33"/>
      <c r="O55" s="33"/>
      <c r="P55" s="33"/>
      <c r="Q55" s="33"/>
      <c r="R55" s="34" t="str">
        <f t="shared" si="2"/>
        <v/>
      </c>
      <c r="S55" s="34"/>
      <c r="T55"/>
      <c r="U55" s="34" t="str">
        <f>Examen!G51</f>
        <v/>
      </c>
      <c r="V55" s="34" t="str">
        <f>ReExaminare!G51</f>
        <v/>
      </c>
      <c r="W55" s="70" t="str">
        <f t="shared" si="3"/>
        <v/>
      </c>
      <c r="X55" s="70"/>
      <c r="AA55" s="34" t="str">
        <f>'Ev. Curentă'!I51</f>
        <v/>
      </c>
      <c r="AB55" s="99" t="str">
        <f>'L. Indiv.'!H51</f>
        <v/>
      </c>
      <c r="AC55" s="34" t="str">
        <f t="shared" si="4"/>
        <v/>
      </c>
      <c r="AD55" s="34" t="str">
        <f t="shared" si="1"/>
        <v/>
      </c>
      <c r="AE55" s="73" t="str">
        <f t="shared" si="5"/>
        <v/>
      </c>
      <c r="AF55" s="33" t="str">
        <f t="shared" si="6"/>
        <v/>
      </c>
      <c r="AG55" s="34" t="str">
        <f t="shared" si="7"/>
        <v/>
      </c>
    </row>
    <row r="56" spans="2:33" x14ac:dyDescent="0.3">
      <c r="B56" s="34" t="str">
        <f>IF(NOT(ISBLANK(C56)),COUNTA($C$6:C56),"")</f>
        <v/>
      </c>
      <c r="C56" s="54"/>
      <c r="D56" s="46"/>
      <c r="E56" s="33"/>
      <c r="F56" s="33"/>
      <c r="G56" s="33"/>
      <c r="H56" s="33"/>
      <c r="I56" s="33"/>
      <c r="J56" s="33"/>
      <c r="K56" s="33"/>
      <c r="L56" s="33"/>
      <c r="M56" s="33"/>
      <c r="N56" s="33"/>
      <c r="O56" s="33"/>
      <c r="P56" s="33"/>
      <c r="Q56" s="33"/>
      <c r="R56" s="34" t="str">
        <f t="shared" si="2"/>
        <v/>
      </c>
      <c r="S56" s="34"/>
      <c r="T56"/>
      <c r="U56" s="34" t="str">
        <f>Examen!G52</f>
        <v/>
      </c>
      <c r="V56" s="34" t="str">
        <f>ReExaminare!G52</f>
        <v/>
      </c>
      <c r="W56" s="70" t="str">
        <f t="shared" si="3"/>
        <v/>
      </c>
      <c r="X56" s="70"/>
      <c r="AA56" s="34" t="str">
        <f>'Ev. Curentă'!I52</f>
        <v/>
      </c>
      <c r="AB56" s="99" t="str">
        <f>'L. Indiv.'!H52</f>
        <v/>
      </c>
      <c r="AC56" s="34" t="str">
        <f t="shared" si="4"/>
        <v/>
      </c>
      <c r="AD56" s="34" t="str">
        <f t="shared" si="1"/>
        <v/>
      </c>
      <c r="AE56" s="73" t="str">
        <f t="shared" si="5"/>
        <v/>
      </c>
      <c r="AF56" s="33" t="str">
        <f t="shared" si="6"/>
        <v/>
      </c>
      <c r="AG56" s="34" t="str">
        <f t="shared" si="7"/>
        <v/>
      </c>
    </row>
    <row r="57" spans="2:33" x14ac:dyDescent="0.3">
      <c r="B57" s="34" t="str">
        <f>IF(NOT(ISBLANK(C57)),COUNTA($C$6:C57),"")</f>
        <v/>
      </c>
      <c r="C57" s="54"/>
      <c r="D57" s="46"/>
      <c r="E57" s="33"/>
      <c r="F57" s="33"/>
      <c r="G57" s="33"/>
      <c r="H57" s="33"/>
      <c r="I57" s="33"/>
      <c r="J57" s="33"/>
      <c r="K57" s="33"/>
      <c r="L57" s="33"/>
      <c r="M57" s="33"/>
      <c r="N57" s="33"/>
      <c r="O57" s="33"/>
      <c r="P57" s="33"/>
      <c r="Q57" s="33"/>
      <c r="R57" s="34" t="str">
        <f t="shared" si="2"/>
        <v/>
      </c>
      <c r="S57" s="34"/>
      <c r="T57"/>
      <c r="U57" s="34" t="str">
        <f>Examen!G53</f>
        <v/>
      </c>
      <c r="V57" s="34" t="str">
        <f>ReExaminare!G53</f>
        <v/>
      </c>
      <c r="W57" s="70" t="str">
        <f t="shared" si="3"/>
        <v/>
      </c>
      <c r="X57" s="70"/>
      <c r="AA57" s="34" t="str">
        <f>'Ev. Curentă'!I53</f>
        <v/>
      </c>
      <c r="AB57" s="99" t="str">
        <f>'L. Indiv.'!H53</f>
        <v/>
      </c>
      <c r="AC57" s="34" t="str">
        <f t="shared" si="4"/>
        <v/>
      </c>
      <c r="AD57" s="34" t="str">
        <f t="shared" si="1"/>
        <v/>
      </c>
      <c r="AE57" s="73" t="str">
        <f t="shared" si="5"/>
        <v/>
      </c>
      <c r="AF57" s="33" t="str">
        <f t="shared" si="6"/>
        <v/>
      </c>
      <c r="AG57" s="34" t="str">
        <f t="shared" si="7"/>
        <v/>
      </c>
    </row>
    <row r="58" spans="2:33" x14ac:dyDescent="0.3">
      <c r="B58" s="34" t="str">
        <f>IF(NOT(ISBLANK(C58)),COUNTA($C$6:C58),"")</f>
        <v/>
      </c>
      <c r="C58" s="54"/>
      <c r="D58" s="46"/>
      <c r="E58" s="33"/>
      <c r="F58" s="33"/>
      <c r="G58" s="33"/>
      <c r="H58" s="33"/>
      <c r="I58" s="33"/>
      <c r="J58" s="33"/>
      <c r="K58" s="33"/>
      <c r="L58" s="33"/>
      <c r="M58" s="33"/>
      <c r="N58" s="33"/>
      <c r="O58" s="33"/>
      <c r="P58" s="33"/>
      <c r="Q58" s="33"/>
      <c r="R58" s="34" t="str">
        <f t="shared" si="2"/>
        <v/>
      </c>
      <c r="S58" s="34"/>
      <c r="T58"/>
      <c r="U58" s="34" t="str">
        <f>Examen!G54</f>
        <v/>
      </c>
      <c r="V58" s="34" t="str">
        <f>ReExaminare!G54</f>
        <v/>
      </c>
      <c r="W58" s="70" t="str">
        <f t="shared" si="3"/>
        <v/>
      </c>
      <c r="X58" s="70"/>
      <c r="AA58" s="34" t="str">
        <f>'Ev. Curentă'!I54</f>
        <v/>
      </c>
      <c r="AB58" s="99" t="str">
        <f>'L. Indiv.'!H54</f>
        <v/>
      </c>
      <c r="AC58" s="34" t="str">
        <f t="shared" si="4"/>
        <v/>
      </c>
      <c r="AD58" s="34" t="str">
        <f t="shared" si="1"/>
        <v/>
      </c>
      <c r="AE58" s="73" t="str">
        <f t="shared" si="5"/>
        <v/>
      </c>
      <c r="AF58" s="33" t="str">
        <f t="shared" si="6"/>
        <v/>
      </c>
      <c r="AG58" s="34" t="str">
        <f t="shared" si="7"/>
        <v/>
      </c>
    </row>
    <row r="59" spans="2:33" x14ac:dyDescent="0.3">
      <c r="B59" s="34" t="str">
        <f>IF(NOT(ISBLANK(C59)),COUNTA($C$6:C59),"")</f>
        <v/>
      </c>
      <c r="C59" s="54"/>
      <c r="D59" s="46"/>
      <c r="E59" s="33"/>
      <c r="F59" s="33"/>
      <c r="G59" s="33"/>
      <c r="H59" s="33"/>
      <c r="I59" s="33"/>
      <c r="J59" s="33"/>
      <c r="K59" s="33"/>
      <c r="L59" s="33"/>
      <c r="M59" s="33"/>
      <c r="N59" s="33"/>
      <c r="O59" s="33"/>
      <c r="P59" s="33"/>
      <c r="Q59" s="33"/>
      <c r="R59" s="34" t="str">
        <f t="shared" si="2"/>
        <v/>
      </c>
      <c r="S59" s="34"/>
      <c r="T59"/>
      <c r="U59" s="34" t="str">
        <f>Examen!G55</f>
        <v/>
      </c>
      <c r="V59" s="34" t="str">
        <f>ReExaminare!G55</f>
        <v/>
      </c>
      <c r="W59" s="70" t="str">
        <f t="shared" si="3"/>
        <v/>
      </c>
      <c r="X59" s="70"/>
      <c r="AA59" s="34" t="str">
        <f>'Ev. Curentă'!I55</f>
        <v/>
      </c>
      <c r="AB59" s="99" t="str">
        <f>'L. Indiv.'!H55</f>
        <v/>
      </c>
      <c r="AC59" s="34" t="str">
        <f t="shared" si="4"/>
        <v/>
      </c>
      <c r="AD59" s="34" t="str">
        <f t="shared" si="1"/>
        <v/>
      </c>
      <c r="AE59" s="73" t="str">
        <f t="shared" si="5"/>
        <v/>
      </c>
      <c r="AF59" s="33" t="str">
        <f t="shared" si="6"/>
        <v/>
      </c>
      <c r="AG59" s="34" t="str">
        <f t="shared" si="7"/>
        <v/>
      </c>
    </row>
    <row r="60" spans="2:33" x14ac:dyDescent="0.3">
      <c r="B60" s="34" t="str">
        <f>IF(NOT(ISBLANK(C60)),COUNTA($C$6:C60),"")</f>
        <v/>
      </c>
      <c r="C60" s="54"/>
      <c r="D60" s="46"/>
      <c r="E60" s="33"/>
      <c r="F60" s="33"/>
      <c r="G60" s="33"/>
      <c r="H60" s="33"/>
      <c r="I60" s="33"/>
      <c r="J60" s="33"/>
      <c r="K60" s="33"/>
      <c r="L60" s="33"/>
      <c r="M60" s="33"/>
      <c r="N60" s="33"/>
      <c r="O60" s="33"/>
      <c r="P60" s="33"/>
      <c r="Q60" s="33"/>
      <c r="R60" s="34" t="str">
        <f t="shared" si="2"/>
        <v/>
      </c>
      <c r="S60" s="34"/>
      <c r="T60"/>
      <c r="U60" s="34" t="str">
        <f>Examen!G56</f>
        <v/>
      </c>
      <c r="V60" s="34" t="str">
        <f>ReExaminare!G56</f>
        <v/>
      </c>
      <c r="W60" s="70" t="str">
        <f t="shared" si="3"/>
        <v/>
      </c>
      <c r="X60" s="70"/>
      <c r="AA60" s="34" t="str">
        <f>'Ev. Curentă'!I56</f>
        <v/>
      </c>
      <c r="AB60" s="99" t="str">
        <f>'L. Indiv.'!H56</f>
        <v/>
      </c>
      <c r="AC60" s="34" t="str">
        <f t="shared" si="4"/>
        <v/>
      </c>
      <c r="AD60" s="34" t="str">
        <f t="shared" si="1"/>
        <v/>
      </c>
      <c r="AE60" s="73" t="str">
        <f t="shared" si="5"/>
        <v/>
      </c>
      <c r="AF60" s="33" t="str">
        <f t="shared" si="6"/>
        <v/>
      </c>
      <c r="AG60" s="34" t="str">
        <f t="shared" si="7"/>
        <v/>
      </c>
    </row>
    <row r="61" spans="2:33" x14ac:dyDescent="0.3">
      <c r="B61" s="34" t="str">
        <f>IF(NOT(ISBLANK(C61)),COUNTA($C$6:C61),"")</f>
        <v/>
      </c>
      <c r="C61" s="54"/>
      <c r="D61" s="46"/>
      <c r="E61" s="33"/>
      <c r="F61" s="33"/>
      <c r="G61" s="33"/>
      <c r="H61" s="33"/>
      <c r="I61" s="33"/>
      <c r="J61" s="33"/>
      <c r="K61" s="33"/>
      <c r="L61" s="33"/>
      <c r="M61" s="33"/>
      <c r="N61" s="33"/>
      <c r="O61" s="33"/>
      <c r="P61" s="33"/>
      <c r="Q61" s="33"/>
      <c r="R61" s="34" t="str">
        <f t="shared" si="2"/>
        <v/>
      </c>
      <c r="S61" s="34"/>
      <c r="T61"/>
      <c r="U61" s="34" t="str">
        <f>Examen!G57</f>
        <v/>
      </c>
      <c r="V61" s="34" t="str">
        <f>ReExaminare!G57</f>
        <v/>
      </c>
      <c r="W61" s="70" t="str">
        <f t="shared" si="3"/>
        <v/>
      </c>
      <c r="X61" s="70"/>
      <c r="AA61" s="34" t="str">
        <f>'Ev. Curentă'!I57</f>
        <v/>
      </c>
      <c r="AB61" s="99" t="str">
        <f>'L. Indiv.'!H57</f>
        <v/>
      </c>
      <c r="AC61" s="34" t="str">
        <f t="shared" si="4"/>
        <v/>
      </c>
      <c r="AD61" s="34" t="str">
        <f t="shared" si="1"/>
        <v/>
      </c>
      <c r="AE61" s="73" t="str">
        <f t="shared" si="5"/>
        <v/>
      </c>
      <c r="AF61" s="33" t="str">
        <f t="shared" si="6"/>
        <v/>
      </c>
      <c r="AG61" s="34" t="str">
        <f t="shared" si="7"/>
        <v/>
      </c>
    </row>
    <row r="62" spans="2:33" x14ac:dyDescent="0.3">
      <c r="B62" s="34" t="str">
        <f>IF(NOT(ISBLANK(C62)),COUNTA($C$6:C62),"")</f>
        <v/>
      </c>
      <c r="C62" s="54"/>
      <c r="D62" s="46"/>
      <c r="E62" s="33"/>
      <c r="F62" s="33"/>
      <c r="G62" s="33"/>
      <c r="H62" s="33"/>
      <c r="I62" s="33"/>
      <c r="J62" s="33"/>
      <c r="K62" s="33"/>
      <c r="L62" s="33"/>
      <c r="M62" s="33"/>
      <c r="N62" s="33"/>
      <c r="O62" s="33"/>
      <c r="P62" s="33"/>
      <c r="Q62" s="33"/>
      <c r="R62" s="34" t="str">
        <f t="shared" si="2"/>
        <v/>
      </c>
      <c r="S62" s="34"/>
      <c r="T62"/>
      <c r="U62" s="34" t="str">
        <f>Examen!G58</f>
        <v/>
      </c>
      <c r="V62" s="34" t="str">
        <f>ReExaminare!G58</f>
        <v/>
      </c>
      <c r="W62" s="70" t="str">
        <f t="shared" si="3"/>
        <v/>
      </c>
      <c r="X62" s="70"/>
      <c r="AA62" s="34" t="str">
        <f>'Ev. Curentă'!I58</f>
        <v/>
      </c>
      <c r="AB62" s="99" t="str">
        <f>'L. Indiv.'!H58</f>
        <v/>
      </c>
      <c r="AC62" s="34" t="str">
        <f t="shared" si="4"/>
        <v/>
      </c>
      <c r="AD62" s="34" t="str">
        <f t="shared" si="1"/>
        <v/>
      </c>
      <c r="AE62" s="73" t="str">
        <f t="shared" si="5"/>
        <v/>
      </c>
      <c r="AF62" s="33" t="str">
        <f t="shared" si="6"/>
        <v/>
      </c>
      <c r="AG62" s="34" t="str">
        <f t="shared" si="7"/>
        <v/>
      </c>
    </row>
    <row r="63" spans="2:33" x14ac:dyDescent="0.3">
      <c r="B63" s="34" t="str">
        <f>IF(NOT(ISBLANK(C63)),COUNTA($C$6:C63),"")</f>
        <v/>
      </c>
      <c r="C63" s="54"/>
      <c r="D63" s="46"/>
      <c r="E63" s="33"/>
      <c r="F63" s="33"/>
      <c r="G63" s="33"/>
      <c r="H63" s="33"/>
      <c r="I63" s="33"/>
      <c r="J63" s="33"/>
      <c r="K63" s="33"/>
      <c r="L63" s="33"/>
      <c r="M63" s="33"/>
      <c r="N63" s="33"/>
      <c r="O63" s="33"/>
      <c r="P63" s="33"/>
      <c r="Q63" s="33"/>
      <c r="R63" s="34" t="str">
        <f t="shared" si="2"/>
        <v/>
      </c>
      <c r="S63" s="34"/>
      <c r="T63"/>
      <c r="U63" s="34" t="str">
        <f>Examen!G59</f>
        <v/>
      </c>
      <c r="V63" s="34" t="str">
        <f>ReExaminare!G59</f>
        <v/>
      </c>
      <c r="W63" s="70" t="str">
        <f t="shared" si="3"/>
        <v/>
      </c>
      <c r="X63" s="70"/>
      <c r="AA63" s="34" t="str">
        <f>'Ev. Curentă'!I59</f>
        <v/>
      </c>
      <c r="AB63" s="99" t="str">
        <f>'L. Indiv.'!H59</f>
        <v/>
      </c>
      <c r="AC63" s="34" t="str">
        <f t="shared" si="4"/>
        <v/>
      </c>
      <c r="AD63" s="34" t="str">
        <f t="shared" si="1"/>
        <v/>
      </c>
      <c r="AE63" s="73" t="str">
        <f t="shared" si="5"/>
        <v/>
      </c>
      <c r="AF63" s="33" t="str">
        <f t="shared" si="6"/>
        <v/>
      </c>
      <c r="AG63" s="34" t="str">
        <f t="shared" si="7"/>
        <v/>
      </c>
    </row>
    <row r="64" spans="2:33" x14ac:dyDescent="0.3">
      <c r="B64" s="34" t="str">
        <f>IF(NOT(ISBLANK(C64)),COUNTA($C$6:C64),"")</f>
        <v/>
      </c>
      <c r="C64" s="54"/>
      <c r="D64" s="46"/>
      <c r="E64" s="33"/>
      <c r="F64" s="33"/>
      <c r="G64" s="33"/>
      <c r="H64" s="33"/>
      <c r="I64" s="33"/>
      <c r="J64" s="33"/>
      <c r="K64" s="33"/>
      <c r="L64" s="33"/>
      <c r="M64" s="33"/>
      <c r="N64" s="33"/>
      <c r="O64" s="33"/>
      <c r="P64" s="33"/>
      <c r="Q64" s="33"/>
      <c r="R64" s="34" t="str">
        <f t="shared" si="2"/>
        <v/>
      </c>
      <c r="S64" s="34"/>
      <c r="T64"/>
      <c r="U64" s="34" t="str">
        <f>Examen!G60</f>
        <v/>
      </c>
      <c r="V64" s="34" t="str">
        <f>ReExaminare!G60</f>
        <v/>
      </c>
      <c r="W64" s="70" t="str">
        <f t="shared" si="3"/>
        <v/>
      </c>
      <c r="X64" s="70"/>
      <c r="AA64" s="34" t="str">
        <f>'Ev. Curentă'!I60</f>
        <v/>
      </c>
      <c r="AB64" s="99" t="str">
        <f>'L. Indiv.'!H60</f>
        <v/>
      </c>
      <c r="AC64" s="34" t="str">
        <f t="shared" si="4"/>
        <v/>
      </c>
      <c r="AD64" s="34" t="str">
        <f t="shared" si="1"/>
        <v/>
      </c>
      <c r="AE64" s="73" t="str">
        <f t="shared" si="5"/>
        <v/>
      </c>
      <c r="AF64" s="33" t="str">
        <f t="shared" si="6"/>
        <v/>
      </c>
      <c r="AG64" s="34" t="str">
        <f t="shared" si="7"/>
        <v/>
      </c>
    </row>
    <row r="65" spans="2:33" x14ac:dyDescent="0.3">
      <c r="B65" s="34" t="str">
        <f>IF(NOT(ISBLANK(C65)),COUNTA($C$6:C65),"")</f>
        <v/>
      </c>
      <c r="C65" s="54"/>
      <c r="D65" s="46"/>
      <c r="E65" s="33"/>
      <c r="F65" s="33"/>
      <c r="G65" s="33"/>
      <c r="H65" s="33"/>
      <c r="I65" s="33"/>
      <c r="J65" s="33"/>
      <c r="K65" s="33"/>
      <c r="L65" s="33"/>
      <c r="M65" s="33"/>
      <c r="N65" s="33"/>
      <c r="O65" s="33"/>
      <c r="P65" s="33"/>
      <c r="Q65" s="33"/>
      <c r="R65" s="34" t="str">
        <f t="shared" si="2"/>
        <v/>
      </c>
      <c r="S65" s="34"/>
      <c r="T65"/>
      <c r="U65" s="34" t="str">
        <f>Examen!G61</f>
        <v/>
      </c>
      <c r="V65" s="34" t="str">
        <f>ReExaminare!G61</f>
        <v/>
      </c>
      <c r="W65" s="70" t="str">
        <f t="shared" si="3"/>
        <v/>
      </c>
      <c r="X65" s="70"/>
      <c r="AA65" s="34" t="str">
        <f>'Ev. Curentă'!I61</f>
        <v/>
      </c>
      <c r="AB65" s="99" t="str">
        <f>'L. Indiv.'!H61</f>
        <v/>
      </c>
      <c r="AC65" s="34" t="str">
        <f t="shared" si="4"/>
        <v/>
      </c>
      <c r="AD65" s="34" t="str">
        <f t="shared" si="1"/>
        <v/>
      </c>
      <c r="AE65" s="73" t="str">
        <f t="shared" si="5"/>
        <v/>
      </c>
      <c r="AF65" s="33" t="str">
        <f t="shared" si="6"/>
        <v/>
      </c>
      <c r="AG65" s="34" t="str">
        <f t="shared" si="7"/>
        <v/>
      </c>
    </row>
    <row r="66" spans="2:33" x14ac:dyDescent="0.3">
      <c r="B66" s="34" t="str">
        <f>IF(NOT(ISBLANK(C66)),COUNTA($C$6:C66),"")</f>
        <v/>
      </c>
      <c r="C66" s="54"/>
      <c r="D66" s="46"/>
      <c r="E66" s="33"/>
      <c r="F66" s="33"/>
      <c r="G66" s="33"/>
      <c r="H66" s="33"/>
      <c r="I66" s="33"/>
      <c r="J66" s="33"/>
      <c r="K66" s="33"/>
      <c r="L66" s="33"/>
      <c r="M66" s="33"/>
      <c r="N66" s="33"/>
      <c r="O66" s="33"/>
      <c r="P66" s="33"/>
      <c r="Q66" s="33"/>
      <c r="R66" s="34" t="str">
        <f t="shared" si="2"/>
        <v/>
      </c>
      <c r="S66" s="34"/>
      <c r="T66"/>
      <c r="U66" s="34" t="str">
        <f>Examen!G62</f>
        <v/>
      </c>
      <c r="V66" s="34" t="str">
        <f>ReExaminare!G62</f>
        <v/>
      </c>
      <c r="W66" s="70" t="str">
        <f t="shared" si="3"/>
        <v/>
      </c>
      <c r="X66" s="70"/>
      <c r="AA66" s="34" t="str">
        <f>'Ev. Curentă'!I62</f>
        <v/>
      </c>
      <c r="AB66" s="99" t="str">
        <f>'L. Indiv.'!H62</f>
        <v/>
      </c>
      <c r="AC66" s="34" t="str">
        <f t="shared" si="4"/>
        <v/>
      </c>
      <c r="AD66" s="34" t="str">
        <f t="shared" si="1"/>
        <v/>
      </c>
      <c r="AE66" s="73" t="str">
        <f t="shared" si="5"/>
        <v/>
      </c>
      <c r="AF66" s="33" t="str">
        <f t="shared" si="6"/>
        <v/>
      </c>
      <c r="AG66" s="34" t="str">
        <f t="shared" si="7"/>
        <v/>
      </c>
    </row>
    <row r="67" spans="2:33" x14ac:dyDescent="0.3">
      <c r="B67" s="34" t="str">
        <f>IF(NOT(ISBLANK(C67)),COUNTA($C$6:C67),"")</f>
        <v/>
      </c>
      <c r="C67" s="54"/>
      <c r="D67" s="46"/>
      <c r="E67" s="33"/>
      <c r="F67" s="33"/>
      <c r="G67" s="33"/>
      <c r="H67" s="33"/>
      <c r="I67" s="33"/>
      <c r="J67" s="33"/>
      <c r="K67" s="33"/>
      <c r="L67" s="33"/>
      <c r="M67" s="33"/>
      <c r="N67" s="33"/>
      <c r="O67" s="33"/>
      <c r="P67" s="33"/>
      <c r="Q67" s="33"/>
      <c r="R67" s="34" t="str">
        <f t="shared" si="2"/>
        <v/>
      </c>
      <c r="S67" s="34"/>
      <c r="T67"/>
      <c r="U67" s="34" t="str">
        <f>Examen!G63</f>
        <v/>
      </c>
      <c r="V67" s="34" t="str">
        <f>ReExaminare!G63</f>
        <v/>
      </c>
      <c r="W67" s="70" t="str">
        <f t="shared" si="3"/>
        <v/>
      </c>
      <c r="X67" s="70"/>
      <c r="AA67" s="34" t="str">
        <f>'Ev. Curentă'!I63</f>
        <v/>
      </c>
      <c r="AB67" s="99" t="str">
        <f>'L. Indiv.'!H63</f>
        <v/>
      </c>
      <c r="AC67" s="34" t="str">
        <f t="shared" si="4"/>
        <v/>
      </c>
      <c r="AD67" s="34" t="str">
        <f t="shared" si="1"/>
        <v/>
      </c>
      <c r="AE67" s="73" t="str">
        <f t="shared" si="5"/>
        <v/>
      </c>
      <c r="AF67" s="33" t="str">
        <f t="shared" si="6"/>
        <v/>
      </c>
      <c r="AG67" s="34" t="str">
        <f t="shared" si="7"/>
        <v/>
      </c>
    </row>
    <row r="68" spans="2:33" x14ac:dyDescent="0.3">
      <c r="B68" s="34" t="str">
        <f>IF(NOT(ISBLANK(C68)),COUNTA($C$6:C68),"")</f>
        <v/>
      </c>
      <c r="C68" s="54"/>
      <c r="D68" s="46"/>
      <c r="E68" s="33"/>
      <c r="F68" s="33"/>
      <c r="G68" s="33"/>
      <c r="H68" s="33"/>
      <c r="I68" s="33"/>
      <c r="J68" s="33"/>
      <c r="K68" s="33"/>
      <c r="L68" s="33"/>
      <c r="M68" s="33"/>
      <c r="N68" s="33"/>
      <c r="O68" s="33"/>
      <c r="P68" s="33"/>
      <c r="Q68" s="33"/>
      <c r="R68" s="34" t="str">
        <f t="shared" si="2"/>
        <v/>
      </c>
      <c r="S68" s="34"/>
      <c r="T68"/>
      <c r="U68" s="34" t="str">
        <f>Examen!G64</f>
        <v/>
      </c>
      <c r="V68" s="34" t="str">
        <f>ReExaminare!G64</f>
        <v/>
      </c>
      <c r="W68" s="70" t="str">
        <f t="shared" si="3"/>
        <v/>
      </c>
      <c r="X68" s="70"/>
      <c r="AA68" s="34" t="str">
        <f>'Ev. Curentă'!I64</f>
        <v/>
      </c>
      <c r="AB68" s="99" t="str">
        <f>'L. Indiv.'!H64</f>
        <v/>
      </c>
      <c r="AC68" s="34" t="str">
        <f t="shared" si="4"/>
        <v/>
      </c>
      <c r="AD68" s="34" t="str">
        <f t="shared" si="1"/>
        <v/>
      </c>
      <c r="AE68" s="73" t="str">
        <f t="shared" si="5"/>
        <v/>
      </c>
      <c r="AF68" s="33" t="str">
        <f t="shared" si="6"/>
        <v/>
      </c>
      <c r="AG68" s="34" t="str">
        <f t="shared" si="7"/>
        <v/>
      </c>
    </row>
    <row r="69" spans="2:33" x14ac:dyDescent="0.3">
      <c r="B69" s="34" t="str">
        <f>IF(NOT(ISBLANK(C69)),COUNTA($C$6:C69),"")</f>
        <v/>
      </c>
      <c r="C69" s="54"/>
      <c r="D69" s="46"/>
      <c r="E69" s="33"/>
      <c r="F69" s="33"/>
      <c r="G69" s="33"/>
      <c r="H69" s="33"/>
      <c r="I69" s="33"/>
      <c r="J69" s="33"/>
      <c r="K69" s="33"/>
      <c r="L69" s="33"/>
      <c r="M69" s="33"/>
      <c r="N69" s="33"/>
      <c r="O69" s="33"/>
      <c r="P69" s="33"/>
      <c r="Q69" s="33"/>
      <c r="R69" s="34" t="str">
        <f t="shared" si="2"/>
        <v/>
      </c>
      <c r="S69" s="34"/>
      <c r="T69"/>
      <c r="U69" s="34" t="str">
        <f>Examen!G65</f>
        <v/>
      </c>
      <c r="V69" s="34" t="str">
        <f>ReExaminare!G65</f>
        <v/>
      </c>
      <c r="W69" s="70" t="str">
        <f t="shared" si="3"/>
        <v/>
      </c>
      <c r="X69" s="70"/>
      <c r="AA69" s="34" t="str">
        <f>'Ev. Curentă'!I65</f>
        <v/>
      </c>
      <c r="AB69" s="99" t="str">
        <f>'L. Indiv.'!H65</f>
        <v/>
      </c>
      <c r="AC69" s="34" t="str">
        <f t="shared" si="4"/>
        <v/>
      </c>
      <c r="AD69" s="34" t="str">
        <f t="shared" si="1"/>
        <v/>
      </c>
      <c r="AE69" s="73" t="str">
        <f t="shared" si="5"/>
        <v/>
      </c>
      <c r="AF69" s="33" t="str">
        <f t="shared" si="6"/>
        <v/>
      </c>
      <c r="AG69" s="34" t="str">
        <f t="shared" si="7"/>
        <v/>
      </c>
    </row>
    <row r="70" spans="2:33" x14ac:dyDescent="0.3">
      <c r="B70" s="34" t="str">
        <f>IF(NOT(ISBLANK(C70)),COUNTA($C$6:C70),"")</f>
        <v/>
      </c>
      <c r="C70" s="54"/>
      <c r="D70" s="46"/>
      <c r="E70" s="33"/>
      <c r="F70" s="33"/>
      <c r="G70" s="33"/>
      <c r="H70" s="33"/>
      <c r="I70" s="33"/>
      <c r="J70" s="33"/>
      <c r="K70" s="33"/>
      <c r="L70" s="33"/>
      <c r="M70" s="33"/>
      <c r="N70" s="33"/>
      <c r="O70" s="33"/>
      <c r="P70" s="33"/>
      <c r="Q70" s="33"/>
      <c r="R70" s="34" t="str">
        <f t="shared" si="2"/>
        <v/>
      </c>
      <c r="S70" s="34"/>
      <c r="T70"/>
      <c r="U70" s="34" t="str">
        <f>Examen!G66</f>
        <v/>
      </c>
      <c r="V70" s="34" t="str">
        <f>ReExaminare!G66</f>
        <v/>
      </c>
      <c r="W70" s="70" t="str">
        <f t="shared" si="3"/>
        <v/>
      </c>
      <c r="X70" s="70"/>
      <c r="AA70" s="34" t="str">
        <f>'Ev. Curentă'!I66</f>
        <v/>
      </c>
      <c r="AB70" s="99" t="str">
        <f>'L. Indiv.'!H66</f>
        <v/>
      </c>
      <c r="AC70" s="34" t="str">
        <f t="shared" si="4"/>
        <v/>
      </c>
      <c r="AD70" s="34" t="str">
        <f t="shared" si="1"/>
        <v/>
      </c>
      <c r="AE70" s="73" t="str">
        <f t="shared" si="5"/>
        <v/>
      </c>
      <c r="AF70" s="33" t="str">
        <f t="shared" si="6"/>
        <v/>
      </c>
      <c r="AG70" s="34" t="str">
        <f t="shared" si="7"/>
        <v/>
      </c>
    </row>
    <row r="71" spans="2:33" x14ac:dyDescent="0.3">
      <c r="B71" s="34" t="str">
        <f>IF(NOT(ISBLANK(C71)),COUNTA($C$6:C71),"")</f>
        <v/>
      </c>
      <c r="C71" s="54"/>
      <c r="D71" s="46"/>
      <c r="E71" s="33"/>
      <c r="F71" s="33"/>
      <c r="G71" s="33"/>
      <c r="H71" s="33"/>
      <c r="I71" s="33"/>
      <c r="J71" s="33"/>
      <c r="K71" s="33"/>
      <c r="L71" s="33"/>
      <c r="M71" s="33"/>
      <c r="N71" s="33"/>
      <c r="O71" s="33"/>
      <c r="P71" s="33"/>
      <c r="Q71" s="33"/>
      <c r="R71" s="34" t="str">
        <f t="shared" ref="R71:R105" si="8">IF(NOT(ISBLANK(C71)),IF(COUNTIF(E71:Q71,"a")&lt;&gt;0,COUNTIF(E71:Q71,"a")*2,""),"")</f>
        <v/>
      </c>
      <c r="S71" s="34"/>
      <c r="T71"/>
      <c r="U71" s="34" t="str">
        <f>Examen!G67</f>
        <v/>
      </c>
      <c r="V71" s="34" t="str">
        <f>ReExaminare!G67</f>
        <v/>
      </c>
      <c r="W71" s="70" t="str">
        <f t="shared" ref="W71:W105" si="9">IF(NOT(ISBLANK(B71)),
IF(SUM(E71:Q71)&lt;&gt;0,SUM(E71:Q71),""),
"")</f>
        <v/>
      </c>
      <c r="X71" s="70"/>
      <c r="AA71" s="34" t="str">
        <f>'Ev. Curentă'!I67</f>
        <v/>
      </c>
      <c r="AB71" s="99" t="str">
        <f>'L. Indiv.'!H67</f>
        <v/>
      </c>
      <c r="AC71" s="34" t="str">
        <f t="shared" ref="AC71:AC105" si="10">IF(NOT(ISBLANK(C71)),
IF(OR(AA71="n/p",AB71="n/p",AA71&lt;5,AB71&lt;5)," ",TRUNC(SUM(AA71:AB71)/2,2)),
"")</f>
        <v/>
      </c>
      <c r="AD71" s="34" t="str">
        <f t="shared" ref="AD71:AD105" si="11">IF(NOT(ISBLANK(C71)),
IF(AC71=" ","n/a",
IF(Z71,Z71,
IF(COUNT(MAX(AVERAGE(U71:V71),0)),MAX(U71:V71),"n/p"))),
"")</f>
        <v/>
      </c>
      <c r="AE71" s="73" t="str">
        <f t="shared" ref="AE71:AE105" si="12">IF(NOT(ISBLANK(C71)),
IF(OR(AD71="n/a",AD71="n/p")," ",
IF(AD71&lt;5,AD71,TRUNC(AC71*0.5+AD71*0.5,2))),
"")</f>
        <v/>
      </c>
      <c r="AF71" s="33" t="str">
        <f t="shared" ref="AF71:AF105" si="13">IF(NOT(ISBLANK(C71)),
IF(AE71=" "," ",
IF(AND(AE71&gt;=1,AE71&lt;2),"(unu, "&amp;ROUNDUP(MOD(AE71*100,100),0)&amp;")",
IF(AND(AE71&gt;=2,AE71&lt;3),"(doi, "&amp;ROUNDUP(MOD(AE71*100,100),0)&amp;")",
IF(AND(AE71&gt;=3,AE71&lt;4),"(trei, "&amp;ROUNDUP(MOD(AE71*100,100),0)&amp;")",
IF(AND(AE71&gt;=4,AE71&lt;5),"(patru, "&amp;ROUNDUP(MOD(AE71*100,100),0)&amp;")",
IF(AND(AE71&gt;=5,AE71&lt;6),"(cinci, "&amp;ROUNDUP(MOD(AE71*100,100),0)&amp;")",
IF(AND(AE71&gt;=6,AE71&lt;7),"(şase, "&amp;ROUNDUP(MOD(AE71*100,100),0)&amp;")",
IF(AND(AE71&gt;=7,AE71&lt;8),"(şapte, "&amp;ROUNDUP(MOD(AE71*100,100),0)&amp;")",
IF(AND(AE71&gt;=8,AE71&lt;9),"(opt, "&amp;ROUNDUP(MOD(AE71*100,100),0)&amp;")",
IF(AND(AE71&gt;=9,AE71&lt;10),"(nouă, "&amp;ROUNDUP(MOD(AE71*100,100),0)&amp;")",
IF(AE71=10,"(zece, 00)",
))))))))))),"")</f>
        <v/>
      </c>
      <c r="AG71" s="34" t="str">
        <f t="shared" ref="AG71:AG105" si="14">IF(NOT(ISBLANK(C71)),
IF(AE71=" ","  ",
IF(AND(AE71&gt;=1,AE71&lt;=3),"F",
IF(AND(AE71&gt;3,AE71&lt;5),"FX",
IF(AND(AE71&gt;=5,AE71&lt;=6),"E",
IF(AND(AE71&gt;6,AE71&lt;=7),"D",
IF(AND(AE71&gt;7,AE71&lt;=8),"C",
IF(AND(AE71&gt;8,AE71&lt;=9),"B",
IF(AND(AE71&gt;9,AE71&lt;=10),"A",
)))))))),"")</f>
        <v/>
      </c>
    </row>
    <row r="72" spans="2:33" x14ac:dyDescent="0.3">
      <c r="B72" s="34" t="str">
        <f>IF(NOT(ISBLANK(C72)),COUNTA($C$6:C72),"")</f>
        <v/>
      </c>
      <c r="C72" s="54"/>
      <c r="D72" s="46"/>
      <c r="E72" s="33"/>
      <c r="F72" s="33"/>
      <c r="G72" s="33"/>
      <c r="H72" s="33"/>
      <c r="I72" s="33"/>
      <c r="J72" s="33"/>
      <c r="K72" s="33"/>
      <c r="L72" s="33"/>
      <c r="M72" s="33"/>
      <c r="N72" s="33"/>
      <c r="O72" s="33"/>
      <c r="P72" s="33"/>
      <c r="Q72" s="33"/>
      <c r="R72" s="34" t="str">
        <f t="shared" si="8"/>
        <v/>
      </c>
      <c r="S72" s="34"/>
      <c r="T72"/>
      <c r="U72" s="34" t="str">
        <f>Examen!G68</f>
        <v/>
      </c>
      <c r="V72" s="34" t="str">
        <f>ReExaminare!G68</f>
        <v/>
      </c>
      <c r="W72" s="70" t="str">
        <f t="shared" si="9"/>
        <v/>
      </c>
      <c r="X72" s="70"/>
      <c r="AA72" s="34" t="str">
        <f>'Ev. Curentă'!I68</f>
        <v/>
      </c>
      <c r="AB72" s="99" t="str">
        <f>'L. Indiv.'!H68</f>
        <v/>
      </c>
      <c r="AC72" s="34" t="str">
        <f t="shared" si="10"/>
        <v/>
      </c>
      <c r="AD72" s="34" t="str">
        <f t="shared" si="11"/>
        <v/>
      </c>
      <c r="AE72" s="73" t="str">
        <f t="shared" si="12"/>
        <v/>
      </c>
      <c r="AF72" s="33" t="str">
        <f t="shared" si="13"/>
        <v/>
      </c>
      <c r="AG72" s="34" t="str">
        <f t="shared" si="14"/>
        <v/>
      </c>
    </row>
    <row r="73" spans="2:33" x14ac:dyDescent="0.3">
      <c r="B73" s="34" t="str">
        <f>IF(NOT(ISBLANK(C73)),COUNTA($C$6:C73),"")</f>
        <v/>
      </c>
      <c r="C73" s="54"/>
      <c r="D73" s="46"/>
      <c r="E73" s="33"/>
      <c r="F73" s="33"/>
      <c r="G73" s="33"/>
      <c r="H73" s="33"/>
      <c r="I73" s="33"/>
      <c r="J73" s="33"/>
      <c r="K73" s="33"/>
      <c r="L73" s="33"/>
      <c r="M73" s="33"/>
      <c r="N73" s="33"/>
      <c r="O73" s="33"/>
      <c r="P73" s="33"/>
      <c r="Q73" s="33"/>
      <c r="R73" s="34" t="str">
        <f t="shared" si="8"/>
        <v/>
      </c>
      <c r="S73" s="34"/>
      <c r="T73"/>
      <c r="U73" s="34" t="str">
        <f>Examen!G69</f>
        <v/>
      </c>
      <c r="V73" s="34" t="str">
        <f>ReExaminare!G69</f>
        <v/>
      </c>
      <c r="W73" s="70" t="str">
        <f t="shared" si="9"/>
        <v/>
      </c>
      <c r="X73" s="70"/>
      <c r="AA73" s="34" t="str">
        <f>'Ev. Curentă'!I69</f>
        <v/>
      </c>
      <c r="AB73" s="99" t="str">
        <f>'L. Indiv.'!H69</f>
        <v/>
      </c>
      <c r="AC73" s="34" t="str">
        <f t="shared" si="10"/>
        <v/>
      </c>
      <c r="AD73" s="34" t="str">
        <f t="shared" si="11"/>
        <v/>
      </c>
      <c r="AE73" s="73" t="str">
        <f t="shared" si="12"/>
        <v/>
      </c>
      <c r="AF73" s="33" t="str">
        <f t="shared" si="13"/>
        <v/>
      </c>
      <c r="AG73" s="34" t="str">
        <f t="shared" si="14"/>
        <v/>
      </c>
    </row>
    <row r="74" spans="2:33" x14ac:dyDescent="0.3">
      <c r="B74" s="34" t="str">
        <f>IF(NOT(ISBLANK(C74)),COUNTA($C$6:C74),"")</f>
        <v/>
      </c>
      <c r="C74" s="54"/>
      <c r="D74" s="46"/>
      <c r="E74" s="33"/>
      <c r="F74" s="33"/>
      <c r="G74" s="33"/>
      <c r="H74" s="33"/>
      <c r="I74" s="33"/>
      <c r="J74" s="33"/>
      <c r="K74" s="33"/>
      <c r="L74" s="33"/>
      <c r="M74" s="33"/>
      <c r="N74" s="33"/>
      <c r="O74" s="33"/>
      <c r="P74" s="33"/>
      <c r="Q74" s="33"/>
      <c r="R74" s="34" t="str">
        <f t="shared" si="8"/>
        <v/>
      </c>
      <c r="S74" s="34"/>
      <c r="T74"/>
      <c r="U74" s="34" t="str">
        <f>Examen!G70</f>
        <v/>
      </c>
      <c r="V74" s="34" t="str">
        <f>ReExaminare!G70</f>
        <v/>
      </c>
      <c r="W74" s="70" t="str">
        <f t="shared" si="9"/>
        <v/>
      </c>
      <c r="X74" s="70"/>
      <c r="AA74" s="34" t="str">
        <f>'Ev. Curentă'!I70</f>
        <v/>
      </c>
      <c r="AB74" s="99" t="str">
        <f>'L. Indiv.'!H70</f>
        <v/>
      </c>
      <c r="AC74" s="34" t="str">
        <f t="shared" si="10"/>
        <v/>
      </c>
      <c r="AD74" s="34" t="str">
        <f t="shared" si="11"/>
        <v/>
      </c>
      <c r="AE74" s="73" t="str">
        <f t="shared" si="12"/>
        <v/>
      </c>
      <c r="AF74" s="33" t="str">
        <f t="shared" si="13"/>
        <v/>
      </c>
      <c r="AG74" s="34" t="str">
        <f t="shared" si="14"/>
        <v/>
      </c>
    </row>
    <row r="75" spans="2:33" x14ac:dyDescent="0.3">
      <c r="B75" s="34" t="str">
        <f>IF(NOT(ISBLANK(C75)),COUNTA($C$6:C75),"")</f>
        <v/>
      </c>
      <c r="C75" s="54"/>
      <c r="D75" s="46"/>
      <c r="E75" s="33"/>
      <c r="F75" s="33"/>
      <c r="G75" s="33"/>
      <c r="H75" s="33"/>
      <c r="I75" s="33"/>
      <c r="J75" s="33"/>
      <c r="K75" s="33"/>
      <c r="L75" s="33"/>
      <c r="M75" s="33"/>
      <c r="N75" s="33"/>
      <c r="O75" s="33"/>
      <c r="P75" s="33"/>
      <c r="Q75" s="33"/>
      <c r="R75" s="34" t="str">
        <f t="shared" si="8"/>
        <v/>
      </c>
      <c r="S75" s="34"/>
      <c r="T75"/>
      <c r="U75" s="34" t="str">
        <f>Examen!G71</f>
        <v/>
      </c>
      <c r="V75" s="34" t="str">
        <f>ReExaminare!G71</f>
        <v/>
      </c>
      <c r="W75" s="70" t="str">
        <f t="shared" si="9"/>
        <v/>
      </c>
      <c r="X75" s="70"/>
      <c r="AA75" s="34" t="str">
        <f>'Ev. Curentă'!I71</f>
        <v/>
      </c>
      <c r="AB75" s="99" t="str">
        <f>'L. Indiv.'!H71</f>
        <v/>
      </c>
      <c r="AC75" s="34" t="str">
        <f t="shared" si="10"/>
        <v/>
      </c>
      <c r="AD75" s="34" t="str">
        <f t="shared" si="11"/>
        <v/>
      </c>
      <c r="AE75" s="73" t="str">
        <f t="shared" si="12"/>
        <v/>
      </c>
      <c r="AF75" s="33" t="str">
        <f t="shared" si="13"/>
        <v/>
      </c>
      <c r="AG75" s="34" t="str">
        <f t="shared" si="14"/>
        <v/>
      </c>
    </row>
    <row r="76" spans="2:33" x14ac:dyDescent="0.3">
      <c r="B76" s="34" t="str">
        <f>IF(NOT(ISBLANK(C76)),COUNTA($C$6:C76),"")</f>
        <v/>
      </c>
      <c r="C76" s="54"/>
      <c r="D76" s="46"/>
      <c r="E76" s="33"/>
      <c r="F76" s="33"/>
      <c r="G76" s="33"/>
      <c r="H76" s="33"/>
      <c r="I76" s="33"/>
      <c r="J76" s="33"/>
      <c r="K76" s="33"/>
      <c r="L76" s="33"/>
      <c r="M76" s="33"/>
      <c r="N76" s="33"/>
      <c r="O76" s="33"/>
      <c r="P76" s="33"/>
      <c r="Q76" s="33"/>
      <c r="R76" s="34" t="str">
        <f t="shared" si="8"/>
        <v/>
      </c>
      <c r="S76" s="34"/>
      <c r="T76"/>
      <c r="U76" s="34" t="str">
        <f>Examen!G72</f>
        <v/>
      </c>
      <c r="V76" s="34" t="str">
        <f>ReExaminare!G72</f>
        <v/>
      </c>
      <c r="W76" s="70" t="str">
        <f t="shared" si="9"/>
        <v/>
      </c>
      <c r="X76" s="70"/>
      <c r="AA76" s="34" t="str">
        <f>'Ev. Curentă'!I72</f>
        <v/>
      </c>
      <c r="AB76" s="99" t="str">
        <f>'L. Indiv.'!H72</f>
        <v/>
      </c>
      <c r="AC76" s="34" t="str">
        <f t="shared" si="10"/>
        <v/>
      </c>
      <c r="AD76" s="34" t="str">
        <f t="shared" si="11"/>
        <v/>
      </c>
      <c r="AE76" s="73" t="str">
        <f t="shared" si="12"/>
        <v/>
      </c>
      <c r="AF76" s="33" t="str">
        <f t="shared" si="13"/>
        <v/>
      </c>
      <c r="AG76" s="34" t="str">
        <f t="shared" si="14"/>
        <v/>
      </c>
    </row>
    <row r="77" spans="2:33" x14ac:dyDescent="0.3">
      <c r="B77" s="34" t="str">
        <f>IF(NOT(ISBLANK(C77)),COUNTA($C$6:C77),"")</f>
        <v/>
      </c>
      <c r="C77" s="54"/>
      <c r="D77" s="46"/>
      <c r="E77" s="33"/>
      <c r="F77" s="33"/>
      <c r="G77" s="33"/>
      <c r="H77" s="33"/>
      <c r="I77" s="33"/>
      <c r="J77" s="33"/>
      <c r="K77" s="33"/>
      <c r="L77" s="33"/>
      <c r="M77" s="33"/>
      <c r="N77" s="33"/>
      <c r="O77" s="33"/>
      <c r="P77" s="33"/>
      <c r="Q77" s="33"/>
      <c r="R77" s="34" t="str">
        <f t="shared" si="8"/>
        <v/>
      </c>
      <c r="S77" s="34"/>
      <c r="T77"/>
      <c r="U77" s="34" t="str">
        <f>Examen!G73</f>
        <v/>
      </c>
      <c r="V77" s="34" t="str">
        <f>ReExaminare!G73</f>
        <v/>
      </c>
      <c r="W77" s="70" t="str">
        <f t="shared" si="9"/>
        <v/>
      </c>
      <c r="X77" s="70"/>
      <c r="AA77" s="34" t="str">
        <f>'Ev. Curentă'!I73</f>
        <v/>
      </c>
      <c r="AB77" s="99" t="str">
        <f>'L. Indiv.'!H73</f>
        <v/>
      </c>
      <c r="AC77" s="34" t="str">
        <f t="shared" si="10"/>
        <v/>
      </c>
      <c r="AD77" s="34" t="str">
        <f t="shared" si="11"/>
        <v/>
      </c>
      <c r="AE77" s="73" t="str">
        <f t="shared" si="12"/>
        <v/>
      </c>
      <c r="AF77" s="33" t="str">
        <f t="shared" si="13"/>
        <v/>
      </c>
      <c r="AG77" s="34" t="str">
        <f t="shared" si="14"/>
        <v/>
      </c>
    </row>
    <row r="78" spans="2:33" x14ac:dyDescent="0.3">
      <c r="B78" s="34" t="str">
        <f>IF(NOT(ISBLANK(C78)),COUNTA($C$6:C78),"")</f>
        <v/>
      </c>
      <c r="C78" s="54"/>
      <c r="D78" s="46"/>
      <c r="E78" s="33"/>
      <c r="F78" s="33"/>
      <c r="G78" s="33"/>
      <c r="H78" s="33"/>
      <c r="I78" s="33"/>
      <c r="J78" s="33"/>
      <c r="K78" s="33"/>
      <c r="L78" s="33"/>
      <c r="M78" s="33"/>
      <c r="N78" s="33"/>
      <c r="O78" s="33"/>
      <c r="P78" s="33"/>
      <c r="Q78" s="33"/>
      <c r="R78" s="34" t="str">
        <f t="shared" si="8"/>
        <v/>
      </c>
      <c r="S78" s="34"/>
      <c r="T78"/>
      <c r="U78" s="34" t="str">
        <f>Examen!G74</f>
        <v/>
      </c>
      <c r="V78" s="34" t="str">
        <f>ReExaminare!G74</f>
        <v/>
      </c>
      <c r="W78" s="70" t="str">
        <f t="shared" si="9"/>
        <v/>
      </c>
      <c r="X78" s="70"/>
      <c r="AA78" s="34" t="str">
        <f>'Ev. Curentă'!I74</f>
        <v/>
      </c>
      <c r="AB78" s="99" t="str">
        <f>'L. Indiv.'!H74</f>
        <v/>
      </c>
      <c r="AC78" s="34" t="str">
        <f t="shared" si="10"/>
        <v/>
      </c>
      <c r="AD78" s="34" t="str">
        <f t="shared" si="11"/>
        <v/>
      </c>
      <c r="AE78" s="73" t="str">
        <f t="shared" si="12"/>
        <v/>
      </c>
      <c r="AF78" s="33" t="str">
        <f t="shared" si="13"/>
        <v/>
      </c>
      <c r="AG78" s="34" t="str">
        <f t="shared" si="14"/>
        <v/>
      </c>
    </row>
    <row r="79" spans="2:33" x14ac:dyDescent="0.3">
      <c r="B79" s="34" t="str">
        <f>IF(NOT(ISBLANK(C79)),COUNTA($C$6:C79),"")</f>
        <v/>
      </c>
      <c r="C79" s="54"/>
      <c r="D79" s="46"/>
      <c r="E79" s="33"/>
      <c r="F79" s="33"/>
      <c r="G79" s="33"/>
      <c r="H79" s="33"/>
      <c r="I79" s="33"/>
      <c r="J79" s="33"/>
      <c r="K79" s="33"/>
      <c r="L79" s="33"/>
      <c r="M79" s="33"/>
      <c r="N79" s="33"/>
      <c r="O79" s="33"/>
      <c r="P79" s="33"/>
      <c r="Q79" s="33"/>
      <c r="R79" s="34" t="str">
        <f t="shared" si="8"/>
        <v/>
      </c>
      <c r="S79" s="34"/>
      <c r="T79"/>
      <c r="U79" s="34" t="str">
        <f>Examen!G75</f>
        <v/>
      </c>
      <c r="V79" s="34" t="str">
        <f>ReExaminare!G75</f>
        <v/>
      </c>
      <c r="W79" s="70" t="str">
        <f t="shared" si="9"/>
        <v/>
      </c>
      <c r="X79" s="70"/>
      <c r="AA79" s="34" t="str">
        <f>'Ev. Curentă'!I75</f>
        <v/>
      </c>
      <c r="AB79" s="99" t="str">
        <f>'L. Indiv.'!H75</f>
        <v/>
      </c>
      <c r="AC79" s="34" t="str">
        <f t="shared" si="10"/>
        <v/>
      </c>
      <c r="AD79" s="34" t="str">
        <f t="shared" si="11"/>
        <v/>
      </c>
      <c r="AE79" s="73" t="str">
        <f t="shared" si="12"/>
        <v/>
      </c>
      <c r="AF79" s="33" t="str">
        <f t="shared" si="13"/>
        <v/>
      </c>
      <c r="AG79" s="34" t="str">
        <f t="shared" si="14"/>
        <v/>
      </c>
    </row>
    <row r="80" spans="2:33" x14ac:dyDescent="0.3">
      <c r="B80" s="34" t="str">
        <f>IF(NOT(ISBLANK(C80)),COUNTA($C$6:C80),"")</f>
        <v/>
      </c>
      <c r="C80" s="54"/>
      <c r="D80" s="46"/>
      <c r="E80" s="33"/>
      <c r="F80" s="33"/>
      <c r="G80" s="33"/>
      <c r="H80" s="33"/>
      <c r="I80" s="33"/>
      <c r="J80" s="33"/>
      <c r="K80" s="33"/>
      <c r="L80" s="33"/>
      <c r="M80" s="33"/>
      <c r="N80" s="33"/>
      <c r="O80" s="33"/>
      <c r="P80" s="33"/>
      <c r="Q80" s="33"/>
      <c r="R80" s="34" t="str">
        <f t="shared" si="8"/>
        <v/>
      </c>
      <c r="S80" s="34"/>
      <c r="T80"/>
      <c r="U80" s="34" t="str">
        <f>Examen!G76</f>
        <v/>
      </c>
      <c r="V80" s="34" t="str">
        <f>ReExaminare!G76</f>
        <v/>
      </c>
      <c r="W80" s="70" t="str">
        <f t="shared" si="9"/>
        <v/>
      </c>
      <c r="X80" s="70"/>
      <c r="AA80" s="34" t="str">
        <f>'Ev. Curentă'!I76</f>
        <v/>
      </c>
      <c r="AB80" s="99" t="str">
        <f>'L. Indiv.'!H76</f>
        <v/>
      </c>
      <c r="AC80" s="34" t="str">
        <f t="shared" si="10"/>
        <v/>
      </c>
      <c r="AD80" s="34" t="str">
        <f t="shared" si="11"/>
        <v/>
      </c>
      <c r="AE80" s="73" t="str">
        <f t="shared" si="12"/>
        <v/>
      </c>
      <c r="AF80" s="33" t="str">
        <f t="shared" si="13"/>
        <v/>
      </c>
      <c r="AG80" s="34" t="str">
        <f t="shared" si="14"/>
        <v/>
      </c>
    </row>
    <row r="81" spans="2:33" x14ac:dyDescent="0.3">
      <c r="B81" s="34" t="str">
        <f>IF(NOT(ISBLANK(C81)),COUNTA($C$6:C81),"")</f>
        <v/>
      </c>
      <c r="C81" s="54"/>
      <c r="D81" s="46"/>
      <c r="E81" s="33"/>
      <c r="F81" s="33"/>
      <c r="G81" s="33"/>
      <c r="H81" s="33"/>
      <c r="I81" s="33"/>
      <c r="J81" s="33"/>
      <c r="K81" s="33"/>
      <c r="L81" s="33"/>
      <c r="M81" s="33"/>
      <c r="N81" s="33"/>
      <c r="O81" s="33"/>
      <c r="P81" s="33"/>
      <c r="Q81" s="33"/>
      <c r="R81" s="34" t="str">
        <f t="shared" si="8"/>
        <v/>
      </c>
      <c r="S81" s="34"/>
      <c r="T81"/>
      <c r="U81" s="34" t="str">
        <f>Examen!G77</f>
        <v/>
      </c>
      <c r="V81" s="34" t="str">
        <f>ReExaminare!G77</f>
        <v/>
      </c>
      <c r="W81" s="70" t="str">
        <f t="shared" si="9"/>
        <v/>
      </c>
      <c r="X81" s="70"/>
      <c r="AA81" s="34" t="str">
        <f>'Ev. Curentă'!I77</f>
        <v/>
      </c>
      <c r="AB81" s="99" t="str">
        <f>'L. Indiv.'!H77</f>
        <v/>
      </c>
      <c r="AC81" s="34" t="str">
        <f t="shared" si="10"/>
        <v/>
      </c>
      <c r="AD81" s="34" t="str">
        <f t="shared" si="11"/>
        <v/>
      </c>
      <c r="AE81" s="73" t="str">
        <f t="shared" si="12"/>
        <v/>
      </c>
      <c r="AF81" s="33" t="str">
        <f t="shared" si="13"/>
        <v/>
      </c>
      <c r="AG81" s="34" t="str">
        <f t="shared" si="14"/>
        <v/>
      </c>
    </row>
    <row r="82" spans="2:33" x14ac:dyDescent="0.3">
      <c r="B82" s="34" t="str">
        <f>IF(NOT(ISBLANK(C82)),COUNTA($C$6:C82),"")</f>
        <v/>
      </c>
      <c r="C82" s="54"/>
      <c r="D82" s="46"/>
      <c r="E82" s="33"/>
      <c r="F82" s="33"/>
      <c r="G82" s="33"/>
      <c r="H82" s="33"/>
      <c r="I82" s="33"/>
      <c r="J82" s="33"/>
      <c r="K82" s="33"/>
      <c r="L82" s="33"/>
      <c r="M82" s="33"/>
      <c r="N82" s="33"/>
      <c r="O82" s="33"/>
      <c r="P82" s="33"/>
      <c r="Q82" s="33"/>
      <c r="R82" s="34" t="str">
        <f t="shared" si="8"/>
        <v/>
      </c>
      <c r="S82" s="34"/>
      <c r="T82"/>
      <c r="U82" s="34" t="str">
        <f>Examen!G78</f>
        <v/>
      </c>
      <c r="V82" s="34" t="str">
        <f>ReExaminare!G78</f>
        <v/>
      </c>
      <c r="W82" s="70" t="str">
        <f t="shared" si="9"/>
        <v/>
      </c>
      <c r="X82" s="70"/>
      <c r="AA82" s="34" t="str">
        <f>'Ev. Curentă'!I78</f>
        <v/>
      </c>
      <c r="AB82" s="99" t="str">
        <f>'L. Indiv.'!H78</f>
        <v/>
      </c>
      <c r="AC82" s="34" t="str">
        <f t="shared" si="10"/>
        <v/>
      </c>
      <c r="AD82" s="34" t="str">
        <f t="shared" si="11"/>
        <v/>
      </c>
      <c r="AE82" s="73" t="str">
        <f t="shared" si="12"/>
        <v/>
      </c>
      <c r="AF82" s="33" t="str">
        <f t="shared" si="13"/>
        <v/>
      </c>
      <c r="AG82" s="34" t="str">
        <f t="shared" si="14"/>
        <v/>
      </c>
    </row>
    <row r="83" spans="2:33" x14ac:dyDescent="0.3">
      <c r="B83" s="34" t="str">
        <f>IF(NOT(ISBLANK(C83)),COUNTA($C$6:C83),"")</f>
        <v/>
      </c>
      <c r="C83" s="54"/>
      <c r="D83" s="46"/>
      <c r="E83" s="33"/>
      <c r="F83" s="33"/>
      <c r="G83" s="33"/>
      <c r="H83" s="33"/>
      <c r="I83" s="33"/>
      <c r="J83" s="33"/>
      <c r="K83" s="33"/>
      <c r="L83" s="33"/>
      <c r="M83" s="33"/>
      <c r="N83" s="33"/>
      <c r="O83" s="33"/>
      <c r="P83" s="33"/>
      <c r="Q83" s="33"/>
      <c r="R83" s="34" t="str">
        <f t="shared" si="8"/>
        <v/>
      </c>
      <c r="S83" s="34"/>
      <c r="T83"/>
      <c r="U83" s="34" t="str">
        <f>Examen!G79</f>
        <v/>
      </c>
      <c r="V83" s="34" t="str">
        <f>ReExaminare!G79</f>
        <v/>
      </c>
      <c r="W83" s="70" t="str">
        <f t="shared" si="9"/>
        <v/>
      </c>
      <c r="X83" s="70"/>
      <c r="AA83" s="34" t="str">
        <f>'Ev. Curentă'!I79</f>
        <v/>
      </c>
      <c r="AB83" s="99" t="str">
        <f>'L. Indiv.'!H79</f>
        <v/>
      </c>
      <c r="AC83" s="34" t="str">
        <f t="shared" si="10"/>
        <v/>
      </c>
      <c r="AD83" s="34" t="str">
        <f t="shared" si="11"/>
        <v/>
      </c>
      <c r="AE83" s="73" t="str">
        <f t="shared" si="12"/>
        <v/>
      </c>
      <c r="AF83" s="33" t="str">
        <f t="shared" si="13"/>
        <v/>
      </c>
      <c r="AG83" s="34" t="str">
        <f t="shared" si="14"/>
        <v/>
      </c>
    </row>
    <row r="84" spans="2:33" x14ac:dyDescent="0.3">
      <c r="B84" s="34" t="str">
        <f>IF(NOT(ISBLANK(C84)),COUNTA($C$6:C84),"")</f>
        <v/>
      </c>
      <c r="C84" s="54"/>
      <c r="D84" s="46"/>
      <c r="E84" s="33"/>
      <c r="F84" s="33"/>
      <c r="G84" s="33"/>
      <c r="H84" s="33"/>
      <c r="I84" s="33"/>
      <c r="J84" s="33"/>
      <c r="K84" s="33"/>
      <c r="L84" s="33"/>
      <c r="M84" s="33"/>
      <c r="N84" s="33"/>
      <c r="O84" s="33"/>
      <c r="P84" s="33"/>
      <c r="Q84" s="33"/>
      <c r="R84" s="34" t="str">
        <f t="shared" si="8"/>
        <v/>
      </c>
      <c r="S84" s="34"/>
      <c r="T84"/>
      <c r="U84" s="34" t="str">
        <f>Examen!G80</f>
        <v/>
      </c>
      <c r="V84" s="34" t="str">
        <f>ReExaminare!G80</f>
        <v/>
      </c>
      <c r="W84" s="70" t="str">
        <f t="shared" si="9"/>
        <v/>
      </c>
      <c r="X84" s="70"/>
      <c r="AA84" s="34" t="str">
        <f>'Ev. Curentă'!I80</f>
        <v/>
      </c>
      <c r="AB84" s="99" t="str">
        <f>'L. Indiv.'!H80</f>
        <v/>
      </c>
      <c r="AC84" s="34" t="str">
        <f t="shared" si="10"/>
        <v/>
      </c>
      <c r="AD84" s="34" t="str">
        <f t="shared" si="11"/>
        <v/>
      </c>
      <c r="AE84" s="73" t="str">
        <f t="shared" si="12"/>
        <v/>
      </c>
      <c r="AF84" s="33" t="str">
        <f t="shared" si="13"/>
        <v/>
      </c>
      <c r="AG84" s="34" t="str">
        <f t="shared" si="14"/>
        <v/>
      </c>
    </row>
    <row r="85" spans="2:33" x14ac:dyDescent="0.3">
      <c r="B85" s="34" t="str">
        <f>IF(NOT(ISBLANK(C85)),COUNTA($C$6:C85),"")</f>
        <v/>
      </c>
      <c r="C85" s="54"/>
      <c r="D85" s="46"/>
      <c r="E85" s="33"/>
      <c r="F85" s="33"/>
      <c r="G85" s="33"/>
      <c r="H85" s="33"/>
      <c r="I85" s="33"/>
      <c r="J85" s="33"/>
      <c r="K85" s="33"/>
      <c r="L85" s="33"/>
      <c r="M85" s="33"/>
      <c r="N85" s="33"/>
      <c r="O85" s="33"/>
      <c r="P85" s="33"/>
      <c r="Q85" s="33"/>
      <c r="R85" s="34" t="str">
        <f t="shared" si="8"/>
        <v/>
      </c>
      <c r="S85" s="34"/>
      <c r="T85"/>
      <c r="U85" s="34" t="str">
        <f>Examen!G81</f>
        <v/>
      </c>
      <c r="V85" s="34" t="str">
        <f>ReExaminare!G81</f>
        <v/>
      </c>
      <c r="W85" s="70" t="str">
        <f t="shared" si="9"/>
        <v/>
      </c>
      <c r="X85" s="70"/>
      <c r="AA85" s="34" t="str">
        <f>'Ev. Curentă'!I81</f>
        <v/>
      </c>
      <c r="AB85" s="99" t="str">
        <f>'L. Indiv.'!H81</f>
        <v/>
      </c>
      <c r="AC85" s="34" t="str">
        <f t="shared" si="10"/>
        <v/>
      </c>
      <c r="AD85" s="34" t="str">
        <f t="shared" si="11"/>
        <v/>
      </c>
      <c r="AE85" s="73" t="str">
        <f t="shared" si="12"/>
        <v/>
      </c>
      <c r="AF85" s="33" t="str">
        <f t="shared" si="13"/>
        <v/>
      </c>
      <c r="AG85" s="34" t="str">
        <f t="shared" si="14"/>
        <v/>
      </c>
    </row>
    <row r="86" spans="2:33" x14ac:dyDescent="0.3">
      <c r="B86" s="34" t="str">
        <f>IF(NOT(ISBLANK(C86)),COUNTA($C$6:C86),"")</f>
        <v/>
      </c>
      <c r="C86" s="54"/>
      <c r="D86" s="46"/>
      <c r="E86" s="33"/>
      <c r="F86" s="33"/>
      <c r="G86" s="33"/>
      <c r="H86" s="33"/>
      <c r="I86" s="33"/>
      <c r="J86" s="33"/>
      <c r="K86" s="33"/>
      <c r="L86" s="33"/>
      <c r="M86" s="33"/>
      <c r="N86" s="33"/>
      <c r="O86" s="33"/>
      <c r="P86" s="33"/>
      <c r="Q86" s="33"/>
      <c r="R86" s="34" t="str">
        <f t="shared" si="8"/>
        <v/>
      </c>
      <c r="S86" s="34"/>
      <c r="T86"/>
      <c r="U86" s="34" t="str">
        <f>Examen!G82</f>
        <v/>
      </c>
      <c r="V86" s="34" t="str">
        <f>ReExaminare!G82</f>
        <v/>
      </c>
      <c r="W86" s="70" t="str">
        <f t="shared" si="9"/>
        <v/>
      </c>
      <c r="X86" s="70"/>
      <c r="AA86" s="34" t="str">
        <f>'Ev. Curentă'!I82</f>
        <v/>
      </c>
      <c r="AB86" s="99" t="str">
        <f>'L. Indiv.'!H82</f>
        <v/>
      </c>
      <c r="AC86" s="34" t="str">
        <f t="shared" si="10"/>
        <v/>
      </c>
      <c r="AD86" s="34" t="str">
        <f t="shared" si="11"/>
        <v/>
      </c>
      <c r="AE86" s="73" t="str">
        <f t="shared" si="12"/>
        <v/>
      </c>
      <c r="AF86" s="33" t="str">
        <f t="shared" si="13"/>
        <v/>
      </c>
      <c r="AG86" s="34" t="str">
        <f t="shared" si="14"/>
        <v/>
      </c>
    </row>
    <row r="87" spans="2:33" x14ac:dyDescent="0.3">
      <c r="B87" s="34" t="str">
        <f>IF(NOT(ISBLANK(C87)),COUNTA($C$6:C87),"")</f>
        <v/>
      </c>
      <c r="C87" s="54"/>
      <c r="D87" s="46"/>
      <c r="E87" s="33"/>
      <c r="F87" s="33"/>
      <c r="G87" s="33"/>
      <c r="H87" s="33"/>
      <c r="I87" s="33"/>
      <c r="J87" s="33"/>
      <c r="K87" s="33"/>
      <c r="L87" s="33"/>
      <c r="M87" s="33"/>
      <c r="N87" s="33"/>
      <c r="O87" s="33"/>
      <c r="P87" s="33"/>
      <c r="Q87" s="33"/>
      <c r="R87" s="34" t="str">
        <f t="shared" si="8"/>
        <v/>
      </c>
      <c r="S87" s="34"/>
      <c r="T87"/>
      <c r="U87" s="34" t="str">
        <f>Examen!G83</f>
        <v/>
      </c>
      <c r="V87" s="34" t="str">
        <f>ReExaminare!G83</f>
        <v/>
      </c>
      <c r="W87" s="70" t="str">
        <f t="shared" si="9"/>
        <v/>
      </c>
      <c r="X87" s="70"/>
      <c r="AA87" s="34" t="str">
        <f>'Ev. Curentă'!I83</f>
        <v/>
      </c>
      <c r="AB87" s="99" t="str">
        <f>'L. Indiv.'!H83</f>
        <v/>
      </c>
      <c r="AC87" s="34" t="str">
        <f t="shared" si="10"/>
        <v/>
      </c>
      <c r="AD87" s="34" t="str">
        <f t="shared" si="11"/>
        <v/>
      </c>
      <c r="AE87" s="73" t="str">
        <f t="shared" si="12"/>
        <v/>
      </c>
      <c r="AF87" s="33" t="str">
        <f t="shared" si="13"/>
        <v/>
      </c>
      <c r="AG87" s="34" t="str">
        <f t="shared" si="14"/>
        <v/>
      </c>
    </row>
    <row r="88" spans="2:33" x14ac:dyDescent="0.3">
      <c r="B88" s="34" t="str">
        <f>IF(NOT(ISBLANK(C88)),COUNTA($C$6:C88),"")</f>
        <v/>
      </c>
      <c r="C88" s="54"/>
      <c r="D88" s="46"/>
      <c r="E88" s="33"/>
      <c r="F88" s="33"/>
      <c r="G88" s="33"/>
      <c r="H88" s="33"/>
      <c r="I88" s="33"/>
      <c r="J88" s="33"/>
      <c r="K88" s="33"/>
      <c r="L88" s="33"/>
      <c r="M88" s="33"/>
      <c r="N88" s="33"/>
      <c r="O88" s="33"/>
      <c r="P88" s="33"/>
      <c r="Q88" s="33"/>
      <c r="R88" s="34" t="str">
        <f t="shared" si="8"/>
        <v/>
      </c>
      <c r="S88" s="34"/>
      <c r="T88"/>
      <c r="U88" s="34" t="str">
        <f>Examen!G84</f>
        <v/>
      </c>
      <c r="V88" s="34" t="str">
        <f>ReExaminare!G84</f>
        <v/>
      </c>
      <c r="W88" s="70" t="str">
        <f t="shared" si="9"/>
        <v/>
      </c>
      <c r="X88" s="70"/>
      <c r="AA88" s="34" t="str">
        <f>'Ev. Curentă'!I84</f>
        <v/>
      </c>
      <c r="AB88" s="99" t="str">
        <f>'L. Indiv.'!H84</f>
        <v/>
      </c>
      <c r="AC88" s="34" t="str">
        <f t="shared" si="10"/>
        <v/>
      </c>
      <c r="AD88" s="34" t="str">
        <f t="shared" si="11"/>
        <v/>
      </c>
      <c r="AE88" s="73" t="str">
        <f t="shared" si="12"/>
        <v/>
      </c>
      <c r="AF88" s="33" t="str">
        <f t="shared" si="13"/>
        <v/>
      </c>
      <c r="AG88" s="34" t="str">
        <f t="shared" si="14"/>
        <v/>
      </c>
    </row>
    <row r="89" spans="2:33" x14ac:dyDescent="0.3">
      <c r="B89" s="34" t="str">
        <f>IF(NOT(ISBLANK(C89)),COUNTA($C$6:C89),"")</f>
        <v/>
      </c>
      <c r="C89" s="54"/>
      <c r="D89" s="46"/>
      <c r="E89" s="33"/>
      <c r="F89" s="33"/>
      <c r="G89" s="33"/>
      <c r="H89" s="33"/>
      <c r="I89" s="33"/>
      <c r="J89" s="33"/>
      <c r="K89" s="33"/>
      <c r="L89" s="33"/>
      <c r="M89" s="33"/>
      <c r="N89" s="33"/>
      <c r="O89" s="33"/>
      <c r="P89" s="33"/>
      <c r="Q89" s="33"/>
      <c r="R89" s="34" t="str">
        <f t="shared" si="8"/>
        <v/>
      </c>
      <c r="S89" s="34"/>
      <c r="T89"/>
      <c r="U89" s="34" t="str">
        <f>Examen!G85</f>
        <v/>
      </c>
      <c r="V89" s="34" t="str">
        <f>ReExaminare!G85</f>
        <v/>
      </c>
      <c r="W89" s="70" t="str">
        <f t="shared" si="9"/>
        <v/>
      </c>
      <c r="X89" s="70"/>
      <c r="AA89" s="34" t="str">
        <f>'Ev. Curentă'!I85</f>
        <v/>
      </c>
      <c r="AB89" s="99" t="str">
        <f>'L. Indiv.'!H85</f>
        <v/>
      </c>
      <c r="AC89" s="34" t="str">
        <f t="shared" si="10"/>
        <v/>
      </c>
      <c r="AD89" s="34" t="str">
        <f t="shared" si="11"/>
        <v/>
      </c>
      <c r="AE89" s="73" t="str">
        <f t="shared" si="12"/>
        <v/>
      </c>
      <c r="AF89" s="33" t="str">
        <f t="shared" si="13"/>
        <v/>
      </c>
      <c r="AG89" s="34" t="str">
        <f t="shared" si="14"/>
        <v/>
      </c>
    </row>
    <row r="90" spans="2:33" x14ac:dyDescent="0.3">
      <c r="B90" s="34" t="str">
        <f>IF(NOT(ISBLANK(C90)),COUNTA($C$6:C90),"")</f>
        <v/>
      </c>
      <c r="C90" s="54"/>
      <c r="D90" s="46"/>
      <c r="E90" s="33"/>
      <c r="F90" s="33"/>
      <c r="G90" s="33"/>
      <c r="H90" s="33"/>
      <c r="I90" s="33"/>
      <c r="J90" s="33"/>
      <c r="K90" s="33"/>
      <c r="L90" s="33"/>
      <c r="M90" s="33"/>
      <c r="N90" s="33"/>
      <c r="O90" s="33"/>
      <c r="P90" s="33"/>
      <c r="Q90" s="33"/>
      <c r="R90" s="34" t="str">
        <f t="shared" si="8"/>
        <v/>
      </c>
      <c r="S90" s="34"/>
      <c r="T90"/>
      <c r="U90" s="34" t="str">
        <f>Examen!G86</f>
        <v/>
      </c>
      <c r="V90" s="34" t="str">
        <f>ReExaminare!G86</f>
        <v/>
      </c>
      <c r="W90" s="70" t="str">
        <f t="shared" si="9"/>
        <v/>
      </c>
      <c r="X90" s="70"/>
      <c r="AA90" s="34" t="str">
        <f>'Ev. Curentă'!I86</f>
        <v/>
      </c>
      <c r="AB90" s="99" t="str">
        <f>'L. Indiv.'!H86</f>
        <v/>
      </c>
      <c r="AC90" s="34" t="str">
        <f t="shared" si="10"/>
        <v/>
      </c>
      <c r="AD90" s="34" t="str">
        <f t="shared" si="11"/>
        <v/>
      </c>
      <c r="AE90" s="73" t="str">
        <f t="shared" si="12"/>
        <v/>
      </c>
      <c r="AF90" s="33" t="str">
        <f t="shared" si="13"/>
        <v/>
      </c>
      <c r="AG90" s="34" t="str">
        <f t="shared" si="14"/>
        <v/>
      </c>
    </row>
    <row r="91" spans="2:33" x14ac:dyDescent="0.3">
      <c r="B91" s="34" t="str">
        <f>IF(NOT(ISBLANK(C91)),COUNTA($C$6:C91),"")</f>
        <v/>
      </c>
      <c r="C91" s="54"/>
      <c r="D91" s="46"/>
      <c r="E91" s="33"/>
      <c r="F91" s="33"/>
      <c r="G91" s="33"/>
      <c r="H91" s="33"/>
      <c r="I91" s="33"/>
      <c r="J91" s="33"/>
      <c r="K91" s="33"/>
      <c r="L91" s="33"/>
      <c r="M91" s="33"/>
      <c r="N91" s="33"/>
      <c r="O91" s="33"/>
      <c r="P91" s="33"/>
      <c r="Q91" s="33"/>
      <c r="R91" s="34" t="str">
        <f t="shared" si="8"/>
        <v/>
      </c>
      <c r="S91" s="34"/>
      <c r="T91"/>
      <c r="U91" s="34" t="str">
        <f>Examen!G87</f>
        <v/>
      </c>
      <c r="V91" s="34" t="str">
        <f>ReExaminare!G87</f>
        <v/>
      </c>
      <c r="W91" s="70" t="str">
        <f t="shared" si="9"/>
        <v/>
      </c>
      <c r="X91" s="70"/>
      <c r="AA91" s="34" t="str">
        <f>'Ev. Curentă'!I87</f>
        <v/>
      </c>
      <c r="AB91" s="99" t="str">
        <f>'L. Indiv.'!H87</f>
        <v/>
      </c>
      <c r="AC91" s="34" t="str">
        <f t="shared" si="10"/>
        <v/>
      </c>
      <c r="AD91" s="34" t="str">
        <f t="shared" si="11"/>
        <v/>
      </c>
      <c r="AE91" s="73" t="str">
        <f t="shared" si="12"/>
        <v/>
      </c>
      <c r="AF91" s="33" t="str">
        <f t="shared" si="13"/>
        <v/>
      </c>
      <c r="AG91" s="34" t="str">
        <f t="shared" si="14"/>
        <v/>
      </c>
    </row>
    <row r="92" spans="2:33" x14ac:dyDescent="0.3">
      <c r="B92" s="34" t="str">
        <f>IF(NOT(ISBLANK(C92)),COUNTA($C$6:C92),"")</f>
        <v/>
      </c>
      <c r="C92" s="54"/>
      <c r="D92" s="46"/>
      <c r="E92" s="33"/>
      <c r="F92" s="33"/>
      <c r="G92" s="33"/>
      <c r="H92" s="33"/>
      <c r="I92" s="33"/>
      <c r="J92" s="33"/>
      <c r="K92" s="33"/>
      <c r="L92" s="33"/>
      <c r="M92" s="33"/>
      <c r="N92" s="33"/>
      <c r="O92" s="33"/>
      <c r="P92" s="33"/>
      <c r="Q92" s="33"/>
      <c r="R92" s="34" t="str">
        <f t="shared" si="8"/>
        <v/>
      </c>
      <c r="S92" s="34"/>
      <c r="T92"/>
      <c r="U92" s="34" t="str">
        <f>Examen!G88</f>
        <v/>
      </c>
      <c r="V92" s="34" t="str">
        <f>ReExaminare!G88</f>
        <v/>
      </c>
      <c r="W92" s="70" t="str">
        <f t="shared" si="9"/>
        <v/>
      </c>
      <c r="X92" s="70"/>
      <c r="AA92" s="34" t="str">
        <f>'Ev. Curentă'!I88</f>
        <v/>
      </c>
      <c r="AB92" s="99" t="str">
        <f>'L. Indiv.'!H88</f>
        <v/>
      </c>
      <c r="AC92" s="34" t="str">
        <f t="shared" si="10"/>
        <v/>
      </c>
      <c r="AD92" s="34" t="str">
        <f t="shared" si="11"/>
        <v/>
      </c>
      <c r="AE92" s="73" t="str">
        <f t="shared" si="12"/>
        <v/>
      </c>
      <c r="AF92" s="33" t="str">
        <f t="shared" si="13"/>
        <v/>
      </c>
      <c r="AG92" s="34" t="str">
        <f t="shared" si="14"/>
        <v/>
      </c>
    </row>
    <row r="93" spans="2:33" x14ac:dyDescent="0.3">
      <c r="B93" s="34" t="str">
        <f>IF(NOT(ISBLANK(C93)),COUNTA($C$6:C93),"")</f>
        <v/>
      </c>
      <c r="C93" s="54"/>
      <c r="D93" s="46"/>
      <c r="E93" s="33"/>
      <c r="F93" s="33"/>
      <c r="G93" s="33"/>
      <c r="H93" s="33"/>
      <c r="I93" s="33"/>
      <c r="J93" s="33"/>
      <c r="K93" s="33"/>
      <c r="L93" s="33"/>
      <c r="M93" s="33"/>
      <c r="N93" s="33"/>
      <c r="O93" s="33"/>
      <c r="P93" s="33"/>
      <c r="Q93" s="33"/>
      <c r="R93" s="34" t="str">
        <f t="shared" si="8"/>
        <v/>
      </c>
      <c r="S93" s="34"/>
      <c r="T93"/>
      <c r="U93" s="34" t="str">
        <f>Examen!G89</f>
        <v/>
      </c>
      <c r="V93" s="34" t="str">
        <f>ReExaminare!G89</f>
        <v/>
      </c>
      <c r="W93" s="70" t="str">
        <f t="shared" si="9"/>
        <v/>
      </c>
      <c r="X93" s="70"/>
      <c r="AA93" s="34" t="str">
        <f>'Ev. Curentă'!I89</f>
        <v/>
      </c>
      <c r="AB93" s="99" t="str">
        <f>'L. Indiv.'!H89</f>
        <v/>
      </c>
      <c r="AC93" s="34" t="str">
        <f t="shared" si="10"/>
        <v/>
      </c>
      <c r="AD93" s="34" t="str">
        <f t="shared" si="11"/>
        <v/>
      </c>
      <c r="AE93" s="73" t="str">
        <f t="shared" si="12"/>
        <v/>
      </c>
      <c r="AF93" s="33" t="str">
        <f t="shared" si="13"/>
        <v/>
      </c>
      <c r="AG93" s="34" t="str">
        <f t="shared" si="14"/>
        <v/>
      </c>
    </row>
    <row r="94" spans="2:33" x14ac:dyDescent="0.3">
      <c r="B94" s="34" t="str">
        <f>IF(NOT(ISBLANK(C94)),COUNTA($C$6:C94),"")</f>
        <v/>
      </c>
      <c r="C94" s="54"/>
      <c r="D94" s="46"/>
      <c r="E94" s="33"/>
      <c r="F94" s="33"/>
      <c r="G94" s="33"/>
      <c r="H94" s="33"/>
      <c r="I94" s="33"/>
      <c r="J94" s="33"/>
      <c r="K94" s="33"/>
      <c r="L94" s="33"/>
      <c r="M94" s="33"/>
      <c r="N94" s="33"/>
      <c r="O94" s="33"/>
      <c r="P94" s="33"/>
      <c r="Q94" s="33"/>
      <c r="R94" s="34" t="str">
        <f t="shared" si="8"/>
        <v/>
      </c>
      <c r="S94" s="34"/>
      <c r="T94"/>
      <c r="U94" s="34" t="str">
        <f>Examen!G90</f>
        <v/>
      </c>
      <c r="V94" s="34" t="str">
        <f>ReExaminare!G90</f>
        <v/>
      </c>
      <c r="W94" s="70" t="str">
        <f t="shared" si="9"/>
        <v/>
      </c>
      <c r="X94" s="70"/>
      <c r="AA94" s="34" t="str">
        <f>'Ev. Curentă'!I90</f>
        <v/>
      </c>
      <c r="AB94" s="99" t="str">
        <f>'L. Indiv.'!H90</f>
        <v/>
      </c>
      <c r="AC94" s="34" t="str">
        <f t="shared" si="10"/>
        <v/>
      </c>
      <c r="AD94" s="34" t="str">
        <f t="shared" si="11"/>
        <v/>
      </c>
      <c r="AE94" s="73" t="str">
        <f t="shared" si="12"/>
        <v/>
      </c>
      <c r="AF94" s="33" t="str">
        <f t="shared" si="13"/>
        <v/>
      </c>
      <c r="AG94" s="34" t="str">
        <f t="shared" si="14"/>
        <v/>
      </c>
    </row>
    <row r="95" spans="2:33" x14ac:dyDescent="0.3">
      <c r="B95" s="34" t="str">
        <f>IF(NOT(ISBLANK(C95)),COUNTA($C$6:C95),"")</f>
        <v/>
      </c>
      <c r="C95" s="54"/>
      <c r="D95" s="46"/>
      <c r="E95" s="33"/>
      <c r="F95" s="33"/>
      <c r="G95" s="33"/>
      <c r="H95" s="33"/>
      <c r="I95" s="33"/>
      <c r="J95" s="33"/>
      <c r="K95" s="33"/>
      <c r="L95" s="33"/>
      <c r="M95" s="33"/>
      <c r="N95" s="33"/>
      <c r="O95" s="33"/>
      <c r="P95" s="33"/>
      <c r="Q95" s="33"/>
      <c r="R95" s="34" t="str">
        <f t="shared" si="8"/>
        <v/>
      </c>
      <c r="S95" s="34"/>
      <c r="T95"/>
      <c r="U95" s="34" t="str">
        <f>Examen!G91</f>
        <v/>
      </c>
      <c r="V95" s="34" t="str">
        <f>ReExaminare!G91</f>
        <v/>
      </c>
      <c r="W95" s="70" t="str">
        <f t="shared" si="9"/>
        <v/>
      </c>
      <c r="X95" s="70"/>
      <c r="AA95" s="34" t="str">
        <f>'Ev. Curentă'!I91</f>
        <v/>
      </c>
      <c r="AB95" s="99" t="str">
        <f>'L. Indiv.'!H91</f>
        <v/>
      </c>
      <c r="AC95" s="34" t="str">
        <f t="shared" si="10"/>
        <v/>
      </c>
      <c r="AD95" s="34" t="str">
        <f t="shared" si="11"/>
        <v/>
      </c>
      <c r="AE95" s="73" t="str">
        <f t="shared" si="12"/>
        <v/>
      </c>
      <c r="AF95" s="33" t="str">
        <f t="shared" si="13"/>
        <v/>
      </c>
      <c r="AG95" s="34" t="str">
        <f t="shared" si="14"/>
        <v/>
      </c>
    </row>
    <row r="96" spans="2:33" x14ac:dyDescent="0.3">
      <c r="B96" s="34" t="str">
        <f>IF(NOT(ISBLANK(C96)),COUNTA($C$6:C96),"")</f>
        <v/>
      </c>
      <c r="C96" s="54"/>
      <c r="D96" s="46"/>
      <c r="E96" s="33"/>
      <c r="F96" s="33"/>
      <c r="G96" s="33"/>
      <c r="H96" s="33"/>
      <c r="I96" s="33"/>
      <c r="J96" s="33"/>
      <c r="K96" s="33"/>
      <c r="L96" s="33"/>
      <c r="M96" s="33"/>
      <c r="N96" s="33"/>
      <c r="O96" s="33"/>
      <c r="P96" s="33"/>
      <c r="Q96" s="33"/>
      <c r="R96" s="34" t="str">
        <f t="shared" si="8"/>
        <v/>
      </c>
      <c r="S96" s="34"/>
      <c r="T96"/>
      <c r="U96" s="34" t="str">
        <f>Examen!G92</f>
        <v/>
      </c>
      <c r="V96" s="34" t="str">
        <f>ReExaminare!G92</f>
        <v/>
      </c>
      <c r="W96" s="70" t="str">
        <f t="shared" si="9"/>
        <v/>
      </c>
      <c r="X96" s="70"/>
      <c r="AA96" s="34" t="str">
        <f>'Ev. Curentă'!I92</f>
        <v/>
      </c>
      <c r="AB96" s="99" t="str">
        <f>'L. Indiv.'!H92</f>
        <v/>
      </c>
      <c r="AC96" s="34" t="str">
        <f t="shared" si="10"/>
        <v/>
      </c>
      <c r="AD96" s="34" t="str">
        <f t="shared" si="11"/>
        <v/>
      </c>
      <c r="AE96" s="73" t="str">
        <f t="shared" si="12"/>
        <v/>
      </c>
      <c r="AF96" s="33" t="str">
        <f t="shared" si="13"/>
        <v/>
      </c>
      <c r="AG96" s="34" t="str">
        <f t="shared" si="14"/>
        <v/>
      </c>
    </row>
    <row r="97" spans="2:33" x14ac:dyDescent="0.3">
      <c r="B97" s="34" t="str">
        <f>IF(NOT(ISBLANK(C97)),COUNTA($C$6:C97),"")</f>
        <v/>
      </c>
      <c r="C97" s="54"/>
      <c r="D97" s="46"/>
      <c r="E97" s="33"/>
      <c r="F97" s="33"/>
      <c r="G97" s="33"/>
      <c r="H97" s="33"/>
      <c r="I97" s="33"/>
      <c r="J97" s="33"/>
      <c r="K97" s="33"/>
      <c r="L97" s="33"/>
      <c r="M97" s="33"/>
      <c r="N97" s="33"/>
      <c r="O97" s="33"/>
      <c r="P97" s="33"/>
      <c r="Q97" s="33"/>
      <c r="R97" s="34" t="str">
        <f t="shared" si="8"/>
        <v/>
      </c>
      <c r="S97" s="34"/>
      <c r="T97"/>
      <c r="U97" s="34" t="str">
        <f>Examen!G93</f>
        <v/>
      </c>
      <c r="V97" s="34" t="str">
        <f>ReExaminare!G93</f>
        <v/>
      </c>
      <c r="W97" s="70" t="str">
        <f t="shared" si="9"/>
        <v/>
      </c>
      <c r="X97" s="70"/>
      <c r="AA97" s="34" t="str">
        <f>'Ev. Curentă'!I93</f>
        <v/>
      </c>
      <c r="AB97" s="99" t="str">
        <f>'L. Indiv.'!H93</f>
        <v/>
      </c>
      <c r="AC97" s="34" t="str">
        <f t="shared" si="10"/>
        <v/>
      </c>
      <c r="AD97" s="34" t="str">
        <f t="shared" si="11"/>
        <v/>
      </c>
      <c r="AE97" s="73" t="str">
        <f t="shared" si="12"/>
        <v/>
      </c>
      <c r="AF97" s="33" t="str">
        <f t="shared" si="13"/>
        <v/>
      </c>
      <c r="AG97" s="34" t="str">
        <f t="shared" si="14"/>
        <v/>
      </c>
    </row>
    <row r="98" spans="2:33" x14ac:dyDescent="0.3">
      <c r="B98" s="34" t="str">
        <f>IF(NOT(ISBLANK(C98)),COUNTA($C$6:C98),"")</f>
        <v/>
      </c>
      <c r="C98" s="54"/>
      <c r="D98" s="46"/>
      <c r="E98" s="33"/>
      <c r="F98" s="33"/>
      <c r="G98" s="33"/>
      <c r="H98" s="33"/>
      <c r="I98" s="33"/>
      <c r="J98" s="33"/>
      <c r="K98" s="33"/>
      <c r="L98" s="33"/>
      <c r="M98" s="33"/>
      <c r="N98" s="33"/>
      <c r="O98" s="33"/>
      <c r="P98" s="33"/>
      <c r="Q98" s="33"/>
      <c r="R98" s="34" t="str">
        <f t="shared" si="8"/>
        <v/>
      </c>
      <c r="S98" s="34"/>
      <c r="T98"/>
      <c r="U98" s="34" t="str">
        <f>Examen!G94</f>
        <v/>
      </c>
      <c r="V98" s="34" t="str">
        <f>ReExaminare!G94</f>
        <v/>
      </c>
      <c r="W98" s="70" t="str">
        <f t="shared" si="9"/>
        <v/>
      </c>
      <c r="X98" s="70"/>
      <c r="AA98" s="34" t="str">
        <f>'Ev. Curentă'!I94</f>
        <v/>
      </c>
      <c r="AB98" s="99" t="str">
        <f>'L. Indiv.'!H94</f>
        <v/>
      </c>
      <c r="AC98" s="34" t="str">
        <f t="shared" si="10"/>
        <v/>
      </c>
      <c r="AD98" s="34" t="str">
        <f t="shared" si="11"/>
        <v/>
      </c>
      <c r="AE98" s="73" t="str">
        <f t="shared" si="12"/>
        <v/>
      </c>
      <c r="AF98" s="33" t="str">
        <f t="shared" si="13"/>
        <v/>
      </c>
      <c r="AG98" s="34" t="str">
        <f t="shared" si="14"/>
        <v/>
      </c>
    </row>
    <row r="99" spans="2:33" x14ac:dyDescent="0.3">
      <c r="B99" s="34" t="str">
        <f>IF(NOT(ISBLANK(C99)),COUNTA($C$6:C99),"")</f>
        <v/>
      </c>
      <c r="C99" s="54"/>
      <c r="D99" s="46"/>
      <c r="E99" s="33"/>
      <c r="F99" s="33"/>
      <c r="G99" s="33"/>
      <c r="H99" s="33"/>
      <c r="I99" s="33"/>
      <c r="J99" s="33"/>
      <c r="K99" s="33"/>
      <c r="L99" s="33"/>
      <c r="M99" s="33"/>
      <c r="N99" s="33"/>
      <c r="O99" s="33"/>
      <c r="P99" s="33"/>
      <c r="Q99" s="33"/>
      <c r="R99" s="34" t="str">
        <f t="shared" si="8"/>
        <v/>
      </c>
      <c r="S99" s="34"/>
      <c r="T99"/>
      <c r="U99" s="34" t="str">
        <f>Examen!G95</f>
        <v/>
      </c>
      <c r="V99" s="34" t="str">
        <f>ReExaminare!G95</f>
        <v/>
      </c>
      <c r="W99" s="70" t="str">
        <f t="shared" si="9"/>
        <v/>
      </c>
      <c r="X99" s="70"/>
      <c r="AA99" s="34" t="str">
        <f>'Ev. Curentă'!I95</f>
        <v/>
      </c>
      <c r="AB99" s="99" t="str">
        <f>'L. Indiv.'!H95</f>
        <v/>
      </c>
      <c r="AC99" s="34" t="str">
        <f t="shared" si="10"/>
        <v/>
      </c>
      <c r="AD99" s="34" t="str">
        <f t="shared" si="11"/>
        <v/>
      </c>
      <c r="AE99" s="73" t="str">
        <f t="shared" si="12"/>
        <v/>
      </c>
      <c r="AF99" s="33" t="str">
        <f t="shared" si="13"/>
        <v/>
      </c>
      <c r="AG99" s="34" t="str">
        <f t="shared" si="14"/>
        <v/>
      </c>
    </row>
    <row r="100" spans="2:33" x14ac:dyDescent="0.3">
      <c r="B100" s="34" t="str">
        <f>IF(NOT(ISBLANK(C100)),COUNTA($C$6:C100),"")</f>
        <v/>
      </c>
      <c r="C100" s="54"/>
      <c r="D100" s="46"/>
      <c r="E100" s="33"/>
      <c r="F100" s="33"/>
      <c r="G100" s="33"/>
      <c r="H100" s="33"/>
      <c r="I100" s="33"/>
      <c r="J100" s="33"/>
      <c r="K100" s="33"/>
      <c r="L100" s="33"/>
      <c r="M100" s="33"/>
      <c r="N100" s="33"/>
      <c r="O100" s="33"/>
      <c r="P100" s="33"/>
      <c r="Q100" s="33"/>
      <c r="R100" s="34" t="str">
        <f t="shared" si="8"/>
        <v/>
      </c>
      <c r="S100" s="34"/>
      <c r="T100"/>
      <c r="U100" s="34" t="str">
        <f>Examen!G96</f>
        <v/>
      </c>
      <c r="V100" s="34" t="str">
        <f>ReExaminare!G96</f>
        <v/>
      </c>
      <c r="W100" s="70" t="str">
        <f t="shared" si="9"/>
        <v/>
      </c>
      <c r="X100" s="70"/>
      <c r="AA100" s="34" t="str">
        <f>'Ev. Curentă'!I96</f>
        <v/>
      </c>
      <c r="AB100" s="99" t="str">
        <f>'L. Indiv.'!H96</f>
        <v/>
      </c>
      <c r="AC100" s="34" t="str">
        <f t="shared" si="10"/>
        <v/>
      </c>
      <c r="AD100" s="34" t="str">
        <f t="shared" si="11"/>
        <v/>
      </c>
      <c r="AE100" s="73" t="str">
        <f t="shared" si="12"/>
        <v/>
      </c>
      <c r="AF100" s="33" t="str">
        <f t="shared" si="13"/>
        <v/>
      </c>
      <c r="AG100" s="34" t="str">
        <f t="shared" si="14"/>
        <v/>
      </c>
    </row>
    <row r="101" spans="2:33" x14ac:dyDescent="0.3">
      <c r="B101" s="34" t="str">
        <f>IF(NOT(ISBLANK(C101)),COUNTA($C$6:C101),"")</f>
        <v/>
      </c>
      <c r="C101" s="54"/>
      <c r="D101" s="46"/>
      <c r="E101" s="33"/>
      <c r="F101" s="33"/>
      <c r="G101" s="33"/>
      <c r="H101" s="33"/>
      <c r="I101" s="33"/>
      <c r="J101" s="33"/>
      <c r="K101" s="33"/>
      <c r="L101" s="33"/>
      <c r="M101" s="33"/>
      <c r="N101" s="33"/>
      <c r="O101" s="33"/>
      <c r="P101" s="33"/>
      <c r="Q101" s="33"/>
      <c r="R101" s="34" t="str">
        <f t="shared" si="8"/>
        <v/>
      </c>
      <c r="S101" s="34"/>
      <c r="T101"/>
      <c r="U101" s="34" t="str">
        <f>Examen!G97</f>
        <v/>
      </c>
      <c r="V101" s="34" t="str">
        <f>ReExaminare!G97</f>
        <v/>
      </c>
      <c r="W101" s="70" t="str">
        <f t="shared" si="9"/>
        <v/>
      </c>
      <c r="X101" s="70"/>
      <c r="AA101" s="34" t="str">
        <f>'Ev. Curentă'!I97</f>
        <v/>
      </c>
      <c r="AB101" s="99" t="str">
        <f>'L. Indiv.'!H97</f>
        <v/>
      </c>
      <c r="AC101" s="34" t="str">
        <f t="shared" si="10"/>
        <v/>
      </c>
      <c r="AD101" s="34" t="str">
        <f t="shared" si="11"/>
        <v/>
      </c>
      <c r="AE101" s="73" t="str">
        <f t="shared" si="12"/>
        <v/>
      </c>
      <c r="AF101" s="33" t="str">
        <f t="shared" si="13"/>
        <v/>
      </c>
      <c r="AG101" s="34" t="str">
        <f t="shared" si="14"/>
        <v/>
      </c>
    </row>
    <row r="102" spans="2:33" x14ac:dyDescent="0.3">
      <c r="B102" s="34" t="str">
        <f>IF(NOT(ISBLANK(C102)),COUNTA($C$6:C102),"")</f>
        <v/>
      </c>
      <c r="C102" s="54"/>
      <c r="D102" s="46"/>
      <c r="E102" s="33"/>
      <c r="F102" s="33"/>
      <c r="G102" s="33"/>
      <c r="H102" s="33"/>
      <c r="I102" s="33"/>
      <c r="J102" s="33"/>
      <c r="K102" s="33"/>
      <c r="L102" s="33"/>
      <c r="M102" s="33"/>
      <c r="N102" s="33"/>
      <c r="O102" s="33"/>
      <c r="P102" s="33"/>
      <c r="Q102" s="33"/>
      <c r="R102" s="34" t="str">
        <f t="shared" si="8"/>
        <v/>
      </c>
      <c r="S102" s="34"/>
      <c r="T102"/>
      <c r="U102" s="34" t="str">
        <f>Examen!G98</f>
        <v/>
      </c>
      <c r="V102" s="34" t="str">
        <f>ReExaminare!G98</f>
        <v/>
      </c>
      <c r="W102" s="70" t="str">
        <f t="shared" si="9"/>
        <v/>
      </c>
      <c r="X102" s="70"/>
      <c r="AA102" s="34" t="str">
        <f>'Ev. Curentă'!I98</f>
        <v/>
      </c>
      <c r="AB102" s="99" t="str">
        <f>'L. Indiv.'!H98</f>
        <v/>
      </c>
      <c r="AC102" s="34" t="str">
        <f t="shared" si="10"/>
        <v/>
      </c>
      <c r="AD102" s="34" t="str">
        <f t="shared" si="11"/>
        <v/>
      </c>
      <c r="AE102" s="73" t="str">
        <f t="shared" si="12"/>
        <v/>
      </c>
      <c r="AF102" s="33" t="str">
        <f t="shared" si="13"/>
        <v/>
      </c>
      <c r="AG102" s="34" t="str">
        <f t="shared" si="14"/>
        <v/>
      </c>
    </row>
    <row r="103" spans="2:33" x14ac:dyDescent="0.3">
      <c r="B103" s="34" t="str">
        <f>IF(NOT(ISBLANK(C103)),COUNTA($C$6:C103),"")</f>
        <v/>
      </c>
      <c r="C103" s="54"/>
      <c r="D103" s="46"/>
      <c r="E103" s="33"/>
      <c r="F103" s="33"/>
      <c r="G103" s="33"/>
      <c r="H103" s="33"/>
      <c r="I103" s="33"/>
      <c r="J103" s="33"/>
      <c r="K103" s="33"/>
      <c r="L103" s="33"/>
      <c r="M103" s="33"/>
      <c r="N103" s="33"/>
      <c r="O103" s="33"/>
      <c r="P103" s="33"/>
      <c r="Q103" s="33"/>
      <c r="R103" s="34" t="str">
        <f t="shared" si="8"/>
        <v/>
      </c>
      <c r="S103" s="34"/>
      <c r="T103"/>
      <c r="U103" s="34" t="str">
        <f>Examen!G99</f>
        <v/>
      </c>
      <c r="V103" s="34" t="str">
        <f>ReExaminare!G99</f>
        <v/>
      </c>
      <c r="W103" s="70" t="str">
        <f t="shared" si="9"/>
        <v/>
      </c>
      <c r="X103" s="70"/>
      <c r="AA103" s="34" t="str">
        <f>'Ev. Curentă'!I99</f>
        <v/>
      </c>
      <c r="AB103" s="99" t="str">
        <f>'L. Indiv.'!H99</f>
        <v/>
      </c>
      <c r="AC103" s="34" t="str">
        <f t="shared" si="10"/>
        <v/>
      </c>
      <c r="AD103" s="34" t="str">
        <f t="shared" si="11"/>
        <v/>
      </c>
      <c r="AE103" s="73" t="str">
        <f t="shared" si="12"/>
        <v/>
      </c>
      <c r="AF103" s="33" t="str">
        <f t="shared" si="13"/>
        <v/>
      </c>
      <c r="AG103" s="34" t="str">
        <f t="shared" si="14"/>
        <v/>
      </c>
    </row>
    <row r="104" spans="2:33" x14ac:dyDescent="0.3">
      <c r="B104" s="34" t="str">
        <f>IF(NOT(ISBLANK(C104)),COUNTA($C$6:C104),"")</f>
        <v/>
      </c>
      <c r="C104" s="54"/>
      <c r="D104" s="46"/>
      <c r="E104" s="33"/>
      <c r="F104" s="33"/>
      <c r="G104" s="33"/>
      <c r="H104" s="33"/>
      <c r="I104" s="33"/>
      <c r="J104" s="33"/>
      <c r="K104" s="33"/>
      <c r="L104" s="33"/>
      <c r="M104" s="33"/>
      <c r="N104" s="33"/>
      <c r="O104" s="33"/>
      <c r="P104" s="33"/>
      <c r="Q104" s="33"/>
      <c r="R104" s="34" t="str">
        <f t="shared" si="8"/>
        <v/>
      </c>
      <c r="S104" s="34"/>
      <c r="T104"/>
      <c r="U104" s="34" t="str">
        <f>Examen!G100</f>
        <v/>
      </c>
      <c r="V104" s="34" t="str">
        <f>ReExaminare!G100</f>
        <v/>
      </c>
      <c r="W104" s="70" t="str">
        <f t="shared" si="9"/>
        <v/>
      </c>
      <c r="X104" s="70"/>
      <c r="AA104" s="34" t="str">
        <f>'Ev. Curentă'!I100</f>
        <v/>
      </c>
      <c r="AB104" s="99" t="str">
        <f>'L. Indiv.'!H100</f>
        <v/>
      </c>
      <c r="AC104" s="34" t="str">
        <f t="shared" si="10"/>
        <v/>
      </c>
      <c r="AD104" s="34" t="str">
        <f t="shared" si="11"/>
        <v/>
      </c>
      <c r="AE104" s="73" t="str">
        <f t="shared" si="12"/>
        <v/>
      </c>
      <c r="AF104" s="33" t="str">
        <f t="shared" si="13"/>
        <v/>
      </c>
      <c r="AG104" s="34" t="str">
        <f t="shared" si="14"/>
        <v/>
      </c>
    </row>
    <row r="105" spans="2:33" x14ac:dyDescent="0.3">
      <c r="B105" s="34" t="str">
        <f>IF(NOT(ISBLANK(C105)),COUNTA($C$6:C105),"")</f>
        <v/>
      </c>
      <c r="C105" s="54"/>
      <c r="D105" s="46"/>
      <c r="E105" s="33"/>
      <c r="F105" s="33"/>
      <c r="G105" s="33"/>
      <c r="H105" s="33"/>
      <c r="I105" s="33"/>
      <c r="J105" s="33"/>
      <c r="K105" s="33"/>
      <c r="L105" s="33"/>
      <c r="M105" s="33"/>
      <c r="N105" s="33"/>
      <c r="O105" s="33"/>
      <c r="P105" s="33"/>
      <c r="Q105" s="33"/>
      <c r="R105" s="34" t="str">
        <f t="shared" si="8"/>
        <v/>
      </c>
      <c r="S105" s="34"/>
      <c r="T105"/>
      <c r="U105" s="34" t="str">
        <f>Examen!G101</f>
        <v/>
      </c>
      <c r="V105" s="34" t="str">
        <f>ReExaminare!G101</f>
        <v/>
      </c>
      <c r="W105" s="70" t="str">
        <f t="shared" si="9"/>
        <v/>
      </c>
      <c r="X105" s="70"/>
      <c r="AA105" s="34" t="str">
        <f>'Ev. Curentă'!I101</f>
        <v/>
      </c>
      <c r="AB105" s="99" t="str">
        <f>'L. Indiv.'!H101</f>
        <v/>
      </c>
      <c r="AC105" s="34" t="str">
        <f t="shared" si="10"/>
        <v/>
      </c>
      <c r="AD105" s="34" t="str">
        <f t="shared" si="11"/>
        <v/>
      </c>
      <c r="AE105" s="73" t="str">
        <f t="shared" si="12"/>
        <v/>
      </c>
      <c r="AF105" s="33" t="str">
        <f t="shared" si="13"/>
        <v/>
      </c>
      <c r="AG105" s="34" t="str">
        <f t="shared" si="14"/>
        <v/>
      </c>
    </row>
    <row r="106" spans="2:33" ht="17.399999999999999" x14ac:dyDescent="0.3">
      <c r="B106" s="47"/>
      <c r="C106" s="54"/>
      <c r="D106" s="48"/>
      <c r="E106" s="48"/>
      <c r="F106" s="48"/>
      <c r="G106" s="48"/>
      <c r="H106" s="48"/>
      <c r="I106" s="48"/>
      <c r="J106" s="48"/>
      <c r="K106" s="48"/>
      <c r="L106" s="48"/>
      <c r="M106" s="48"/>
      <c r="N106" s="48"/>
      <c r="O106" s="48"/>
      <c r="P106" s="48"/>
      <c r="Q106" s="48"/>
      <c r="R106" s="48"/>
      <c r="S106" s="48"/>
      <c r="T106" s="48"/>
      <c r="U106" s="47"/>
      <c r="V106" s="47"/>
      <c r="W106" s="70"/>
      <c r="X106" s="70"/>
      <c r="Y106" s="52"/>
      <c r="Z106" s="47"/>
      <c r="AA106" s="47"/>
      <c r="AB106" s="47"/>
      <c r="AC106" s="47"/>
      <c r="AD106" s="72"/>
      <c r="AE106" s="73" t="str">
        <f>IF(NOT(ISBLANK(C106)),
IF(OR(AD106="n/a",AD106="n/p")," ",
IF(AD106&lt;5,AD106,TRUNC(AC106*0.5+AD106*0.5,2))),
"")</f>
        <v/>
      </c>
      <c r="AF106" s="47"/>
      <c r="AG106" s="34" t="str">
        <f>IF(NOT(ISBLANK(C106)),
IF(AE106=" ","  ",
IF(AND(AE106&gt;=1,AE106&lt;=3),"F",
IF(AND(AE106&gt;3,AE106&lt;5),"FX",
IF(AND(AE106&gt;=5,AE106&lt;=6),"E",
IF(AND(AE106&gt;6,AE106&lt;=7),"D",
IF(AND(AE106&gt;7,AE106&lt;=8),"C",
IF(AND(AE106&gt;8,AE106&lt;=9),"B",
IF(AND(AE106&gt;9,AE106&lt;=10),"A",
)))))))),"")</f>
        <v/>
      </c>
    </row>
    <row r="107" spans="2:33" ht="17.399999999999999" x14ac:dyDescent="0.3">
      <c r="B107" s="47"/>
      <c r="C107" s="49"/>
      <c r="D107" s="48"/>
      <c r="E107" s="48"/>
      <c r="F107" s="48"/>
      <c r="G107" s="48"/>
      <c r="H107" s="48"/>
      <c r="I107" s="48"/>
      <c r="J107" s="48"/>
      <c r="K107" s="48"/>
      <c r="L107" s="48"/>
      <c r="M107" s="48"/>
      <c r="N107" s="48"/>
      <c r="O107" s="48"/>
      <c r="P107" s="48"/>
      <c r="Q107" s="48"/>
      <c r="R107" s="47"/>
      <c r="S107" s="47"/>
      <c r="T107" s="47"/>
      <c r="U107" s="47"/>
      <c r="V107" s="47"/>
      <c r="W107" s="70"/>
      <c r="X107" s="70"/>
      <c r="Y107" s="52"/>
      <c r="Z107" s="47"/>
      <c r="AA107" s="47"/>
      <c r="AB107" s="47"/>
      <c r="AC107" s="47"/>
      <c r="AD107" s="72"/>
      <c r="AE107" s="47"/>
      <c r="AF107" s="47"/>
      <c r="AG107" s="47"/>
    </row>
    <row r="108" spans="2:33" ht="17.399999999999999" x14ac:dyDescent="0.3">
      <c r="B108" s="47"/>
      <c r="C108" s="49"/>
      <c r="D108" s="48"/>
      <c r="E108" s="48"/>
      <c r="F108" s="48"/>
      <c r="G108" s="48"/>
      <c r="H108" s="48"/>
      <c r="I108" s="48"/>
      <c r="J108" s="48"/>
      <c r="K108" s="48"/>
      <c r="L108" s="48"/>
      <c r="M108" s="48"/>
      <c r="N108" s="48"/>
      <c r="O108" s="48"/>
      <c r="P108" s="48"/>
      <c r="Q108" s="48"/>
      <c r="R108" s="47"/>
      <c r="S108" s="47"/>
      <c r="T108" s="47"/>
      <c r="U108" s="47"/>
      <c r="V108" s="47"/>
      <c r="W108" s="70"/>
      <c r="X108" s="70"/>
      <c r="Y108" s="52"/>
      <c r="Z108" s="47"/>
      <c r="AA108" s="47"/>
      <c r="AB108" s="47"/>
      <c r="AC108" s="47"/>
      <c r="AD108" s="72"/>
      <c r="AE108" s="47"/>
      <c r="AF108" s="47"/>
      <c r="AG108" s="47"/>
    </row>
    <row r="109" spans="2:33" ht="17.399999999999999" x14ac:dyDescent="0.3">
      <c r="B109" s="47"/>
      <c r="C109" s="46"/>
      <c r="D109" s="46"/>
      <c r="E109" s="46"/>
      <c r="F109" s="46"/>
      <c r="G109" s="46"/>
      <c r="H109" s="46"/>
      <c r="I109" s="46"/>
      <c r="J109" s="46"/>
      <c r="K109" s="46"/>
      <c r="L109" s="46"/>
      <c r="M109" s="46"/>
      <c r="N109" s="46"/>
      <c r="O109" s="46"/>
      <c r="P109" s="46"/>
      <c r="Q109" s="46"/>
      <c r="R109" s="47"/>
      <c r="S109" s="47"/>
      <c r="T109" s="47"/>
      <c r="U109" s="46"/>
      <c r="V109" s="46"/>
      <c r="Y109" s="52"/>
      <c r="Z109" s="47"/>
      <c r="AA109" s="46"/>
      <c r="AB109" s="46"/>
      <c r="AC109" s="46"/>
      <c r="AD109" s="53"/>
      <c r="AE109" s="46"/>
      <c r="AF109" s="46"/>
      <c r="AG109" s="46"/>
    </row>
    <row r="110" spans="2:33" ht="17.399999999999999" x14ac:dyDescent="0.3">
      <c r="B110" s="47"/>
      <c r="C110" s="46"/>
      <c r="D110" s="46"/>
      <c r="E110" s="46"/>
      <c r="F110" s="46"/>
      <c r="G110" s="46"/>
      <c r="H110" s="46"/>
      <c r="I110" s="46"/>
      <c r="J110" s="46"/>
      <c r="K110" s="46"/>
      <c r="L110" s="46"/>
      <c r="M110" s="46"/>
      <c r="N110" s="46"/>
      <c r="O110" s="46"/>
      <c r="P110" s="46"/>
      <c r="Q110" s="46"/>
      <c r="R110" s="47"/>
      <c r="S110" s="47"/>
      <c r="T110" s="47"/>
      <c r="U110" s="46"/>
      <c r="V110" s="46"/>
      <c r="Y110" s="52"/>
      <c r="Z110" s="47"/>
      <c r="AA110" s="46"/>
      <c r="AB110" s="46"/>
      <c r="AC110" s="46"/>
      <c r="AD110" s="53"/>
      <c r="AE110" s="46"/>
      <c r="AF110" s="46"/>
      <c r="AG110" s="46"/>
    </row>
    <row r="111" spans="2:33" ht="17.399999999999999" x14ac:dyDescent="0.3">
      <c r="B111" s="47"/>
      <c r="C111" s="46"/>
      <c r="D111" s="46"/>
      <c r="E111" s="46"/>
      <c r="F111" s="46"/>
      <c r="G111" s="46"/>
      <c r="H111" s="46"/>
      <c r="I111" s="46"/>
      <c r="J111" s="46"/>
      <c r="K111" s="46"/>
      <c r="L111" s="46"/>
      <c r="M111" s="46"/>
      <c r="N111" s="46"/>
      <c r="O111" s="46"/>
      <c r="P111" s="46"/>
      <c r="Q111" s="46"/>
      <c r="R111" s="47"/>
      <c r="S111" s="47"/>
      <c r="T111" s="47"/>
      <c r="U111" s="46"/>
      <c r="V111" s="46"/>
      <c r="Y111" s="52"/>
      <c r="Z111" s="47"/>
      <c r="AA111" s="46"/>
      <c r="AB111" s="46"/>
      <c r="AC111" s="46"/>
      <c r="AD111" s="53"/>
      <c r="AE111" s="46"/>
      <c r="AF111" s="46"/>
      <c r="AG111" s="46"/>
    </row>
    <row r="112" spans="2:33" ht="17.399999999999999" x14ac:dyDescent="0.3">
      <c r="B112" s="47"/>
      <c r="C112" s="46"/>
      <c r="D112" s="46"/>
      <c r="E112" s="46"/>
      <c r="F112" s="46"/>
      <c r="G112" s="46"/>
      <c r="H112" s="46"/>
      <c r="I112" s="46"/>
      <c r="J112" s="46"/>
      <c r="K112" s="46"/>
      <c r="L112" s="46"/>
      <c r="M112" s="46"/>
      <c r="N112" s="46"/>
      <c r="O112" s="46"/>
      <c r="P112" s="46"/>
      <c r="Q112" s="46"/>
      <c r="R112" s="47"/>
      <c r="S112" s="47"/>
      <c r="T112" s="47"/>
      <c r="U112" s="46"/>
      <c r="V112" s="46"/>
      <c r="Y112" s="52"/>
      <c r="Z112" s="47"/>
      <c r="AA112" s="46"/>
      <c r="AB112" s="46"/>
      <c r="AC112" s="46"/>
      <c r="AD112" s="53"/>
      <c r="AE112" s="46"/>
      <c r="AF112" s="46"/>
      <c r="AG112" s="46"/>
    </row>
    <row r="113" spans="2:33" ht="17.399999999999999" x14ac:dyDescent="0.3">
      <c r="B113" s="47"/>
      <c r="C113" s="46"/>
      <c r="D113" s="46"/>
      <c r="E113" s="46"/>
      <c r="F113" s="46"/>
      <c r="G113" s="46"/>
      <c r="H113" s="46"/>
      <c r="I113" s="46"/>
      <c r="J113" s="46"/>
      <c r="K113" s="46"/>
      <c r="L113" s="46"/>
      <c r="M113" s="46"/>
      <c r="N113" s="46"/>
      <c r="O113" s="46"/>
      <c r="P113" s="46"/>
      <c r="Q113" s="46"/>
      <c r="R113" s="47"/>
      <c r="S113" s="47"/>
      <c r="T113" s="47"/>
      <c r="U113" s="46"/>
      <c r="V113" s="46"/>
      <c r="Y113" s="52"/>
      <c r="Z113" s="47"/>
      <c r="AA113" s="46"/>
      <c r="AB113" s="46"/>
      <c r="AC113" s="46"/>
      <c r="AD113" s="53"/>
      <c r="AE113" s="46"/>
      <c r="AF113" s="46"/>
      <c r="AG113" s="46"/>
    </row>
    <row r="114" spans="2:33" ht="17.399999999999999" x14ac:dyDescent="0.3">
      <c r="B114" s="47"/>
      <c r="C114" s="46"/>
      <c r="D114" s="46"/>
      <c r="E114" s="46"/>
      <c r="F114" s="46"/>
      <c r="G114" s="46"/>
      <c r="H114" s="46"/>
      <c r="I114" s="46"/>
      <c r="J114" s="46"/>
      <c r="K114" s="46"/>
      <c r="L114" s="46"/>
      <c r="M114" s="46"/>
      <c r="N114" s="46"/>
      <c r="O114" s="46"/>
      <c r="P114" s="46"/>
      <c r="Q114" s="46"/>
      <c r="R114" s="47"/>
      <c r="S114" s="47"/>
      <c r="T114" s="47"/>
      <c r="U114" s="46"/>
      <c r="V114" s="46"/>
      <c r="Y114" s="52"/>
      <c r="Z114" s="47"/>
      <c r="AA114" s="46"/>
      <c r="AB114" s="46"/>
      <c r="AC114" s="46"/>
      <c r="AD114" s="53"/>
      <c r="AE114" s="46"/>
      <c r="AF114" s="46"/>
      <c r="AG114" s="46"/>
    </row>
    <row r="115" spans="2:33" ht="17.399999999999999" x14ac:dyDescent="0.3">
      <c r="B115" s="47"/>
      <c r="C115" s="46"/>
      <c r="D115" s="46"/>
      <c r="E115" s="46"/>
      <c r="F115" s="46"/>
      <c r="G115" s="46"/>
      <c r="H115" s="46"/>
      <c r="I115" s="46"/>
      <c r="J115" s="46"/>
      <c r="K115" s="46"/>
      <c r="L115" s="46"/>
      <c r="M115" s="46"/>
      <c r="N115" s="46"/>
      <c r="O115" s="46"/>
      <c r="P115" s="46"/>
      <c r="Q115" s="46"/>
      <c r="R115" s="47"/>
      <c r="S115" s="47"/>
      <c r="T115" s="47"/>
      <c r="U115" s="46"/>
      <c r="V115" s="46"/>
      <c r="Y115" s="52"/>
      <c r="Z115" s="47"/>
      <c r="AA115" s="46"/>
      <c r="AB115" s="46"/>
      <c r="AC115" s="46"/>
      <c r="AD115" s="53"/>
      <c r="AE115" s="46"/>
      <c r="AF115" s="46"/>
      <c r="AG115" s="46"/>
    </row>
    <row r="116" spans="2:33" ht="17.399999999999999" x14ac:dyDescent="0.3">
      <c r="B116" s="47"/>
      <c r="C116" s="46"/>
      <c r="D116" s="46"/>
      <c r="E116" s="46"/>
      <c r="F116" s="46"/>
      <c r="G116" s="46"/>
      <c r="H116" s="46"/>
      <c r="I116" s="46"/>
      <c r="J116" s="46"/>
      <c r="K116" s="46"/>
      <c r="L116" s="46"/>
      <c r="M116" s="46"/>
      <c r="N116" s="46"/>
      <c r="O116" s="46"/>
      <c r="P116" s="46"/>
      <c r="Q116" s="46"/>
      <c r="R116" s="47"/>
      <c r="S116" s="47"/>
      <c r="T116" s="47"/>
      <c r="U116" s="46"/>
      <c r="V116" s="46"/>
      <c r="Y116" s="52"/>
      <c r="Z116" s="47"/>
      <c r="AA116" s="46"/>
      <c r="AB116" s="46"/>
      <c r="AC116" s="46"/>
      <c r="AD116" s="53"/>
      <c r="AE116" s="46"/>
      <c r="AF116" s="46"/>
      <c r="AG116" s="46"/>
    </row>
    <row r="117" spans="2:33" ht="17.399999999999999" x14ac:dyDescent="0.3">
      <c r="B117" s="47"/>
      <c r="C117" s="46"/>
      <c r="D117" s="46"/>
      <c r="E117" s="46"/>
      <c r="F117" s="46"/>
      <c r="G117" s="46"/>
      <c r="H117" s="46"/>
      <c r="I117" s="46"/>
      <c r="J117" s="46"/>
      <c r="K117" s="46"/>
      <c r="L117" s="46"/>
      <c r="M117" s="46"/>
      <c r="N117" s="46"/>
      <c r="O117" s="46"/>
      <c r="P117" s="46"/>
      <c r="Q117" s="46"/>
      <c r="R117" s="47"/>
      <c r="S117" s="47"/>
      <c r="T117" s="47"/>
      <c r="U117" s="46"/>
      <c r="V117" s="46"/>
      <c r="Y117" s="52"/>
      <c r="Z117" s="47"/>
      <c r="AA117" s="46"/>
      <c r="AB117" s="46"/>
      <c r="AC117" s="46"/>
      <c r="AD117" s="53"/>
      <c r="AE117" s="46"/>
      <c r="AF117" s="46"/>
      <c r="AG117" s="46"/>
    </row>
    <row r="118" spans="2:33" ht="17.399999999999999" x14ac:dyDescent="0.3">
      <c r="B118" s="47"/>
      <c r="C118" s="46"/>
      <c r="D118" s="46"/>
      <c r="E118" s="46"/>
      <c r="F118" s="46"/>
      <c r="G118" s="46"/>
      <c r="H118" s="46"/>
      <c r="I118" s="46"/>
      <c r="J118" s="46"/>
      <c r="K118" s="46"/>
      <c r="L118" s="46"/>
      <c r="M118" s="46"/>
      <c r="N118" s="46"/>
      <c r="O118" s="46"/>
      <c r="P118" s="46"/>
      <c r="Q118" s="46"/>
      <c r="R118" s="47"/>
      <c r="S118" s="47"/>
      <c r="T118" s="47"/>
      <c r="U118" s="46"/>
      <c r="V118" s="46"/>
      <c r="Y118" s="52"/>
      <c r="Z118" s="47"/>
      <c r="AA118" s="46"/>
      <c r="AB118" s="46"/>
      <c r="AC118" s="46"/>
      <c r="AD118" s="53"/>
      <c r="AE118" s="46"/>
      <c r="AF118" s="46"/>
      <c r="AG118" s="46"/>
    </row>
    <row r="119" spans="2:33" ht="17.399999999999999" x14ac:dyDescent="0.3">
      <c r="B119" s="47"/>
      <c r="C119" s="46"/>
      <c r="D119" s="46"/>
      <c r="E119" s="46"/>
      <c r="F119" s="46"/>
      <c r="G119" s="46"/>
      <c r="H119" s="46"/>
      <c r="I119" s="46"/>
      <c r="J119" s="46"/>
      <c r="K119" s="46"/>
      <c r="L119" s="46"/>
      <c r="M119" s="46"/>
      <c r="N119" s="46"/>
      <c r="O119" s="46"/>
      <c r="P119" s="46"/>
      <c r="Q119" s="46"/>
      <c r="R119" s="47"/>
      <c r="S119" s="47"/>
      <c r="T119" s="47"/>
      <c r="U119" s="46"/>
      <c r="V119" s="46"/>
      <c r="Y119" s="52"/>
      <c r="Z119" s="47"/>
      <c r="AA119" s="46"/>
      <c r="AB119" s="46"/>
      <c r="AC119" s="46"/>
      <c r="AD119" s="53"/>
      <c r="AE119" s="46"/>
      <c r="AF119" s="46"/>
      <c r="AG119" s="46"/>
    </row>
    <row r="120" spans="2:33" ht="17.399999999999999" x14ac:dyDescent="0.3">
      <c r="B120" s="47"/>
      <c r="C120" s="46"/>
      <c r="D120" s="46"/>
      <c r="E120" s="46"/>
      <c r="F120" s="46"/>
      <c r="G120" s="46"/>
      <c r="H120" s="46"/>
      <c r="I120" s="46"/>
      <c r="J120" s="46"/>
      <c r="K120" s="46"/>
      <c r="L120" s="46"/>
      <c r="M120" s="46"/>
      <c r="N120" s="46"/>
      <c r="O120" s="46"/>
      <c r="P120" s="46"/>
      <c r="Q120" s="46"/>
      <c r="R120" s="47"/>
      <c r="S120" s="47"/>
      <c r="T120" s="47"/>
      <c r="U120" s="46"/>
      <c r="V120" s="46"/>
      <c r="Y120" s="52"/>
      <c r="Z120" s="47"/>
      <c r="AA120" s="46"/>
      <c r="AB120" s="46"/>
      <c r="AC120" s="46"/>
      <c r="AD120" s="53"/>
      <c r="AE120" s="46"/>
      <c r="AF120" s="46"/>
      <c r="AG120" s="46"/>
    </row>
    <row r="121" spans="2:33" ht="17.399999999999999" x14ac:dyDescent="0.3">
      <c r="B121" s="47"/>
      <c r="C121" s="46"/>
      <c r="D121" s="46"/>
      <c r="E121" s="46"/>
      <c r="F121" s="46"/>
      <c r="G121" s="46"/>
      <c r="H121" s="46"/>
      <c r="I121" s="46"/>
      <c r="J121" s="46"/>
      <c r="K121" s="46"/>
      <c r="L121" s="46"/>
      <c r="M121" s="46"/>
      <c r="N121" s="46"/>
      <c r="O121" s="46"/>
      <c r="P121" s="46"/>
      <c r="Q121" s="46"/>
      <c r="R121" s="47"/>
      <c r="S121" s="47"/>
      <c r="T121" s="47"/>
      <c r="U121" s="46"/>
      <c r="V121" s="46"/>
      <c r="Y121" s="52"/>
      <c r="Z121" s="47"/>
      <c r="AA121" s="46"/>
      <c r="AB121" s="46"/>
      <c r="AC121" s="46"/>
      <c r="AD121" s="53"/>
      <c r="AE121" s="46"/>
      <c r="AF121" s="46"/>
      <c r="AG121" s="46"/>
    </row>
    <row r="122" spans="2:33" ht="17.399999999999999" x14ac:dyDescent="0.3">
      <c r="B122" s="47"/>
      <c r="C122" s="46"/>
      <c r="D122" s="46"/>
      <c r="E122" s="46"/>
      <c r="F122" s="46"/>
      <c r="G122" s="46"/>
      <c r="H122" s="46"/>
      <c r="I122" s="46"/>
      <c r="J122" s="46"/>
      <c r="K122" s="46"/>
      <c r="L122" s="46"/>
      <c r="M122" s="46"/>
      <c r="N122" s="46"/>
      <c r="O122" s="46"/>
      <c r="P122" s="46"/>
      <c r="Q122" s="46"/>
      <c r="R122" s="47"/>
      <c r="S122" s="47"/>
      <c r="T122" s="47"/>
      <c r="U122" s="46"/>
      <c r="V122" s="46"/>
      <c r="Y122" s="52"/>
      <c r="Z122" s="47"/>
      <c r="AA122" s="46"/>
      <c r="AB122" s="46"/>
      <c r="AC122" s="46"/>
      <c r="AD122" s="53"/>
      <c r="AE122" s="46"/>
      <c r="AF122" s="46"/>
      <c r="AG122" s="46"/>
    </row>
    <row r="123" spans="2:33" ht="17.399999999999999" x14ac:dyDescent="0.3">
      <c r="B123" s="47"/>
      <c r="C123" s="46"/>
      <c r="D123" s="46"/>
      <c r="E123" s="46"/>
      <c r="F123" s="46"/>
      <c r="G123" s="46"/>
      <c r="H123" s="46"/>
      <c r="I123" s="46"/>
      <c r="J123" s="46"/>
      <c r="K123" s="46"/>
      <c r="L123" s="46"/>
      <c r="M123" s="46"/>
      <c r="N123" s="46"/>
      <c r="O123" s="46"/>
      <c r="P123" s="46"/>
      <c r="Q123" s="46"/>
      <c r="R123" s="47"/>
      <c r="S123" s="47"/>
      <c r="T123" s="47"/>
      <c r="U123" s="46"/>
      <c r="V123" s="46"/>
      <c r="Y123" s="52"/>
      <c r="Z123" s="47"/>
      <c r="AA123" s="46"/>
      <c r="AB123" s="46"/>
      <c r="AC123" s="46"/>
      <c r="AD123" s="53"/>
      <c r="AE123" s="46"/>
      <c r="AF123" s="46"/>
      <c r="AG123" s="46"/>
    </row>
    <row r="124" spans="2:33" ht="17.399999999999999" x14ac:dyDescent="0.3">
      <c r="B124" s="47"/>
      <c r="C124" s="46"/>
      <c r="D124" s="46"/>
      <c r="E124" s="46"/>
      <c r="F124" s="46"/>
      <c r="G124" s="46"/>
      <c r="H124" s="46"/>
      <c r="I124" s="46"/>
      <c r="J124" s="46"/>
      <c r="K124" s="46"/>
      <c r="L124" s="46"/>
      <c r="M124" s="46"/>
      <c r="N124" s="46"/>
      <c r="O124" s="46"/>
      <c r="P124" s="46"/>
      <c r="Q124" s="46"/>
      <c r="R124" s="47"/>
      <c r="S124" s="47"/>
      <c r="T124" s="47"/>
      <c r="U124" s="46"/>
      <c r="V124" s="46"/>
      <c r="Y124" s="52"/>
      <c r="Z124" s="47"/>
      <c r="AA124" s="46"/>
      <c r="AB124" s="46"/>
      <c r="AC124" s="46"/>
      <c r="AD124" s="53"/>
      <c r="AE124" s="46"/>
      <c r="AF124" s="46"/>
      <c r="AG124" s="46"/>
    </row>
    <row r="125" spans="2:33" ht="17.399999999999999" x14ac:dyDescent="0.3">
      <c r="B125" s="47"/>
      <c r="C125" s="46"/>
      <c r="D125" s="46"/>
      <c r="E125" s="46"/>
      <c r="F125" s="46"/>
      <c r="G125" s="46"/>
      <c r="H125" s="46"/>
      <c r="I125" s="46"/>
      <c r="J125" s="46"/>
      <c r="K125" s="46"/>
      <c r="L125" s="46"/>
      <c r="M125" s="46"/>
      <c r="N125" s="46"/>
      <c r="O125" s="46"/>
      <c r="P125" s="46"/>
      <c r="Q125" s="46"/>
      <c r="R125" s="47"/>
      <c r="S125" s="47"/>
      <c r="T125" s="47"/>
      <c r="U125" s="46"/>
      <c r="V125" s="46"/>
      <c r="Y125" s="52"/>
      <c r="Z125" s="47"/>
      <c r="AA125" s="46"/>
      <c r="AB125" s="46"/>
      <c r="AC125" s="46"/>
      <c r="AD125" s="53"/>
      <c r="AE125" s="46"/>
      <c r="AF125" s="46"/>
      <c r="AG125" s="46"/>
    </row>
    <row r="126" spans="2:33" ht="17.399999999999999" x14ac:dyDescent="0.3">
      <c r="B126" s="47"/>
      <c r="C126" s="46"/>
      <c r="D126" s="46"/>
      <c r="E126" s="46"/>
      <c r="F126" s="46"/>
      <c r="G126" s="46"/>
      <c r="H126" s="46"/>
      <c r="I126" s="46"/>
      <c r="J126" s="46"/>
      <c r="K126" s="46"/>
      <c r="L126" s="46"/>
      <c r="M126" s="46"/>
      <c r="N126" s="46"/>
      <c r="O126" s="46"/>
      <c r="P126" s="46"/>
      <c r="Q126" s="46"/>
      <c r="R126" s="47"/>
      <c r="S126" s="47"/>
      <c r="T126" s="47"/>
      <c r="U126" s="46"/>
      <c r="V126" s="46"/>
      <c r="Y126" s="52"/>
      <c r="Z126" s="47"/>
      <c r="AA126" s="46"/>
      <c r="AB126" s="46"/>
      <c r="AC126" s="46"/>
      <c r="AD126" s="53"/>
      <c r="AE126" s="46"/>
      <c r="AF126" s="46"/>
      <c r="AG126" s="46"/>
    </row>
    <row r="127" spans="2:33" ht="17.399999999999999" x14ac:dyDescent="0.3">
      <c r="B127" s="47"/>
      <c r="C127" s="46"/>
      <c r="D127" s="46"/>
      <c r="E127" s="46"/>
      <c r="F127" s="46"/>
      <c r="G127" s="46"/>
      <c r="H127" s="46"/>
      <c r="I127" s="46"/>
      <c r="J127" s="46"/>
      <c r="K127" s="46"/>
      <c r="L127" s="46"/>
      <c r="M127" s="46"/>
      <c r="N127" s="46"/>
      <c r="O127" s="46"/>
      <c r="P127" s="46"/>
      <c r="Q127" s="46"/>
      <c r="R127" s="47"/>
      <c r="S127" s="47"/>
      <c r="T127" s="47"/>
      <c r="U127" s="46"/>
      <c r="V127" s="46"/>
      <c r="Y127" s="52"/>
      <c r="Z127" s="47"/>
      <c r="AA127" s="46"/>
      <c r="AB127" s="46"/>
      <c r="AC127" s="46"/>
      <c r="AD127" s="53"/>
      <c r="AE127" s="46"/>
      <c r="AF127" s="46"/>
      <c r="AG127" s="46"/>
    </row>
    <row r="128" spans="2:33" ht="17.399999999999999" x14ac:dyDescent="0.3">
      <c r="B128" s="47"/>
      <c r="C128" s="46"/>
      <c r="D128" s="46"/>
      <c r="E128" s="46"/>
      <c r="F128" s="46"/>
      <c r="G128" s="46"/>
      <c r="H128" s="46"/>
      <c r="I128" s="46"/>
      <c r="J128" s="46"/>
      <c r="K128" s="46"/>
      <c r="L128" s="46"/>
      <c r="M128" s="46"/>
      <c r="N128" s="46"/>
      <c r="O128" s="46"/>
      <c r="P128" s="46"/>
      <c r="Q128" s="46"/>
      <c r="R128" s="47"/>
      <c r="S128" s="47"/>
      <c r="T128" s="47"/>
      <c r="U128" s="46"/>
      <c r="V128" s="46"/>
      <c r="Y128" s="52"/>
      <c r="Z128" s="47"/>
      <c r="AA128" s="46"/>
      <c r="AB128" s="46"/>
      <c r="AC128" s="46"/>
      <c r="AD128" s="53"/>
      <c r="AE128" s="46"/>
      <c r="AF128" s="46"/>
      <c r="AG128" s="46"/>
    </row>
    <row r="129" spans="2:33" ht="17.399999999999999" x14ac:dyDescent="0.3">
      <c r="B129" s="47"/>
      <c r="C129" s="46"/>
      <c r="D129" s="46"/>
      <c r="E129" s="46"/>
      <c r="F129" s="46"/>
      <c r="G129" s="46"/>
      <c r="H129" s="46"/>
      <c r="I129" s="46"/>
      <c r="J129" s="46"/>
      <c r="K129" s="46"/>
      <c r="L129" s="46"/>
      <c r="M129" s="46"/>
      <c r="N129" s="46"/>
      <c r="O129" s="46"/>
      <c r="P129" s="46"/>
      <c r="Q129" s="46"/>
      <c r="R129" s="47"/>
      <c r="S129" s="47"/>
      <c r="T129" s="47"/>
      <c r="U129" s="46"/>
      <c r="V129" s="46"/>
      <c r="Y129" s="52"/>
      <c r="Z129" s="47"/>
      <c r="AA129" s="46"/>
      <c r="AB129" s="46"/>
      <c r="AC129" s="46"/>
      <c r="AD129" s="53"/>
      <c r="AE129" s="46"/>
      <c r="AF129" s="46"/>
      <c r="AG129" s="46"/>
    </row>
    <row r="130" spans="2:33" ht="17.399999999999999" x14ac:dyDescent="0.3">
      <c r="B130" s="47"/>
      <c r="C130" s="46"/>
      <c r="D130" s="46"/>
      <c r="E130" s="46"/>
      <c r="F130" s="46"/>
      <c r="G130" s="46"/>
      <c r="H130" s="46"/>
      <c r="I130" s="46"/>
      <c r="J130" s="46"/>
      <c r="K130" s="46"/>
      <c r="L130" s="46"/>
      <c r="M130" s="46"/>
      <c r="N130" s="46"/>
      <c r="O130" s="46"/>
      <c r="P130" s="46"/>
      <c r="Q130" s="46"/>
      <c r="R130" s="47"/>
      <c r="S130" s="47"/>
      <c r="T130" s="47"/>
      <c r="U130" s="46"/>
      <c r="V130" s="46"/>
      <c r="Y130" s="52"/>
      <c r="Z130" s="47"/>
      <c r="AA130" s="46"/>
      <c r="AB130" s="46"/>
      <c r="AC130" s="46"/>
      <c r="AD130" s="53"/>
      <c r="AE130" s="46"/>
      <c r="AF130" s="46"/>
      <c r="AG130" s="46"/>
    </row>
    <row r="131" spans="2:33" ht="17.399999999999999" x14ac:dyDescent="0.3">
      <c r="B131" s="47"/>
      <c r="C131" s="46"/>
      <c r="D131" s="46"/>
      <c r="E131" s="46"/>
      <c r="F131" s="46"/>
      <c r="G131" s="46"/>
      <c r="H131" s="46"/>
      <c r="I131" s="46"/>
      <c r="J131" s="46"/>
      <c r="K131" s="46"/>
      <c r="L131" s="46"/>
      <c r="M131" s="46"/>
      <c r="N131" s="46"/>
      <c r="O131" s="46"/>
      <c r="P131" s="46"/>
      <c r="Q131" s="46"/>
      <c r="R131" s="47"/>
      <c r="S131" s="47"/>
      <c r="T131" s="47"/>
      <c r="U131" s="46"/>
      <c r="V131" s="46"/>
      <c r="Y131" s="52"/>
      <c r="Z131" s="47"/>
      <c r="AA131" s="46"/>
      <c r="AB131" s="46"/>
      <c r="AC131" s="46"/>
      <c r="AD131" s="53"/>
      <c r="AE131" s="46"/>
      <c r="AF131" s="46"/>
      <c r="AG131" s="46"/>
    </row>
    <row r="132" spans="2:33" ht="17.399999999999999" x14ac:dyDescent="0.3">
      <c r="B132" s="47"/>
      <c r="C132" s="46"/>
      <c r="D132" s="46"/>
      <c r="E132" s="46"/>
      <c r="F132" s="46"/>
      <c r="G132" s="46"/>
      <c r="H132" s="46"/>
      <c r="I132" s="46"/>
      <c r="J132" s="46"/>
      <c r="K132" s="46"/>
      <c r="L132" s="46"/>
      <c r="M132" s="46"/>
      <c r="N132" s="46"/>
      <c r="O132" s="46"/>
      <c r="P132" s="46"/>
      <c r="Q132" s="46"/>
      <c r="R132" s="47"/>
      <c r="S132" s="47"/>
      <c r="T132" s="47"/>
      <c r="U132" s="46"/>
      <c r="V132" s="46"/>
      <c r="Y132" s="52"/>
      <c r="Z132" s="47"/>
      <c r="AA132" s="46"/>
      <c r="AB132" s="46"/>
      <c r="AC132" s="46"/>
      <c r="AD132" s="53"/>
      <c r="AE132" s="46"/>
      <c r="AF132" s="46"/>
      <c r="AG132" s="46"/>
    </row>
    <row r="133" spans="2:33" ht="17.399999999999999" x14ac:dyDescent="0.3">
      <c r="B133" s="47"/>
      <c r="C133" s="46"/>
      <c r="D133" s="46"/>
      <c r="E133" s="46"/>
      <c r="F133" s="46"/>
      <c r="G133" s="46"/>
      <c r="H133" s="46"/>
      <c r="I133" s="46"/>
      <c r="J133" s="46"/>
      <c r="K133" s="46"/>
      <c r="L133" s="46"/>
      <c r="M133" s="46"/>
      <c r="N133" s="46"/>
      <c r="O133" s="46"/>
      <c r="P133" s="46"/>
      <c r="Q133" s="46"/>
      <c r="R133" s="47"/>
      <c r="S133" s="47"/>
      <c r="T133" s="47"/>
      <c r="U133" s="46"/>
      <c r="V133" s="46"/>
      <c r="Y133" s="52"/>
      <c r="Z133" s="47"/>
      <c r="AA133" s="46"/>
      <c r="AB133" s="46"/>
      <c r="AC133" s="46"/>
      <c r="AD133" s="53"/>
      <c r="AE133" s="46"/>
      <c r="AF133" s="46"/>
      <c r="AG133" s="46"/>
    </row>
    <row r="134" spans="2:33" ht="17.399999999999999" x14ac:dyDescent="0.3">
      <c r="B134" s="47"/>
      <c r="C134" s="46"/>
      <c r="D134" s="46"/>
      <c r="E134" s="46"/>
      <c r="F134" s="46"/>
      <c r="G134" s="46"/>
      <c r="H134" s="46"/>
      <c r="I134" s="46"/>
      <c r="J134" s="46"/>
      <c r="K134" s="46"/>
      <c r="L134" s="46"/>
      <c r="M134" s="46"/>
      <c r="N134" s="46"/>
      <c r="O134" s="46"/>
      <c r="P134" s="46"/>
      <c r="Q134" s="46"/>
      <c r="R134" s="47"/>
      <c r="S134" s="47"/>
      <c r="T134" s="47"/>
      <c r="U134" s="46"/>
      <c r="V134" s="46"/>
      <c r="Y134" s="52"/>
      <c r="Z134" s="47"/>
      <c r="AA134" s="46"/>
      <c r="AB134" s="46"/>
      <c r="AC134" s="46"/>
      <c r="AD134" s="53"/>
      <c r="AE134" s="46"/>
      <c r="AF134" s="46"/>
      <c r="AG134" s="46"/>
    </row>
    <row r="135" spans="2:33" ht="17.399999999999999" x14ac:dyDescent="0.3">
      <c r="B135" s="47"/>
      <c r="C135" s="46"/>
      <c r="D135" s="46"/>
      <c r="E135" s="46"/>
      <c r="F135" s="46"/>
      <c r="G135" s="46"/>
      <c r="H135" s="46"/>
      <c r="I135" s="46"/>
      <c r="J135" s="46"/>
      <c r="K135" s="46"/>
      <c r="L135" s="46"/>
      <c r="M135" s="46"/>
      <c r="N135" s="46"/>
      <c r="O135" s="46"/>
      <c r="P135" s="46"/>
      <c r="Q135" s="46"/>
      <c r="R135" s="47"/>
      <c r="S135" s="47"/>
      <c r="T135" s="47"/>
      <c r="U135" s="46"/>
      <c r="V135" s="46"/>
      <c r="Y135" s="52"/>
      <c r="Z135" s="47"/>
      <c r="AA135" s="46"/>
      <c r="AB135" s="46"/>
      <c r="AC135" s="46"/>
      <c r="AD135" s="53"/>
      <c r="AE135" s="46"/>
      <c r="AF135" s="46"/>
      <c r="AG135" s="46"/>
    </row>
    <row r="136" spans="2:33" ht="17.399999999999999" x14ac:dyDescent="0.3">
      <c r="B136" s="47"/>
      <c r="C136" s="46"/>
      <c r="D136" s="46"/>
      <c r="E136" s="46"/>
      <c r="F136" s="46"/>
      <c r="G136" s="46"/>
      <c r="H136" s="46"/>
      <c r="I136" s="46"/>
      <c r="J136" s="46"/>
      <c r="K136" s="46"/>
      <c r="L136" s="46"/>
      <c r="M136" s="46"/>
      <c r="N136" s="46"/>
      <c r="O136" s="46"/>
      <c r="P136" s="46"/>
      <c r="Q136" s="46"/>
      <c r="R136" s="47"/>
      <c r="S136" s="47"/>
      <c r="T136" s="47"/>
      <c r="U136" s="46"/>
      <c r="V136" s="46"/>
      <c r="Y136" s="52"/>
      <c r="Z136" s="47"/>
      <c r="AA136" s="46"/>
      <c r="AB136" s="46"/>
      <c r="AC136" s="46"/>
      <c r="AD136" s="53"/>
      <c r="AE136" s="46"/>
      <c r="AF136" s="46"/>
      <c r="AG136" s="46"/>
    </row>
    <row r="137" spans="2:33" ht="17.399999999999999" x14ac:dyDescent="0.3">
      <c r="B137" s="47"/>
      <c r="C137" s="46"/>
      <c r="D137" s="46"/>
      <c r="E137" s="46"/>
      <c r="F137" s="46"/>
      <c r="G137" s="46"/>
      <c r="H137" s="46"/>
      <c r="I137" s="46"/>
      <c r="J137" s="46"/>
      <c r="K137" s="46"/>
      <c r="L137" s="46"/>
      <c r="M137" s="46"/>
      <c r="N137" s="46"/>
      <c r="O137" s="46"/>
      <c r="P137" s="46"/>
      <c r="Q137" s="46"/>
      <c r="R137" s="47"/>
      <c r="S137" s="47"/>
      <c r="T137" s="47"/>
      <c r="U137" s="46"/>
      <c r="V137" s="46"/>
      <c r="Y137" s="52"/>
      <c r="Z137" s="47"/>
      <c r="AA137" s="46"/>
      <c r="AB137" s="46"/>
      <c r="AC137" s="46"/>
      <c r="AD137" s="53"/>
      <c r="AE137" s="46"/>
      <c r="AF137" s="46"/>
      <c r="AG137" s="46"/>
    </row>
    <row r="138" spans="2:33" ht="17.399999999999999" x14ac:dyDescent="0.3">
      <c r="B138" s="47"/>
      <c r="C138" s="46"/>
      <c r="D138" s="46"/>
      <c r="E138" s="46"/>
      <c r="F138" s="46"/>
      <c r="G138" s="46"/>
      <c r="H138" s="46"/>
      <c r="I138" s="46"/>
      <c r="J138" s="46"/>
      <c r="K138" s="46"/>
      <c r="L138" s="46"/>
      <c r="M138" s="46"/>
      <c r="N138" s="46"/>
      <c r="O138" s="46"/>
      <c r="P138" s="46"/>
      <c r="Q138" s="46"/>
      <c r="R138" s="47"/>
      <c r="S138" s="47"/>
      <c r="T138" s="47"/>
      <c r="U138" s="46"/>
      <c r="V138" s="46"/>
      <c r="Y138" s="52"/>
      <c r="Z138" s="47"/>
      <c r="AA138" s="46"/>
      <c r="AB138" s="46"/>
      <c r="AC138" s="46"/>
      <c r="AD138" s="53"/>
      <c r="AE138" s="46"/>
      <c r="AF138" s="46"/>
      <c r="AG138" s="46"/>
    </row>
    <row r="139" spans="2:33" ht="17.399999999999999" x14ac:dyDescent="0.3">
      <c r="B139" s="47"/>
      <c r="C139" s="46"/>
      <c r="D139" s="46"/>
      <c r="E139" s="46"/>
      <c r="F139" s="46"/>
      <c r="G139" s="46"/>
      <c r="H139" s="46"/>
      <c r="I139" s="46"/>
      <c r="J139" s="46"/>
      <c r="K139" s="46"/>
      <c r="L139" s="46"/>
      <c r="M139" s="46"/>
      <c r="N139" s="46"/>
      <c r="O139" s="46"/>
      <c r="P139" s="46"/>
      <c r="Q139" s="46"/>
      <c r="R139" s="47"/>
      <c r="S139" s="47"/>
      <c r="T139" s="47"/>
      <c r="U139" s="46"/>
      <c r="V139" s="46"/>
      <c r="Y139" s="52"/>
      <c r="Z139" s="47"/>
      <c r="AA139" s="46"/>
      <c r="AB139" s="46"/>
      <c r="AC139" s="46"/>
      <c r="AD139" s="53"/>
      <c r="AE139" s="46"/>
      <c r="AF139" s="46"/>
      <c r="AG139" s="46"/>
    </row>
    <row r="140" spans="2:33" ht="17.399999999999999" x14ac:dyDescent="0.3">
      <c r="B140" s="47"/>
      <c r="C140" s="46"/>
      <c r="D140" s="46"/>
      <c r="E140" s="46"/>
      <c r="F140" s="46"/>
      <c r="G140" s="46"/>
      <c r="H140" s="46"/>
      <c r="I140" s="46"/>
      <c r="J140" s="46"/>
      <c r="K140" s="46"/>
      <c r="L140" s="46"/>
      <c r="M140" s="46"/>
      <c r="N140" s="46"/>
      <c r="O140" s="46"/>
      <c r="P140" s="46"/>
      <c r="Q140" s="46"/>
      <c r="R140" s="47"/>
      <c r="S140" s="47"/>
      <c r="T140" s="47"/>
      <c r="U140" s="46"/>
      <c r="V140" s="46"/>
      <c r="Y140" s="52"/>
      <c r="Z140" s="47"/>
      <c r="AA140" s="46"/>
      <c r="AB140" s="46"/>
      <c r="AC140" s="46"/>
      <c r="AD140" s="53"/>
      <c r="AE140" s="46"/>
      <c r="AF140" s="46"/>
      <c r="AG140" s="46"/>
    </row>
    <row r="141" spans="2:33" ht="17.399999999999999" x14ac:dyDescent="0.3">
      <c r="B141" s="47"/>
      <c r="C141" s="46"/>
      <c r="D141" s="46"/>
      <c r="E141" s="46"/>
      <c r="F141" s="46"/>
      <c r="G141" s="46"/>
      <c r="H141" s="46"/>
      <c r="I141" s="46"/>
      <c r="J141" s="46"/>
      <c r="K141" s="46"/>
      <c r="L141" s="46"/>
      <c r="M141" s="46"/>
      <c r="N141" s="46"/>
      <c r="O141" s="46"/>
      <c r="P141" s="46"/>
      <c r="Q141" s="46"/>
      <c r="R141" s="47"/>
      <c r="S141" s="47"/>
      <c r="T141" s="47"/>
      <c r="U141" s="46"/>
      <c r="V141" s="46"/>
      <c r="Y141" s="52"/>
      <c r="Z141" s="47"/>
      <c r="AA141" s="46"/>
      <c r="AB141" s="46"/>
      <c r="AC141" s="46"/>
      <c r="AD141" s="53"/>
      <c r="AE141" s="46"/>
      <c r="AF141" s="46"/>
      <c r="AG141" s="46"/>
    </row>
    <row r="142" spans="2:33" ht="17.399999999999999" x14ac:dyDescent="0.3">
      <c r="B142" s="47"/>
      <c r="C142" s="46"/>
      <c r="D142" s="46"/>
      <c r="E142" s="46"/>
      <c r="F142" s="46"/>
      <c r="G142" s="46"/>
      <c r="H142" s="46"/>
      <c r="I142" s="46"/>
      <c r="J142" s="46"/>
      <c r="K142" s="46"/>
      <c r="L142" s="46"/>
      <c r="M142" s="46"/>
      <c r="N142" s="46"/>
      <c r="O142" s="46"/>
      <c r="P142" s="46"/>
      <c r="Q142" s="46"/>
      <c r="R142" s="47"/>
      <c r="S142" s="47"/>
      <c r="T142" s="47"/>
      <c r="U142" s="46"/>
      <c r="V142" s="46"/>
      <c r="Y142" s="52"/>
      <c r="Z142" s="47"/>
      <c r="AA142" s="46"/>
      <c r="AB142" s="46"/>
      <c r="AC142" s="46"/>
      <c r="AD142" s="53"/>
      <c r="AE142" s="46"/>
      <c r="AF142" s="46"/>
      <c r="AG142" s="46"/>
    </row>
    <row r="143" spans="2:33" ht="17.399999999999999" x14ac:dyDescent="0.3">
      <c r="B143" s="47"/>
      <c r="C143" s="46"/>
      <c r="D143" s="46"/>
      <c r="E143" s="46"/>
      <c r="F143" s="46"/>
      <c r="G143" s="46"/>
      <c r="H143" s="46"/>
      <c r="I143" s="46"/>
      <c r="J143" s="46"/>
      <c r="K143" s="46"/>
      <c r="L143" s="46"/>
      <c r="M143" s="46"/>
      <c r="N143" s="46"/>
      <c r="O143" s="46"/>
      <c r="P143" s="46"/>
      <c r="Q143" s="46"/>
      <c r="R143" s="47"/>
      <c r="S143" s="47"/>
      <c r="T143" s="47"/>
      <c r="U143" s="46"/>
      <c r="V143" s="46"/>
      <c r="Y143" s="52"/>
      <c r="Z143" s="47"/>
      <c r="AA143" s="46"/>
      <c r="AB143" s="46"/>
      <c r="AC143" s="46"/>
      <c r="AD143" s="53"/>
      <c r="AE143" s="46"/>
      <c r="AF143" s="46"/>
      <c r="AG143" s="46"/>
    </row>
    <row r="144" spans="2:33" ht="17.399999999999999" x14ac:dyDescent="0.3">
      <c r="B144" s="47"/>
      <c r="C144" s="46"/>
      <c r="D144" s="46"/>
      <c r="E144" s="46"/>
      <c r="F144" s="46"/>
      <c r="G144" s="46"/>
      <c r="H144" s="46"/>
      <c r="I144" s="46"/>
      <c r="J144" s="46"/>
      <c r="K144" s="46"/>
      <c r="L144" s="46"/>
      <c r="M144" s="46"/>
      <c r="N144" s="46"/>
      <c r="O144" s="46"/>
      <c r="P144" s="46"/>
      <c r="Q144" s="46"/>
      <c r="R144" s="47"/>
      <c r="S144" s="47"/>
      <c r="T144" s="47"/>
      <c r="U144" s="46"/>
      <c r="V144" s="46"/>
      <c r="Y144" s="52"/>
      <c r="Z144" s="47"/>
      <c r="AA144" s="46"/>
      <c r="AB144" s="46"/>
      <c r="AC144" s="46"/>
      <c r="AD144" s="53"/>
      <c r="AE144" s="46"/>
      <c r="AF144" s="46"/>
      <c r="AG144" s="46"/>
    </row>
    <row r="145" spans="2:33" ht="17.399999999999999" x14ac:dyDescent="0.3">
      <c r="B145" s="47"/>
      <c r="C145" s="46"/>
      <c r="D145" s="46"/>
      <c r="E145" s="46"/>
      <c r="F145" s="46"/>
      <c r="G145" s="46"/>
      <c r="H145" s="46"/>
      <c r="I145" s="46"/>
      <c r="J145" s="46"/>
      <c r="K145" s="46"/>
      <c r="L145" s="46"/>
      <c r="M145" s="46"/>
      <c r="N145" s="46"/>
      <c r="O145" s="46"/>
      <c r="P145" s="46"/>
      <c r="Q145" s="46"/>
      <c r="R145" s="47"/>
      <c r="S145" s="47"/>
      <c r="T145" s="47"/>
      <c r="U145" s="46"/>
      <c r="V145" s="46"/>
      <c r="Y145" s="52"/>
      <c r="Z145" s="47"/>
      <c r="AA145" s="46"/>
      <c r="AB145" s="46"/>
      <c r="AC145" s="46"/>
      <c r="AD145" s="53"/>
      <c r="AE145" s="46"/>
      <c r="AF145" s="46"/>
      <c r="AG145" s="46"/>
    </row>
    <row r="146" spans="2:33" ht="17.399999999999999" x14ac:dyDescent="0.3">
      <c r="B146" s="47"/>
      <c r="C146" s="46"/>
      <c r="D146" s="46"/>
      <c r="E146" s="46"/>
      <c r="F146" s="46"/>
      <c r="G146" s="46"/>
      <c r="H146" s="46"/>
      <c r="I146" s="46"/>
      <c r="J146" s="46"/>
      <c r="K146" s="46"/>
      <c r="L146" s="46"/>
      <c r="M146" s="46"/>
      <c r="N146" s="46"/>
      <c r="O146" s="46"/>
      <c r="P146" s="46"/>
      <c r="Q146" s="46"/>
      <c r="R146" s="47"/>
      <c r="S146" s="47"/>
      <c r="T146" s="47"/>
      <c r="U146" s="46"/>
      <c r="V146" s="46"/>
      <c r="Y146" s="52"/>
      <c r="Z146" s="47"/>
      <c r="AA146" s="46"/>
      <c r="AB146" s="46"/>
      <c r="AC146" s="46"/>
      <c r="AD146" s="53"/>
      <c r="AE146" s="46"/>
      <c r="AF146" s="46"/>
      <c r="AG146" s="46"/>
    </row>
    <row r="147" spans="2:33" ht="17.399999999999999" x14ac:dyDescent="0.3">
      <c r="B147" s="47"/>
      <c r="C147" s="46"/>
      <c r="D147" s="46"/>
      <c r="E147" s="46"/>
      <c r="F147" s="46"/>
      <c r="G147" s="46"/>
      <c r="H147" s="46"/>
      <c r="I147" s="46"/>
      <c r="J147" s="46"/>
      <c r="K147" s="46"/>
      <c r="L147" s="46"/>
      <c r="M147" s="46"/>
      <c r="N147" s="46"/>
      <c r="O147" s="46"/>
      <c r="P147" s="46"/>
      <c r="Q147" s="46"/>
      <c r="R147" s="47"/>
      <c r="S147" s="47"/>
      <c r="T147" s="47"/>
      <c r="U147" s="46"/>
      <c r="V147" s="46"/>
      <c r="Y147" s="52"/>
      <c r="Z147" s="47"/>
      <c r="AA147" s="46"/>
      <c r="AB147" s="46"/>
      <c r="AC147" s="46"/>
      <c r="AD147" s="53"/>
      <c r="AE147" s="46"/>
      <c r="AF147" s="46"/>
      <c r="AG147" s="46"/>
    </row>
    <row r="148" spans="2:33" ht="17.399999999999999" x14ac:dyDescent="0.3">
      <c r="B148" s="47"/>
      <c r="C148" s="46"/>
      <c r="D148" s="46"/>
      <c r="E148" s="46"/>
      <c r="F148" s="46"/>
      <c r="G148" s="46"/>
      <c r="H148" s="46"/>
      <c r="I148" s="46"/>
      <c r="J148" s="46"/>
      <c r="K148" s="46"/>
      <c r="L148" s="46"/>
      <c r="M148" s="46"/>
      <c r="N148" s="46"/>
      <c r="O148" s="46"/>
      <c r="P148" s="46"/>
      <c r="Q148" s="46"/>
      <c r="R148" s="47"/>
      <c r="S148" s="47"/>
      <c r="T148" s="47"/>
      <c r="U148" s="46"/>
      <c r="V148" s="46"/>
      <c r="Y148" s="52"/>
      <c r="Z148" s="47"/>
      <c r="AA148" s="46"/>
      <c r="AB148" s="46"/>
      <c r="AC148" s="46"/>
      <c r="AD148" s="53"/>
      <c r="AE148" s="46"/>
      <c r="AF148" s="46"/>
      <c r="AG148" s="46"/>
    </row>
    <row r="149" spans="2:33" ht="17.399999999999999" x14ac:dyDescent="0.3">
      <c r="B149" s="47"/>
      <c r="C149" s="46"/>
      <c r="D149" s="46"/>
      <c r="E149" s="46"/>
      <c r="F149" s="46"/>
      <c r="G149" s="46"/>
      <c r="H149" s="46"/>
      <c r="I149" s="46"/>
      <c r="J149" s="46"/>
      <c r="K149" s="46"/>
      <c r="L149" s="46"/>
      <c r="M149" s="46"/>
      <c r="N149" s="46"/>
      <c r="O149" s="46"/>
      <c r="P149" s="46"/>
      <c r="Q149" s="46"/>
      <c r="R149" s="47"/>
      <c r="S149" s="47"/>
      <c r="T149" s="47"/>
      <c r="U149" s="46"/>
      <c r="V149" s="46"/>
      <c r="Y149" s="52"/>
      <c r="Z149" s="47"/>
      <c r="AA149" s="46"/>
      <c r="AB149" s="46"/>
      <c r="AC149" s="46"/>
      <c r="AD149" s="53"/>
      <c r="AE149" s="46"/>
      <c r="AF149" s="46"/>
      <c r="AG149" s="46"/>
    </row>
    <row r="150" spans="2:33" ht="17.399999999999999" x14ac:dyDescent="0.3">
      <c r="B150" s="47"/>
      <c r="C150" s="46"/>
      <c r="D150" s="46"/>
      <c r="E150" s="46"/>
      <c r="F150" s="46"/>
      <c r="G150" s="46"/>
      <c r="H150" s="46"/>
      <c r="I150" s="46"/>
      <c r="J150" s="46"/>
      <c r="K150" s="46"/>
      <c r="L150" s="46"/>
      <c r="M150" s="46"/>
      <c r="N150" s="46"/>
      <c r="O150" s="46"/>
      <c r="P150" s="46"/>
      <c r="Q150" s="46"/>
      <c r="R150" s="47"/>
      <c r="S150" s="47"/>
      <c r="T150" s="47"/>
      <c r="U150" s="46"/>
      <c r="V150" s="46"/>
      <c r="Y150" s="52"/>
      <c r="Z150" s="47"/>
      <c r="AA150" s="46"/>
      <c r="AB150" s="46"/>
      <c r="AC150" s="46"/>
      <c r="AD150" s="53"/>
      <c r="AE150" s="46"/>
      <c r="AF150" s="46"/>
      <c r="AG150" s="46"/>
    </row>
    <row r="151" spans="2:33" ht="17.399999999999999" x14ac:dyDescent="0.3">
      <c r="B151" s="47"/>
      <c r="C151" s="46"/>
      <c r="D151" s="46"/>
      <c r="E151" s="46"/>
      <c r="F151" s="46"/>
      <c r="G151" s="46"/>
      <c r="H151" s="46"/>
      <c r="I151" s="46"/>
      <c r="J151" s="46"/>
      <c r="K151" s="46"/>
      <c r="L151" s="46"/>
      <c r="M151" s="46"/>
      <c r="N151" s="46"/>
      <c r="O151" s="46"/>
      <c r="P151" s="46"/>
      <c r="Q151" s="46"/>
      <c r="R151" s="47"/>
      <c r="S151" s="47"/>
      <c r="T151" s="47"/>
      <c r="U151" s="46"/>
      <c r="V151" s="46"/>
      <c r="Y151" s="52"/>
      <c r="Z151" s="47"/>
      <c r="AA151" s="46"/>
      <c r="AB151" s="46"/>
      <c r="AC151" s="46"/>
      <c r="AD151" s="53"/>
      <c r="AE151" s="46"/>
      <c r="AF151" s="46"/>
      <c r="AG151" s="46"/>
    </row>
    <row r="152" spans="2:33" ht="17.399999999999999" x14ac:dyDescent="0.3">
      <c r="B152" s="47"/>
      <c r="C152" s="46"/>
      <c r="D152" s="46"/>
      <c r="E152" s="46"/>
      <c r="F152" s="46"/>
      <c r="G152" s="46"/>
      <c r="H152" s="46"/>
      <c r="I152" s="46"/>
      <c r="J152" s="46"/>
      <c r="K152" s="46"/>
      <c r="L152" s="46"/>
      <c r="M152" s="46"/>
      <c r="N152" s="46"/>
      <c r="O152" s="46"/>
      <c r="P152" s="46"/>
      <c r="Q152" s="46"/>
      <c r="R152" s="47"/>
      <c r="S152" s="47"/>
      <c r="T152" s="47"/>
      <c r="U152" s="46"/>
      <c r="V152" s="46"/>
      <c r="Y152" s="52"/>
      <c r="Z152" s="47"/>
      <c r="AA152" s="46"/>
      <c r="AB152" s="46"/>
      <c r="AC152" s="46"/>
      <c r="AD152" s="53"/>
      <c r="AE152" s="46"/>
      <c r="AF152" s="46"/>
      <c r="AG152" s="46"/>
    </row>
    <row r="153" spans="2:33" ht="17.399999999999999" x14ac:dyDescent="0.3">
      <c r="B153" s="47"/>
      <c r="C153" s="46"/>
      <c r="D153" s="46"/>
      <c r="E153" s="46"/>
      <c r="F153" s="46"/>
      <c r="G153" s="46"/>
      <c r="H153" s="46"/>
      <c r="I153" s="46"/>
      <c r="J153" s="46"/>
      <c r="K153" s="46"/>
      <c r="L153" s="46"/>
      <c r="M153" s="46"/>
      <c r="N153" s="46"/>
      <c r="O153" s="46"/>
      <c r="P153" s="46"/>
      <c r="Q153" s="46"/>
      <c r="R153" s="47"/>
      <c r="S153" s="47"/>
      <c r="T153" s="47"/>
      <c r="U153" s="46"/>
      <c r="V153" s="46"/>
      <c r="Y153" s="52"/>
      <c r="Z153" s="47"/>
      <c r="AA153" s="46"/>
      <c r="AB153" s="46"/>
      <c r="AC153" s="46"/>
      <c r="AD153" s="53"/>
      <c r="AE153" s="46"/>
      <c r="AF153" s="46"/>
      <c r="AG153" s="46"/>
    </row>
    <row r="154" spans="2:33" ht="17.399999999999999" x14ac:dyDescent="0.3">
      <c r="B154" s="47"/>
      <c r="C154" s="46"/>
      <c r="D154" s="46"/>
      <c r="E154" s="46"/>
      <c r="F154" s="46"/>
      <c r="G154" s="46"/>
      <c r="H154" s="46"/>
      <c r="I154" s="46"/>
      <c r="J154" s="46"/>
      <c r="K154" s="46"/>
      <c r="L154" s="46"/>
      <c r="M154" s="46"/>
      <c r="N154" s="46"/>
      <c r="O154" s="46"/>
      <c r="P154" s="46"/>
      <c r="Q154" s="46"/>
      <c r="R154" s="47"/>
      <c r="S154" s="47"/>
      <c r="T154" s="47"/>
      <c r="U154" s="46"/>
      <c r="V154" s="46"/>
      <c r="Y154" s="52"/>
      <c r="Z154" s="47"/>
      <c r="AA154" s="46"/>
      <c r="AB154" s="46"/>
      <c r="AC154" s="46"/>
      <c r="AD154" s="53"/>
      <c r="AE154" s="46"/>
      <c r="AF154" s="46"/>
      <c r="AG154" s="46"/>
    </row>
    <row r="155" spans="2:33" ht="17.399999999999999" x14ac:dyDescent="0.3">
      <c r="B155" s="47"/>
      <c r="C155" s="46"/>
      <c r="D155" s="46"/>
      <c r="E155" s="46"/>
      <c r="F155" s="46"/>
      <c r="G155" s="46"/>
      <c r="H155" s="46"/>
      <c r="I155" s="46"/>
      <c r="J155" s="46"/>
      <c r="K155" s="46"/>
      <c r="L155" s="46"/>
      <c r="M155" s="46"/>
      <c r="N155" s="46"/>
      <c r="O155" s="46"/>
      <c r="P155" s="46"/>
      <c r="Q155" s="46"/>
      <c r="R155" s="47"/>
      <c r="S155" s="47"/>
      <c r="T155" s="47"/>
      <c r="U155" s="46"/>
      <c r="V155" s="46"/>
      <c r="Y155" s="52"/>
      <c r="Z155" s="47"/>
      <c r="AA155" s="46"/>
      <c r="AB155" s="46"/>
      <c r="AC155" s="46"/>
      <c r="AD155" s="53"/>
      <c r="AE155" s="46"/>
      <c r="AF155" s="46"/>
      <c r="AG155" s="46"/>
    </row>
    <row r="156" spans="2:33" ht="17.399999999999999" x14ac:dyDescent="0.3">
      <c r="B156" s="47"/>
      <c r="C156" s="46"/>
      <c r="D156" s="46"/>
      <c r="E156" s="46"/>
      <c r="F156" s="46"/>
      <c r="G156" s="46"/>
      <c r="H156" s="46"/>
      <c r="I156" s="46"/>
      <c r="J156" s="46"/>
      <c r="K156" s="46"/>
      <c r="L156" s="46"/>
      <c r="M156" s="46"/>
      <c r="N156" s="46"/>
      <c r="O156" s="46"/>
      <c r="P156" s="46"/>
      <c r="Q156" s="46"/>
      <c r="R156" s="47"/>
      <c r="S156" s="47"/>
      <c r="T156" s="47"/>
      <c r="U156" s="46"/>
      <c r="V156" s="46"/>
      <c r="Y156" s="52"/>
      <c r="Z156" s="47"/>
      <c r="AA156" s="46"/>
      <c r="AB156" s="46"/>
      <c r="AC156" s="46"/>
      <c r="AD156" s="53"/>
      <c r="AE156" s="46"/>
      <c r="AF156" s="46"/>
      <c r="AG156" s="46"/>
    </row>
    <row r="157" spans="2:33" ht="17.399999999999999" x14ac:dyDescent="0.3">
      <c r="B157" s="47"/>
      <c r="C157" s="46"/>
      <c r="D157" s="46"/>
      <c r="E157" s="46"/>
      <c r="F157" s="46"/>
      <c r="G157" s="46"/>
      <c r="H157" s="46"/>
      <c r="I157" s="46"/>
      <c r="J157" s="46"/>
      <c r="K157" s="46"/>
      <c r="L157" s="46"/>
      <c r="M157" s="46"/>
      <c r="N157" s="46"/>
      <c r="O157" s="46"/>
      <c r="P157" s="46"/>
      <c r="Q157" s="46"/>
      <c r="R157" s="47"/>
      <c r="S157" s="47"/>
      <c r="T157" s="47"/>
      <c r="U157" s="46"/>
      <c r="V157" s="46"/>
      <c r="Y157" s="52"/>
      <c r="Z157" s="47"/>
      <c r="AA157" s="46"/>
      <c r="AB157" s="46"/>
      <c r="AC157" s="46"/>
      <c r="AD157" s="53"/>
      <c r="AE157" s="46"/>
      <c r="AF157" s="46"/>
      <c r="AG157" s="46"/>
    </row>
    <row r="158" spans="2:33" ht="17.399999999999999" x14ac:dyDescent="0.3">
      <c r="B158" s="47"/>
      <c r="C158" s="46"/>
      <c r="D158" s="46"/>
      <c r="E158" s="46"/>
      <c r="F158" s="46"/>
      <c r="G158" s="46"/>
      <c r="H158" s="46"/>
      <c r="I158" s="46"/>
      <c r="J158" s="46"/>
      <c r="K158" s="46"/>
      <c r="L158" s="46"/>
      <c r="M158" s="46"/>
      <c r="N158" s="46"/>
      <c r="O158" s="46"/>
      <c r="P158" s="46"/>
      <c r="Q158" s="46"/>
      <c r="R158" s="47"/>
      <c r="S158" s="47"/>
      <c r="T158" s="47"/>
      <c r="U158" s="46"/>
      <c r="V158" s="46"/>
      <c r="Y158" s="52"/>
      <c r="Z158" s="47"/>
      <c r="AA158" s="46"/>
      <c r="AB158" s="46"/>
      <c r="AC158" s="46"/>
      <c r="AD158" s="53"/>
      <c r="AE158" s="46"/>
      <c r="AF158" s="46"/>
      <c r="AG158" s="46"/>
    </row>
    <row r="159" spans="2:33" ht="17.399999999999999" x14ac:dyDescent="0.3">
      <c r="B159" s="47"/>
      <c r="C159" s="46"/>
      <c r="D159" s="46"/>
      <c r="E159" s="46"/>
      <c r="F159" s="46"/>
      <c r="G159" s="46"/>
      <c r="H159" s="46"/>
      <c r="I159" s="46"/>
      <c r="J159" s="46"/>
      <c r="K159" s="46"/>
      <c r="L159" s="46"/>
      <c r="M159" s="46"/>
      <c r="N159" s="46"/>
      <c r="O159" s="46"/>
      <c r="P159" s="46"/>
      <c r="Q159" s="46"/>
      <c r="R159" s="47"/>
      <c r="S159" s="47"/>
      <c r="T159" s="47"/>
      <c r="U159" s="46"/>
      <c r="V159" s="46"/>
      <c r="Y159" s="52"/>
      <c r="Z159" s="47"/>
      <c r="AA159" s="46"/>
      <c r="AB159" s="46"/>
      <c r="AC159" s="46"/>
      <c r="AD159" s="53"/>
      <c r="AE159" s="46"/>
      <c r="AF159" s="46"/>
      <c r="AG159" s="46"/>
    </row>
    <row r="160" spans="2:33" ht="17.399999999999999" x14ac:dyDescent="0.3">
      <c r="B160" s="47"/>
      <c r="C160" s="46"/>
      <c r="D160" s="46"/>
      <c r="E160" s="46"/>
      <c r="F160" s="46"/>
      <c r="G160" s="46"/>
      <c r="H160" s="46"/>
      <c r="I160" s="46"/>
      <c r="J160" s="46"/>
      <c r="K160" s="46"/>
      <c r="L160" s="46"/>
      <c r="M160" s="46"/>
      <c r="N160" s="46"/>
      <c r="O160" s="46"/>
      <c r="P160" s="46"/>
      <c r="Q160" s="46"/>
      <c r="R160" s="47"/>
      <c r="S160" s="47"/>
      <c r="T160" s="47"/>
      <c r="U160" s="46"/>
      <c r="V160" s="46"/>
      <c r="Y160" s="52"/>
      <c r="Z160" s="47"/>
      <c r="AA160" s="46"/>
      <c r="AB160" s="46"/>
      <c r="AC160" s="46"/>
      <c r="AD160" s="53"/>
      <c r="AE160" s="46"/>
      <c r="AF160" s="46"/>
      <c r="AG160" s="46"/>
    </row>
    <row r="161" spans="2:33" ht="17.399999999999999" x14ac:dyDescent="0.3">
      <c r="B161" s="47"/>
      <c r="C161" s="46"/>
      <c r="D161" s="46"/>
      <c r="E161" s="46"/>
      <c r="F161" s="46"/>
      <c r="G161" s="46"/>
      <c r="H161" s="46"/>
      <c r="I161" s="46"/>
      <c r="J161" s="46"/>
      <c r="K161" s="46"/>
      <c r="L161" s="46"/>
      <c r="M161" s="46"/>
      <c r="N161" s="46"/>
      <c r="O161" s="46"/>
      <c r="P161" s="46"/>
      <c r="Q161" s="46"/>
      <c r="R161" s="47"/>
      <c r="S161" s="47"/>
      <c r="T161" s="47"/>
      <c r="U161" s="46"/>
      <c r="V161" s="46"/>
      <c r="Y161" s="52"/>
      <c r="Z161" s="47"/>
      <c r="AA161" s="46"/>
      <c r="AB161" s="46"/>
      <c r="AC161" s="46"/>
      <c r="AD161" s="53"/>
      <c r="AE161" s="46"/>
      <c r="AF161" s="46"/>
      <c r="AG161" s="46"/>
    </row>
    <row r="162" spans="2:33" ht="17.399999999999999" x14ac:dyDescent="0.3">
      <c r="B162" s="47"/>
      <c r="C162" s="46"/>
      <c r="D162" s="46"/>
      <c r="E162" s="46"/>
      <c r="F162" s="46"/>
      <c r="G162" s="46"/>
      <c r="H162" s="46"/>
      <c r="I162" s="46"/>
      <c r="J162" s="46"/>
      <c r="K162" s="46"/>
      <c r="L162" s="46"/>
      <c r="M162" s="46"/>
      <c r="N162" s="46"/>
      <c r="O162" s="46"/>
      <c r="P162" s="46"/>
      <c r="Q162" s="46"/>
      <c r="R162" s="47"/>
      <c r="S162" s="47"/>
      <c r="T162" s="47"/>
      <c r="U162" s="46"/>
      <c r="V162" s="46"/>
      <c r="Y162" s="52"/>
      <c r="Z162" s="47"/>
      <c r="AA162" s="46"/>
      <c r="AB162" s="46"/>
      <c r="AC162" s="46"/>
      <c r="AD162" s="53"/>
      <c r="AE162" s="46"/>
      <c r="AF162" s="46"/>
      <c r="AG162" s="46"/>
    </row>
    <row r="163" spans="2:33" ht="17.399999999999999" x14ac:dyDescent="0.3">
      <c r="B163" s="47"/>
      <c r="C163" s="46"/>
      <c r="D163" s="46"/>
      <c r="E163" s="46"/>
      <c r="F163" s="46"/>
      <c r="G163" s="46"/>
      <c r="H163" s="46"/>
      <c r="I163" s="46"/>
      <c r="J163" s="46"/>
      <c r="K163" s="46"/>
      <c r="L163" s="46"/>
      <c r="M163" s="46"/>
      <c r="N163" s="46"/>
      <c r="O163" s="46"/>
      <c r="P163" s="46"/>
      <c r="Q163" s="46"/>
      <c r="R163" s="47"/>
      <c r="S163" s="47"/>
      <c r="T163" s="47"/>
      <c r="U163" s="46"/>
      <c r="V163" s="46"/>
      <c r="Y163" s="52"/>
      <c r="Z163" s="47"/>
      <c r="AA163" s="46"/>
      <c r="AB163" s="46"/>
      <c r="AC163" s="46"/>
      <c r="AD163" s="53"/>
      <c r="AE163" s="46"/>
      <c r="AF163" s="46"/>
      <c r="AG163" s="46"/>
    </row>
    <row r="164" spans="2:33" ht="17.399999999999999" x14ac:dyDescent="0.3">
      <c r="B164" s="47"/>
      <c r="C164" s="46"/>
      <c r="D164" s="46"/>
      <c r="E164" s="46"/>
      <c r="F164" s="46"/>
      <c r="G164" s="46"/>
      <c r="H164" s="46"/>
      <c r="I164" s="46"/>
      <c r="J164" s="46"/>
      <c r="K164" s="46"/>
      <c r="L164" s="46"/>
      <c r="M164" s="46"/>
      <c r="N164" s="46"/>
      <c r="O164" s="46"/>
      <c r="P164" s="46"/>
      <c r="Q164" s="46"/>
      <c r="R164" s="47"/>
      <c r="S164" s="47"/>
      <c r="T164" s="47"/>
      <c r="U164" s="46"/>
      <c r="V164" s="46"/>
      <c r="Y164" s="52"/>
      <c r="Z164" s="47"/>
      <c r="AA164" s="46"/>
      <c r="AB164" s="46"/>
      <c r="AC164" s="46"/>
      <c r="AD164" s="53"/>
      <c r="AE164" s="46"/>
      <c r="AF164" s="46"/>
      <c r="AG164" s="46"/>
    </row>
    <row r="165" spans="2:33" ht="17.399999999999999" x14ac:dyDescent="0.3">
      <c r="B165" s="47"/>
      <c r="C165" s="46"/>
      <c r="D165" s="46"/>
      <c r="E165" s="46"/>
      <c r="F165" s="46"/>
      <c r="G165" s="46"/>
      <c r="H165" s="46"/>
      <c r="I165" s="46"/>
      <c r="J165" s="46"/>
      <c r="K165" s="46"/>
      <c r="L165" s="46"/>
      <c r="M165" s="46"/>
      <c r="N165" s="46"/>
      <c r="O165" s="46"/>
      <c r="P165" s="46"/>
      <c r="Q165" s="46"/>
      <c r="R165" s="47"/>
      <c r="S165" s="47"/>
      <c r="T165" s="47"/>
      <c r="U165" s="46"/>
      <c r="V165" s="46"/>
      <c r="Y165" s="52"/>
      <c r="Z165" s="47"/>
      <c r="AA165" s="46"/>
      <c r="AB165" s="46"/>
      <c r="AC165" s="46"/>
      <c r="AD165" s="53"/>
      <c r="AE165" s="46"/>
      <c r="AF165" s="46"/>
      <c r="AG165" s="46"/>
    </row>
  </sheetData>
  <mergeCells count="36">
    <mergeCell ref="AI2:AL2"/>
    <mergeCell ref="C2:R2"/>
    <mergeCell ref="U2:W2"/>
    <mergeCell ref="AD2:AD5"/>
    <mergeCell ref="AE2:AG2"/>
    <mergeCell ref="AE3:AF5"/>
    <mergeCell ref="AG3:AG5"/>
    <mergeCell ref="AA2:AC2"/>
    <mergeCell ref="Y4:Z4"/>
    <mergeCell ref="R4:R5"/>
    <mergeCell ref="AI3:AI4"/>
    <mergeCell ref="U3:X3"/>
    <mergeCell ref="AJ3:AJ4"/>
    <mergeCell ref="L3:Q3"/>
    <mergeCell ref="AA3:AB3"/>
    <mergeCell ref="AC3:AC5"/>
    <mergeCell ref="E3:J3"/>
    <mergeCell ref="K4:K5"/>
    <mergeCell ref="S4:S5"/>
    <mergeCell ref="AN3:AN4"/>
    <mergeCell ref="AL3:AL4"/>
    <mergeCell ref="AK3:AK4"/>
    <mergeCell ref="AA4:AA5"/>
    <mergeCell ref="AB4:AB5"/>
    <mergeCell ref="W4:W5"/>
    <mergeCell ref="X4:X5"/>
    <mergeCell ref="AU3:AU4"/>
    <mergeCell ref="AV3:AV4"/>
    <mergeCell ref="AO3:AO4"/>
    <mergeCell ref="AX3:AX4"/>
    <mergeCell ref="AY3:AY4"/>
    <mergeCell ref="AP3:AP4"/>
    <mergeCell ref="AQ3:AQ4"/>
    <mergeCell ref="AR3:AR4"/>
    <mergeCell ref="AS3:AS4"/>
    <mergeCell ref="AT3:AT4"/>
  </mergeCells>
  <phoneticPr fontId="3" type="noConversion"/>
  <conditionalFormatting sqref="B6:S105 AA6:AG105 C106 AE106 AG106">
    <cfRule type="expression" dxfId="5" priority="10">
      <formula>$B6&lt;&gt;""</formula>
    </cfRule>
  </conditionalFormatting>
  <conditionalFormatting sqref="K3">
    <cfRule type="expression" dxfId="4" priority="1">
      <formula>$B3&lt;&gt;""</formula>
    </cfRule>
  </conditionalFormatting>
  <conditionalFormatting sqref="R6:S105">
    <cfRule type="expression" dxfId="3" priority="3">
      <formula>$B6&lt;&gt;""</formula>
    </cfRule>
  </conditionalFormatting>
  <conditionalFormatting sqref="U6:V105">
    <cfRule type="expression" dxfId="2" priority="7">
      <formula>$B6&lt;&gt;""</formula>
    </cfRule>
  </conditionalFormatting>
  <conditionalFormatting sqref="W6:X105">
    <cfRule type="expression" dxfId="1" priority="8">
      <formula>$B6&lt;&gt;""</formula>
    </cfRule>
  </conditionalFormatting>
  <conditionalFormatting sqref="AA6:AD105">
    <cfRule type="expression" dxfId="0" priority="2">
      <formula>OR(AA6&lt;5,AA6="c", AA6="n/a")</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01"/>
  <sheetViews>
    <sheetView zoomScale="85" zoomScaleNormal="85" workbookViewId="0">
      <selection activeCell="F2" sqref="F2:G3"/>
    </sheetView>
  </sheetViews>
  <sheetFormatPr defaultRowHeight="14.4" x14ac:dyDescent="0.3"/>
  <cols>
    <col min="1" max="1" width="4.44140625" style="18" customWidth="1"/>
    <col min="2" max="2" width="28" customWidth="1"/>
    <col min="3" max="7" width="6" customWidth="1"/>
    <col min="8" max="9" width="8.109375" customWidth="1"/>
    <col min="10" max="10" width="11.109375" bestFit="1" customWidth="1"/>
    <col min="13" max="13" width="11.6640625" customWidth="1"/>
    <col min="14" max="14" width="11.44140625" customWidth="1"/>
    <col min="15" max="15" width="8.6640625" customWidth="1"/>
  </cols>
  <sheetData>
    <row r="1" spans="1:20" ht="36" x14ac:dyDescent="0.35">
      <c r="A1" s="26" t="s">
        <v>0</v>
      </c>
      <c r="B1" s="19" t="s">
        <v>1</v>
      </c>
      <c r="C1" s="20" t="s">
        <v>15</v>
      </c>
      <c r="D1" s="20" t="s">
        <v>16</v>
      </c>
      <c r="E1" s="20" t="s">
        <v>17</v>
      </c>
      <c r="F1" s="20" t="s">
        <v>18</v>
      </c>
      <c r="G1" s="20" t="s">
        <v>19</v>
      </c>
      <c r="H1" s="24" t="s">
        <v>25</v>
      </c>
      <c r="I1" s="5" t="s">
        <v>20</v>
      </c>
      <c r="J1" s="6" t="s">
        <v>21</v>
      </c>
      <c r="K1" s="7"/>
      <c r="L1" s="6"/>
      <c r="M1" s="150" t="s">
        <v>45</v>
      </c>
      <c r="N1" s="150"/>
      <c r="O1" s="8"/>
      <c r="P1" s="9"/>
      <c r="Q1" s="9"/>
      <c r="R1" s="9"/>
      <c r="S1" s="9"/>
      <c r="T1" s="9"/>
    </row>
    <row r="2" spans="1:20" ht="18" x14ac:dyDescent="0.35">
      <c r="A2" s="30">
        <f>IF(NOT(ISBLANK('Curs, Seminar'!B6)),'Curs, Seminar'!B6,"")</f>
        <v>1</v>
      </c>
      <c r="B2" s="31" t="str">
        <f>IF(NOT(ISBLANK('Curs, Seminar'!C6)),'Curs, Seminar'!C6,"")</f>
        <v>Nume, Prenume</v>
      </c>
      <c r="C2" s="10"/>
      <c r="D2" s="10"/>
      <c r="E2" s="10"/>
      <c r="F2" s="10"/>
      <c r="G2" s="10"/>
      <c r="H2" s="23">
        <f>IF(NOT(ISBLANK('Curs, Seminar'!C6)),ROUND(SUM(C2:G2),0),"")</f>
        <v>0</v>
      </c>
      <c r="I2" s="22" t="str">
        <f>IF(NOT(ISBLANK('Curs, Seminar'!C6)),
IF(H2=0,"n/p",
IF(AND(H2&gt;=$J$3,H2&lt;=$K$3),$L$3,
IF(AND(H2&gt;=$J$4,H2&lt;=$K$4),$L$4,
IF(AND(H2&gt;=$J$5,H2&lt;=$K$5),$L$5,
IF(AND(H2&gt;=$J$6,H2&lt;=$K$6),$L$6,
IF(AND(H2&gt;=$J$7,H2&lt;=$K$7),$L$7,
IF(AND(H2&gt;=$J$8,H2&lt;=$K$8),$L$8,
IF(AND(H2&gt;=$J$9,H2&lt;=$K$9),$L$9,
IF(AND(H2&gt;=$J$10,H2&lt;=$K$10),$L$10,
IF(AND(H2&gt;=$J$11,H2&lt;=$K$11),$L$11)))))))))),
"")</f>
        <v>n/p</v>
      </c>
      <c r="J2" s="6" t="s">
        <v>23</v>
      </c>
      <c r="K2" s="6"/>
      <c r="L2" s="12" t="s">
        <v>20</v>
      </c>
      <c r="M2" s="27" t="s">
        <v>20</v>
      </c>
      <c r="N2" s="27" t="s">
        <v>22</v>
      </c>
      <c r="O2" s="8"/>
      <c r="P2" s="13"/>
      <c r="Q2" s="13"/>
      <c r="R2" s="13"/>
      <c r="S2" s="13"/>
      <c r="T2" s="13"/>
    </row>
    <row r="3" spans="1:20" ht="18" x14ac:dyDescent="0.35">
      <c r="A3" s="30" t="str">
        <f>IF(NOT(ISBLANK('Curs, Seminar'!B7)),'Curs, Seminar'!B7,"")</f>
        <v/>
      </c>
      <c r="B3" s="31" t="str">
        <f>IF(NOT(ISBLANK('Curs, Seminar'!C7)),'Curs, Seminar'!C7,"")</f>
        <v/>
      </c>
      <c r="C3" s="10"/>
      <c r="D3" s="10"/>
      <c r="E3" s="10"/>
      <c r="F3" s="10"/>
      <c r="G3" s="10"/>
      <c r="H3" s="23" t="str">
        <f>IF(NOT(ISBLANK('Curs, Seminar'!C7)),ROUND(SUM(C3:G3),0),"")</f>
        <v/>
      </c>
      <c r="I3" s="22" t="str">
        <f>IF(NOT(ISBLANK('Curs, Seminar'!C7)),
IF(H3=0,"n/p",
IF(AND(H3&gt;=$J$3,H3&lt;=$K$3),$L$3,
IF(AND(H3&gt;=$J$4,H3&lt;=$K$4),$L$4,
IF(AND(H3&gt;=$J$5,H3&lt;=$K$5),$L$5,
IF(AND(H3&gt;=$J$6,H3&lt;=$K$6),$L$6,
IF(AND(H3&gt;=$J$7,H3&lt;=$K$7),$L$7,
IF(AND(H3&gt;=$J$8,H3&lt;=$K$8),$L$8,
IF(AND(H3&gt;=$J$9,H3&lt;=$K$9),$L$9,
IF(AND(H3&gt;=$J$10,H3&lt;=$K$10),$L$10,
IF(AND(H3&gt;=$J$11,H3&lt;=$K$11),$L$11)))))))))),
"")</f>
        <v/>
      </c>
      <c r="J3" s="21">
        <v>0</v>
      </c>
      <c r="K3" s="21">
        <v>3</v>
      </c>
      <c r="L3" s="12">
        <v>2</v>
      </c>
      <c r="M3" s="29">
        <v>1</v>
      </c>
      <c r="N3" s="27">
        <f>COUNTIF($I$2:$I$101,M3)</f>
        <v>0</v>
      </c>
      <c r="O3" s="8"/>
      <c r="P3" s="13"/>
      <c r="Q3" s="13"/>
      <c r="R3" s="13"/>
      <c r="S3" s="13"/>
      <c r="T3" s="13"/>
    </row>
    <row r="4" spans="1:20" ht="18" x14ac:dyDescent="0.35">
      <c r="A4" s="30" t="str">
        <f>IF(NOT(ISBLANK('Curs, Seminar'!B8)),'Curs, Seminar'!B8,"")</f>
        <v/>
      </c>
      <c r="B4" s="31" t="str">
        <f>IF(NOT(ISBLANK('Curs, Seminar'!C8)),'Curs, Seminar'!C8,"")</f>
        <v/>
      </c>
      <c r="C4" s="10"/>
      <c r="D4" s="10"/>
      <c r="E4" s="10"/>
      <c r="F4" s="10"/>
      <c r="G4" s="10"/>
      <c r="H4" s="23" t="str">
        <f>IF(NOT(ISBLANK('Curs, Seminar'!C8)),ROUND(SUM(C4:G4),0),"")</f>
        <v/>
      </c>
      <c r="I4" s="22" t="str">
        <f>IF(NOT(ISBLANK('Curs, Seminar'!C8)),
IF(H4=0,"n/p",
IF(AND(H4&gt;=$J$3,H4&lt;=$K$3),$L$3,
IF(AND(H4&gt;=$J$4,H4&lt;=$K$4),$L$4,
IF(AND(H4&gt;=$J$5,H4&lt;=$K$5),$L$5,
IF(AND(H4&gt;=$J$6,H4&lt;=$K$6),$L$6,
IF(AND(H4&gt;=$J$7,H4&lt;=$K$7),$L$7,
IF(AND(H4&gt;=$J$8,H4&lt;=$K$8),$L$8,
IF(AND(H4&gt;=$J$9,H4&lt;=$K$9),$L$9,
IF(AND(H4&gt;=$J$10,H4&lt;=$K$10),$L$10,
IF(AND(H4&gt;=$J$11,H4&lt;=$K$11),$L$11)))))))))),
"")</f>
        <v/>
      </c>
      <c r="J4" s="21">
        <v>4</v>
      </c>
      <c r="K4" s="21">
        <v>7</v>
      </c>
      <c r="L4" s="12">
        <v>3</v>
      </c>
      <c r="M4" s="28">
        <v>2</v>
      </c>
      <c r="N4" s="27">
        <f t="shared" ref="N4:N13" si="0">COUNTIF($I$2:$I$101,M4)</f>
        <v>0</v>
      </c>
      <c r="O4" s="8"/>
      <c r="P4" s="13"/>
      <c r="Q4" s="13"/>
      <c r="R4" s="13"/>
      <c r="S4" s="13"/>
      <c r="T4" s="13"/>
    </row>
    <row r="5" spans="1:20" ht="18" x14ac:dyDescent="0.35">
      <c r="A5" s="30" t="str">
        <f>IF(NOT(ISBLANK('Curs, Seminar'!B9)),'Curs, Seminar'!B9,"")</f>
        <v/>
      </c>
      <c r="B5" s="31" t="str">
        <f>IF(NOT(ISBLANK('Curs, Seminar'!C9)),'Curs, Seminar'!C9,"")</f>
        <v/>
      </c>
      <c r="C5" s="10"/>
      <c r="D5" s="10"/>
      <c r="E5" s="10"/>
      <c r="F5" s="10"/>
      <c r="G5" s="10"/>
      <c r="H5" s="23" t="str">
        <f>IF(NOT(ISBLANK('Curs, Seminar'!C9)),ROUND(SUM(C5:G5),0),"")</f>
        <v/>
      </c>
      <c r="I5" s="22" t="str">
        <f>IF(NOT(ISBLANK('Curs, Seminar'!C9)),
IF(H5=0,"n/p",
IF(AND(H5&gt;=$J$3,H5&lt;=$K$3),$L$3,
IF(AND(H5&gt;=$J$4,H5&lt;=$K$4),$L$4,
IF(AND(H5&gt;=$J$5,H5&lt;=$K$5),$L$5,
IF(AND(H5&gt;=$J$6,H5&lt;=$K$6),$L$6,
IF(AND(H5&gt;=$J$7,H5&lt;=$K$7),$L$7,
IF(AND(H5&gt;=$J$8,H5&lt;=$K$8),$L$8,
IF(AND(H5&gt;=$J$9,H5&lt;=$K$9),$L$9,
IF(AND(H5&gt;=$J$10,H5&lt;=$K$10),$L$10,
IF(AND(H5&gt;=$J$11,H5&lt;=$K$11),$L$11)))))))))),
"")</f>
        <v/>
      </c>
      <c r="J5" s="21">
        <v>8</v>
      </c>
      <c r="K5" s="21">
        <v>12</v>
      </c>
      <c r="L5" s="12">
        <v>4</v>
      </c>
      <c r="M5" s="28">
        <v>3</v>
      </c>
      <c r="N5" s="27">
        <f t="shared" si="0"/>
        <v>0</v>
      </c>
      <c r="O5" s="8"/>
      <c r="P5" s="13"/>
      <c r="Q5" s="13"/>
      <c r="R5" s="13"/>
      <c r="S5" s="13"/>
      <c r="T5" s="13"/>
    </row>
    <row r="6" spans="1:20" ht="18" x14ac:dyDescent="0.35">
      <c r="A6" s="30" t="str">
        <f>IF(NOT(ISBLANK('Curs, Seminar'!B10)),'Curs, Seminar'!B10,"")</f>
        <v/>
      </c>
      <c r="B6" s="31" t="str">
        <f>IF(NOT(ISBLANK('Curs, Seminar'!C10)),'Curs, Seminar'!C10,"")</f>
        <v/>
      </c>
      <c r="C6" s="10"/>
      <c r="D6" s="10"/>
      <c r="E6" s="10"/>
      <c r="F6" s="10"/>
      <c r="G6" s="10"/>
      <c r="H6" s="23" t="str">
        <f>IF(NOT(ISBLANK('Curs, Seminar'!C10)),ROUND(SUM(C6:G6),0),"")</f>
        <v/>
      </c>
      <c r="I6" s="22" t="str">
        <f>IF(NOT(ISBLANK('Curs, Seminar'!C10)),
IF(H6=0,"n/p",
IF(AND(H6&gt;=$J$3,H6&lt;=$K$3),$L$3,
IF(AND(H6&gt;=$J$4,H6&lt;=$K$4),$L$4,
IF(AND(H6&gt;=$J$5,H6&lt;=$K$5),$L$5,
IF(AND(H6&gt;=$J$6,H6&lt;=$K$6),$L$6,
IF(AND(H6&gt;=$J$7,H6&lt;=$K$7),$L$7,
IF(AND(H6&gt;=$J$8,H6&lt;=$K$8),$L$8,
IF(AND(H6&gt;=$J$9,H6&lt;=$K$9),$L$9,
IF(AND(H6&gt;=$J$10,H6&lt;=$K$10),$L$10,
IF(AND(H6&gt;=$J$11,H6&lt;=$K$11),$L$11)))))))))),
"")</f>
        <v/>
      </c>
      <c r="J6" s="21">
        <v>13</v>
      </c>
      <c r="K6" s="21">
        <v>15</v>
      </c>
      <c r="L6" s="12">
        <v>5</v>
      </c>
      <c r="M6" s="29">
        <v>4</v>
      </c>
      <c r="N6" s="27">
        <f t="shared" si="0"/>
        <v>0</v>
      </c>
      <c r="O6" s="8"/>
      <c r="P6" s="13"/>
      <c r="Q6" s="13"/>
      <c r="R6" s="13"/>
      <c r="S6" s="13"/>
      <c r="T6" s="13"/>
    </row>
    <row r="7" spans="1:20" ht="18" x14ac:dyDescent="0.35">
      <c r="A7" s="30" t="str">
        <f>IF(NOT(ISBLANK('Curs, Seminar'!B11)),'Curs, Seminar'!B11,"")</f>
        <v/>
      </c>
      <c r="B7" s="31" t="str">
        <f>IF(NOT(ISBLANK('Curs, Seminar'!C11)),'Curs, Seminar'!C11,"")</f>
        <v/>
      </c>
      <c r="C7" s="10"/>
      <c r="D7" s="10"/>
      <c r="E7" s="10"/>
      <c r="F7" s="10"/>
      <c r="G7" s="10"/>
      <c r="H7" s="23" t="str">
        <f>IF(NOT(ISBLANK('Curs, Seminar'!C11)),ROUND(SUM(C7:G7),0),"")</f>
        <v/>
      </c>
      <c r="I7" s="22" t="str">
        <f>IF(NOT(ISBLANK('Curs, Seminar'!C11)),
IF(H7=0,"n/p",
IF(AND(H7&gt;=$J$3,H7&lt;=$K$3),$L$3,
IF(AND(H7&gt;=$J$4,H7&lt;=$K$4),$L$4,
IF(AND(H7&gt;=$J$5,H7&lt;=$K$5),$L$5,
IF(AND(H7&gt;=$J$6,H7&lt;=$K$6),$L$6,
IF(AND(H7&gt;=$J$7,H7&lt;=$K$7),$L$7,
IF(AND(H7&gt;=$J$8,H7&lt;=$K$8),$L$8,
IF(AND(H7&gt;=$J$9,H7&lt;=$K$9),$L$9,
IF(AND(H7&gt;=$J$10,H7&lt;=$K$10),$L$10,
IF(AND(H7&gt;=$J$11,H7&lt;=$K$11),$L$11)))))))))),
"")</f>
        <v/>
      </c>
      <c r="J7" s="21">
        <v>16</v>
      </c>
      <c r="K7" s="21">
        <v>18</v>
      </c>
      <c r="L7" s="12">
        <v>6</v>
      </c>
      <c r="M7" s="29">
        <v>5</v>
      </c>
      <c r="N7" s="27">
        <f t="shared" si="0"/>
        <v>0</v>
      </c>
      <c r="O7" s="8"/>
      <c r="P7" s="13"/>
      <c r="Q7" s="13"/>
      <c r="R7" s="13"/>
      <c r="S7" s="13"/>
      <c r="T7" s="13"/>
    </row>
    <row r="8" spans="1:20" ht="18" x14ac:dyDescent="0.35">
      <c r="A8" s="30" t="str">
        <f>IF(NOT(ISBLANK('Curs, Seminar'!B12)),'Curs, Seminar'!B12,"")</f>
        <v/>
      </c>
      <c r="B8" s="31" t="str">
        <f>IF(NOT(ISBLANK('Curs, Seminar'!C12)),'Curs, Seminar'!C12,"")</f>
        <v/>
      </c>
      <c r="C8" s="10"/>
      <c r="D8" s="10"/>
      <c r="E8" s="10"/>
      <c r="F8" s="10"/>
      <c r="G8" s="10"/>
      <c r="H8" s="23" t="str">
        <f>IF(NOT(ISBLANK('Curs, Seminar'!C12)),ROUND(SUM(C8:G8),0),"")</f>
        <v/>
      </c>
      <c r="I8" s="22" t="str">
        <f>IF(NOT(ISBLANK('Curs, Seminar'!C12)),
IF(H8=0,"n/p",
IF(AND(H8&gt;=$J$3,H8&lt;=$K$3),$L$3,
IF(AND(H8&gt;=$J$4,H8&lt;=$K$4),$L$4,
IF(AND(H8&gt;=$J$5,H8&lt;=$K$5),$L$5,
IF(AND(H8&gt;=$J$6,H8&lt;=$K$6),$L$6,
IF(AND(H8&gt;=$J$7,H8&lt;=$K$7),$L$7,
IF(AND(H8&gt;=$J$8,H8&lt;=$K$8),$L$8,
IF(AND(H8&gt;=$J$9,H8&lt;=$K$9),$L$9,
IF(AND(H8&gt;=$J$10,H8&lt;=$K$10),$L$10,
IF(AND(H8&gt;=$J$11,H8&lt;=$K$11),$L$11)))))))))),
"")</f>
        <v/>
      </c>
      <c r="J8" s="21">
        <v>19</v>
      </c>
      <c r="K8" s="21">
        <v>21</v>
      </c>
      <c r="L8" s="12">
        <v>7</v>
      </c>
      <c r="M8" s="29">
        <v>6</v>
      </c>
      <c r="N8" s="27">
        <f t="shared" si="0"/>
        <v>0</v>
      </c>
      <c r="O8" s="8"/>
      <c r="P8" s="13"/>
      <c r="Q8" s="13"/>
      <c r="R8" s="13"/>
      <c r="S8" s="13"/>
      <c r="T8" s="13"/>
    </row>
    <row r="9" spans="1:20" ht="18" x14ac:dyDescent="0.35">
      <c r="A9" s="30" t="str">
        <f>IF(NOT(ISBLANK('Curs, Seminar'!B13)),'Curs, Seminar'!B13,"")</f>
        <v/>
      </c>
      <c r="B9" s="31" t="str">
        <f>IF(NOT(ISBLANK('Curs, Seminar'!C13)),'Curs, Seminar'!C13,"")</f>
        <v/>
      </c>
      <c r="C9" s="10"/>
      <c r="D9" s="10"/>
      <c r="E9" s="10"/>
      <c r="F9" s="10"/>
      <c r="G9" s="10"/>
      <c r="H9" s="23" t="str">
        <f>IF(NOT(ISBLANK('Curs, Seminar'!C13)),ROUND(SUM(C9:G9),0),"")</f>
        <v/>
      </c>
      <c r="I9" s="22" t="str">
        <f>IF(NOT(ISBLANK('Curs, Seminar'!C13)),
IF(H9=0,"n/p",
IF(AND(H9&gt;=$J$3,H9&lt;=$K$3),$L$3,
IF(AND(H9&gt;=$J$4,H9&lt;=$K$4),$L$4,
IF(AND(H9&gt;=$J$5,H9&lt;=$K$5),$L$5,
IF(AND(H9&gt;=$J$6,H9&lt;=$K$6),$L$6,
IF(AND(H9&gt;=$J$7,H9&lt;=$K$7),$L$7,
IF(AND(H9&gt;=$J$8,H9&lt;=$K$8),$L$8,
IF(AND(H9&gt;=$J$9,H9&lt;=$K$9),$L$9,
IF(AND(H9&gt;=$J$10,H9&lt;=$K$10),$L$10,
IF(AND(H9&gt;=$J$11,H9&lt;=$K$11),$L$11)))))))))),
"")</f>
        <v/>
      </c>
      <c r="J9" s="21">
        <v>22</v>
      </c>
      <c r="K9" s="21">
        <v>24</v>
      </c>
      <c r="L9" s="12">
        <v>8</v>
      </c>
      <c r="M9" s="29">
        <v>7</v>
      </c>
      <c r="N9" s="27">
        <f t="shared" si="0"/>
        <v>0</v>
      </c>
      <c r="O9" s="8"/>
      <c r="P9" s="13"/>
      <c r="Q9" s="13"/>
      <c r="R9" s="13"/>
      <c r="S9" s="13"/>
      <c r="T9" s="13"/>
    </row>
    <row r="10" spans="1:20" ht="18" x14ac:dyDescent="0.35">
      <c r="A10" s="30" t="str">
        <f>IF(NOT(ISBLANK('Curs, Seminar'!B14)),'Curs, Seminar'!B14,"")</f>
        <v/>
      </c>
      <c r="B10" s="31" t="str">
        <f>IF(NOT(ISBLANK('Curs, Seminar'!C14)),'Curs, Seminar'!C14,"")</f>
        <v/>
      </c>
      <c r="C10" s="10"/>
      <c r="D10" s="10"/>
      <c r="E10" s="10"/>
      <c r="F10" s="10"/>
      <c r="G10" s="10"/>
      <c r="H10" s="23" t="str">
        <f>IF(NOT(ISBLANK('Curs, Seminar'!C14)),ROUND(SUM(C10:G10),0),"")</f>
        <v/>
      </c>
      <c r="I10" s="22" t="str">
        <f>IF(NOT(ISBLANK('Curs, Seminar'!C14)),
IF(H10=0,"n/p",
IF(AND(H10&gt;=$J$3,H10&lt;=$K$3),$L$3,
IF(AND(H10&gt;=$J$4,H10&lt;=$K$4),$L$4,
IF(AND(H10&gt;=$J$5,H10&lt;=$K$5),$L$5,
IF(AND(H10&gt;=$J$6,H10&lt;=$K$6),$L$6,
IF(AND(H10&gt;=$J$7,H10&lt;=$K$7),$L$7,
IF(AND(H10&gt;=$J$8,H10&lt;=$K$8),$L$8,
IF(AND(H10&gt;=$J$9,H10&lt;=$K$9),$L$9,
IF(AND(H10&gt;=$J$10,H10&lt;=$K$10),$L$10,
IF(AND(H10&gt;=$J$11,H10&lt;=$K$11),$L$11)))))))))),
"")</f>
        <v/>
      </c>
      <c r="J10" s="21">
        <v>25</v>
      </c>
      <c r="K10" s="21">
        <v>27</v>
      </c>
      <c r="L10" s="12">
        <v>9</v>
      </c>
      <c r="M10" s="29">
        <v>8</v>
      </c>
      <c r="N10" s="27">
        <f t="shared" si="0"/>
        <v>0</v>
      </c>
      <c r="O10" s="8"/>
      <c r="P10" s="13"/>
      <c r="Q10" s="13"/>
      <c r="R10" s="13"/>
      <c r="S10" s="13"/>
      <c r="T10" s="13"/>
    </row>
    <row r="11" spans="1:20" ht="18" x14ac:dyDescent="0.35">
      <c r="A11" s="30" t="str">
        <f>IF(NOT(ISBLANK('Curs, Seminar'!B15)),'Curs, Seminar'!B15,"")</f>
        <v/>
      </c>
      <c r="B11" s="31" t="str">
        <f>IF(NOT(ISBLANK('Curs, Seminar'!C15)),'Curs, Seminar'!C15,"")</f>
        <v/>
      </c>
      <c r="C11" s="10"/>
      <c r="D11" s="10"/>
      <c r="E11" s="10"/>
      <c r="F11" s="10"/>
      <c r="G11" s="10"/>
      <c r="H11" s="23" t="str">
        <f>IF(NOT(ISBLANK('Curs, Seminar'!C15)),ROUND(SUM(C11:G11),0),"")</f>
        <v/>
      </c>
      <c r="I11" s="22" t="str">
        <f>IF(NOT(ISBLANK('Curs, Seminar'!C15)),
IF(H11=0,"n/p",
IF(AND(H11&gt;=$J$3,H11&lt;=$K$3),$L$3,
IF(AND(H11&gt;=$J$4,H11&lt;=$K$4),$L$4,
IF(AND(H11&gt;=$J$5,H11&lt;=$K$5),$L$5,
IF(AND(H11&gt;=$J$6,H11&lt;=$K$6),$L$6,
IF(AND(H11&gt;=$J$7,H11&lt;=$K$7),$L$7,
IF(AND(H11&gt;=$J$8,H11&lt;=$K$8),$L$8,
IF(AND(H11&gt;=$J$9,H11&lt;=$K$9),$L$9,
IF(AND(H11&gt;=$J$10,H11&lt;=$K$10),$L$10,
IF(AND(H11&gt;=$J$11,H11&lt;=$K$11),$L$11)))))))))),
"")</f>
        <v/>
      </c>
      <c r="J11" s="21">
        <v>28</v>
      </c>
      <c r="K11" s="21">
        <v>30</v>
      </c>
      <c r="L11" s="12">
        <v>10</v>
      </c>
      <c r="M11" s="29">
        <v>9</v>
      </c>
      <c r="N11" s="27">
        <f t="shared" si="0"/>
        <v>0</v>
      </c>
      <c r="O11" s="8"/>
      <c r="P11" s="13"/>
      <c r="Q11" s="13"/>
      <c r="R11" s="13"/>
      <c r="S11" s="13"/>
      <c r="T11" s="13"/>
    </row>
    <row r="12" spans="1:20" ht="18" x14ac:dyDescent="0.35">
      <c r="A12" s="30" t="str">
        <f>IF(NOT(ISBLANK('Curs, Seminar'!B16)),'Curs, Seminar'!B16,"")</f>
        <v/>
      </c>
      <c r="B12" s="31" t="str">
        <f>IF(NOT(ISBLANK('Curs, Seminar'!C16)),'Curs, Seminar'!C16,"")</f>
        <v/>
      </c>
      <c r="C12" s="10"/>
      <c r="D12" s="10"/>
      <c r="E12" s="10"/>
      <c r="F12" s="10"/>
      <c r="G12" s="10"/>
      <c r="H12" s="23" t="str">
        <f>IF(NOT(ISBLANK('Curs, Seminar'!C16)),ROUND(SUM(C12:G12),0),"")</f>
        <v/>
      </c>
      <c r="I12" s="22" t="str">
        <f>IF(NOT(ISBLANK('Curs, Seminar'!C16)),
IF(H12=0,"n/p",
IF(AND(H12&gt;=$J$3,H12&lt;=$K$3),$L$3,
IF(AND(H12&gt;=$J$4,H12&lt;=$K$4),$L$4,
IF(AND(H12&gt;=$J$5,H12&lt;=$K$5),$L$5,
IF(AND(H12&gt;=$J$6,H12&lt;=$K$6),$L$6,
IF(AND(H12&gt;=$J$7,H12&lt;=$K$7),$L$7,
IF(AND(H12&gt;=$J$8,H12&lt;=$K$8),$L$8,
IF(AND(H12&gt;=$J$9,H12&lt;=$K$9),$L$9,
IF(AND(H12&gt;=$J$10,H12&lt;=$K$10),$L$10,
IF(AND(H12&gt;=$J$11,H12&lt;=$K$11),$L$11)))))))))),
"")</f>
        <v/>
      </c>
      <c r="J12" s="21"/>
      <c r="K12" s="21"/>
      <c r="L12" s="12"/>
      <c r="M12" s="29">
        <v>10</v>
      </c>
      <c r="N12" s="27">
        <f t="shared" si="0"/>
        <v>0</v>
      </c>
      <c r="O12" s="8"/>
      <c r="P12" s="13"/>
      <c r="Q12" s="13"/>
      <c r="R12" s="13"/>
      <c r="S12" s="13"/>
      <c r="T12" s="13"/>
    </row>
    <row r="13" spans="1:20" ht="18" x14ac:dyDescent="0.35">
      <c r="A13" s="30" t="str">
        <f>IF(NOT(ISBLANK('Curs, Seminar'!B17)),'Curs, Seminar'!B17,"")</f>
        <v/>
      </c>
      <c r="B13" s="31" t="str">
        <f>IF(NOT(ISBLANK('Curs, Seminar'!C17)),'Curs, Seminar'!C17,"")</f>
        <v/>
      </c>
      <c r="C13" s="10"/>
      <c r="D13" s="10"/>
      <c r="E13" s="10"/>
      <c r="F13" s="10"/>
      <c r="G13" s="10"/>
      <c r="H13" s="23" t="str">
        <f>IF(NOT(ISBLANK('Curs, Seminar'!C17)),ROUND(SUM(C13:G13),0),"")</f>
        <v/>
      </c>
      <c r="I13" s="22" t="str">
        <f>IF(NOT(ISBLANK('Curs, Seminar'!C17)),
IF(H13=0,"n/p",
IF(AND(H13&gt;=$J$3,H13&lt;=$K$3),$L$3,
IF(AND(H13&gt;=$J$4,H13&lt;=$K$4),$L$4,
IF(AND(H13&gt;=$J$5,H13&lt;=$K$5),$L$5,
IF(AND(H13&gt;=$J$6,H13&lt;=$K$6),$L$6,
IF(AND(H13&gt;=$J$7,H13&lt;=$K$7),$L$7,
IF(AND(H13&gt;=$J$8,H13&lt;=$K$8),$L$8,
IF(AND(H13&gt;=$J$9,H13&lt;=$K$9),$L$9,
IF(AND(H13&gt;=$J$10,H13&lt;=$K$10),$L$10,
IF(AND(H13&gt;=$J$11,H13&lt;=$K$11),$L$11)))))))))),
"")</f>
        <v/>
      </c>
      <c r="J13" s="21"/>
      <c r="K13" s="21"/>
      <c r="L13" s="12"/>
      <c r="M13" s="29" t="s">
        <v>24</v>
      </c>
      <c r="N13" s="27">
        <f t="shared" si="0"/>
        <v>1</v>
      </c>
      <c r="O13" s="8"/>
      <c r="P13" s="13"/>
      <c r="Q13" s="16"/>
      <c r="R13" s="13"/>
      <c r="S13" s="16"/>
      <c r="T13" s="13"/>
    </row>
    <row r="14" spans="1:20" ht="18" x14ac:dyDescent="0.35">
      <c r="A14" s="30" t="str">
        <f>IF(NOT(ISBLANK('Curs, Seminar'!B18)),'Curs, Seminar'!B18,"")</f>
        <v/>
      </c>
      <c r="B14" s="31" t="str">
        <f>IF(NOT(ISBLANK('Curs, Seminar'!C18)),'Curs, Seminar'!C18,"")</f>
        <v/>
      </c>
      <c r="C14" s="10"/>
      <c r="D14" s="10"/>
      <c r="E14" s="10"/>
      <c r="F14" s="10"/>
      <c r="G14" s="10"/>
      <c r="H14" s="23" t="str">
        <f>IF(NOT(ISBLANK('Curs, Seminar'!C18)),ROUND(SUM(C14:G14),0),"")</f>
        <v/>
      </c>
      <c r="I14" s="22" t="str">
        <f>IF(NOT(ISBLANK('Curs, Seminar'!C18)),
IF(H14=0,"n/p",
IF(AND(H14&gt;=$J$3,H14&lt;=$K$3),$L$3,
IF(AND(H14&gt;=$J$4,H14&lt;=$K$4),$L$4,
IF(AND(H14&gt;=$J$5,H14&lt;=$K$5),$L$5,
IF(AND(H14&gt;=$J$6,H14&lt;=$K$6),$L$6,
IF(AND(H14&gt;=$J$7,H14&lt;=$K$7),$L$7,
IF(AND(H14&gt;=$J$8,H14&lt;=$K$8),$L$8,
IF(AND(H14&gt;=$J$9,H14&lt;=$K$9),$L$9,
IF(AND(H14&gt;=$J$10,H14&lt;=$K$10),$L$10,
IF(AND(H14&gt;=$J$11,H14&lt;=$K$11),$L$11)))))))))),
"")</f>
        <v/>
      </c>
      <c r="J14" s="7"/>
      <c r="K14" s="14"/>
      <c r="L14" s="7"/>
      <c r="P14" s="15"/>
      <c r="Q14" s="13"/>
      <c r="R14" s="16"/>
      <c r="S14" s="13"/>
      <c r="T14" s="16"/>
    </row>
    <row r="15" spans="1:20" ht="18" x14ac:dyDescent="0.35">
      <c r="A15" s="30" t="str">
        <f>IF(NOT(ISBLANK('Curs, Seminar'!B19)),'Curs, Seminar'!B19,"")</f>
        <v/>
      </c>
      <c r="B15" s="31" t="str">
        <f>IF(NOT(ISBLANK('Curs, Seminar'!C19)),'Curs, Seminar'!C19,"")</f>
        <v/>
      </c>
      <c r="C15" s="10"/>
      <c r="D15" s="10"/>
      <c r="E15" s="10"/>
      <c r="F15" s="10"/>
      <c r="G15" s="10"/>
      <c r="H15" s="23" t="str">
        <f>IF(NOT(ISBLANK('Curs, Seminar'!C19)),ROUND(SUM(C15:G15),0),"")</f>
        <v/>
      </c>
      <c r="I15" s="22" t="str">
        <f>IF(NOT(ISBLANK('Curs, Seminar'!C19)),
IF(H15=0,"n/p",
IF(AND(H15&gt;=$J$3,H15&lt;=$K$3),$L$3,
IF(AND(H15&gt;=$J$4,H15&lt;=$K$4),$L$4,
IF(AND(H15&gt;=$J$5,H15&lt;=$K$5),$L$5,
IF(AND(H15&gt;=$J$6,H15&lt;=$K$6),$L$6,
IF(AND(H15&gt;=$J$7,H15&lt;=$K$7),$L$7,
IF(AND(H15&gt;=$J$8,H15&lt;=$K$8),$L$8,
IF(AND(H15&gt;=$J$9,H15&lt;=$K$9),$L$9,
IF(AND(H15&gt;=$J$10,H15&lt;=$K$10),$L$10,
IF(AND(H15&gt;=$J$11,H15&lt;=$K$11),$L$11)))))))))),
"")</f>
        <v/>
      </c>
      <c r="J15" s="7"/>
      <c r="K15" s="14"/>
      <c r="L15" s="7"/>
      <c r="M15" s="1"/>
      <c r="P15" s="17"/>
    </row>
    <row r="16" spans="1:20" ht="18" x14ac:dyDescent="0.35">
      <c r="A16" s="30" t="str">
        <f>IF(NOT(ISBLANK('Curs, Seminar'!B20)),'Curs, Seminar'!B20,"")</f>
        <v/>
      </c>
      <c r="B16" s="31" t="str">
        <f>IF(NOT(ISBLANK('Curs, Seminar'!C20)),'Curs, Seminar'!C20,"")</f>
        <v/>
      </c>
      <c r="C16" s="10"/>
      <c r="D16" s="10"/>
      <c r="E16" s="10"/>
      <c r="F16" s="10"/>
      <c r="G16" s="10"/>
      <c r="H16" s="23" t="str">
        <f>IF(NOT(ISBLANK('Curs, Seminar'!C20)),ROUND(SUM(C16:G16),0),"")</f>
        <v/>
      </c>
      <c r="I16" s="22" t="str">
        <f>IF(NOT(ISBLANK('Curs, Seminar'!C20)),
IF(H16=0,"n/p",
IF(AND(H16&gt;=$J$3,H16&lt;=$K$3),$L$3,
IF(AND(H16&gt;=$J$4,H16&lt;=$K$4),$L$4,
IF(AND(H16&gt;=$J$5,H16&lt;=$K$5),$L$5,
IF(AND(H16&gt;=$J$6,H16&lt;=$K$6),$L$6,
IF(AND(H16&gt;=$J$7,H16&lt;=$K$7),$L$7,
IF(AND(H16&gt;=$J$8,H16&lt;=$K$8),$L$8,
IF(AND(H16&gt;=$J$9,H16&lt;=$K$9),$L$9,
IF(AND(H16&gt;=$J$10,H16&lt;=$K$10),$L$10,
IF(AND(H16&gt;=$J$11,H16&lt;=$K$11),$L$11)))))))))),
"")</f>
        <v/>
      </c>
      <c r="J16" s="7"/>
      <c r="K16" s="14"/>
      <c r="L16" s="7"/>
      <c r="M16" s="1"/>
      <c r="P16" s="17"/>
    </row>
    <row r="17" spans="1:18" ht="18" x14ac:dyDescent="0.35">
      <c r="A17" s="30" t="str">
        <f>IF(NOT(ISBLANK('Curs, Seminar'!B21)),'Curs, Seminar'!B21,"")</f>
        <v/>
      </c>
      <c r="B17" s="31" t="str">
        <f>IF(NOT(ISBLANK('Curs, Seminar'!C21)),'Curs, Seminar'!C21,"")</f>
        <v/>
      </c>
      <c r="C17" s="10"/>
      <c r="D17" s="10"/>
      <c r="E17" s="10"/>
      <c r="F17" s="10"/>
      <c r="G17" s="10"/>
      <c r="H17" s="23" t="str">
        <f>IF(NOT(ISBLANK('Curs, Seminar'!C21)),ROUND(SUM(C17:G17),0),"")</f>
        <v/>
      </c>
      <c r="I17" s="22" t="str">
        <f>IF(NOT(ISBLANK('Curs, Seminar'!C21)),
IF(H17=0,"n/p",
IF(AND(H17&gt;=$J$3,H17&lt;=$K$3),$L$3,
IF(AND(H17&gt;=$J$4,H17&lt;=$K$4),$L$4,
IF(AND(H17&gt;=$J$5,H17&lt;=$K$5),$L$5,
IF(AND(H17&gt;=$J$6,H17&lt;=$K$6),$L$6,
IF(AND(H17&gt;=$J$7,H17&lt;=$K$7),$L$7,
IF(AND(H17&gt;=$J$8,H17&lt;=$K$8),$L$8,
IF(AND(H17&gt;=$J$9,H17&lt;=$K$9),$L$9,
IF(AND(H17&gt;=$J$10,H17&lt;=$K$10),$L$10,
IF(AND(H17&gt;=$J$11,H17&lt;=$K$11),$L$11)))))))))),
"")</f>
        <v/>
      </c>
      <c r="J17" s="7"/>
      <c r="K17" s="14"/>
      <c r="L17" s="7"/>
      <c r="M17" s="1"/>
      <c r="P17" s="17"/>
    </row>
    <row r="18" spans="1:18" ht="18" x14ac:dyDescent="0.35">
      <c r="A18" s="30" t="str">
        <f>IF(NOT(ISBLANK('Curs, Seminar'!B22)),'Curs, Seminar'!B22,"")</f>
        <v/>
      </c>
      <c r="B18" s="31" t="str">
        <f>IF(NOT(ISBLANK('Curs, Seminar'!C22)),'Curs, Seminar'!C22,"")</f>
        <v/>
      </c>
      <c r="C18" s="10"/>
      <c r="D18" s="10"/>
      <c r="E18" s="10"/>
      <c r="F18" s="10"/>
      <c r="G18" s="10"/>
      <c r="H18" s="23" t="str">
        <f>IF(NOT(ISBLANK('Curs, Seminar'!C22)),ROUND(SUM(C18:G18),0),"")</f>
        <v/>
      </c>
      <c r="I18" s="22" t="str">
        <f>IF(NOT(ISBLANK('Curs, Seminar'!C22)),
IF(H18=0,"n/p",
IF(AND(H18&gt;=$J$3,H18&lt;=$K$3),$L$3,
IF(AND(H18&gt;=$J$4,H18&lt;=$K$4),$L$4,
IF(AND(H18&gt;=$J$5,H18&lt;=$K$5),$L$5,
IF(AND(H18&gt;=$J$6,H18&lt;=$K$6),$L$6,
IF(AND(H18&gt;=$J$7,H18&lt;=$K$7),$L$7,
IF(AND(H18&gt;=$J$8,H18&lt;=$K$8),$L$8,
IF(AND(H18&gt;=$J$9,H18&lt;=$K$9),$L$9,
IF(AND(H18&gt;=$J$10,H18&lt;=$K$10),$L$10,
IF(AND(H18&gt;=$J$11,H18&lt;=$K$11),$L$11)))))))))),
"")</f>
        <v/>
      </c>
      <c r="J18" s="7"/>
      <c r="K18" s="14"/>
      <c r="L18" s="7"/>
      <c r="M18" s="1"/>
      <c r="P18" s="17"/>
    </row>
    <row r="19" spans="1:18" ht="18" x14ac:dyDescent="0.35">
      <c r="A19" s="30" t="str">
        <f>IF(NOT(ISBLANK('Curs, Seminar'!B23)),'Curs, Seminar'!B23,"")</f>
        <v/>
      </c>
      <c r="B19" s="31" t="str">
        <f>IF(NOT(ISBLANK('Curs, Seminar'!C23)),'Curs, Seminar'!C23,"")</f>
        <v/>
      </c>
      <c r="C19" s="10"/>
      <c r="D19" s="10"/>
      <c r="E19" s="10"/>
      <c r="F19" s="10"/>
      <c r="G19" s="10"/>
      <c r="H19" s="23" t="str">
        <f>IF(NOT(ISBLANK('Curs, Seminar'!C23)),ROUND(SUM(C19:G19),0),"")</f>
        <v/>
      </c>
      <c r="I19" s="22" t="str">
        <f>IF(NOT(ISBLANK('Curs, Seminar'!C23)),
IF(H19=0,"n/p",
IF(AND(H19&gt;=$J$3,H19&lt;=$K$3),$L$3,
IF(AND(H19&gt;=$J$4,H19&lt;=$K$4),$L$4,
IF(AND(H19&gt;=$J$5,H19&lt;=$K$5),$L$5,
IF(AND(H19&gt;=$J$6,H19&lt;=$K$6),$L$6,
IF(AND(H19&gt;=$J$7,H19&lt;=$K$7),$L$7,
IF(AND(H19&gt;=$J$8,H19&lt;=$K$8),$L$8,
IF(AND(H19&gt;=$J$9,H19&lt;=$K$9),$L$9,
IF(AND(H19&gt;=$J$10,H19&lt;=$K$10),$L$10,
IF(AND(H19&gt;=$J$11,H19&lt;=$K$11),$L$11)))))))))),
"")</f>
        <v/>
      </c>
      <c r="J19" s="7"/>
      <c r="K19" s="14"/>
      <c r="L19" s="7"/>
      <c r="M19" s="1"/>
      <c r="P19" s="17"/>
    </row>
    <row r="20" spans="1:18" ht="18" x14ac:dyDescent="0.35">
      <c r="A20" s="30" t="str">
        <f>IF(NOT(ISBLANK('Curs, Seminar'!B24)),'Curs, Seminar'!B24,"")</f>
        <v/>
      </c>
      <c r="B20" s="31" t="str">
        <f>IF(NOT(ISBLANK('Curs, Seminar'!C24)),'Curs, Seminar'!C24,"")</f>
        <v/>
      </c>
      <c r="C20" s="10"/>
      <c r="D20" s="10"/>
      <c r="E20" s="10"/>
      <c r="F20" s="10"/>
      <c r="G20" s="10"/>
      <c r="H20" s="23" t="str">
        <f>IF(NOT(ISBLANK('Curs, Seminar'!C24)),ROUND(SUM(C20:G20),0),"")</f>
        <v/>
      </c>
      <c r="I20" s="22" t="str">
        <f>IF(NOT(ISBLANK('Curs, Seminar'!C24)),
IF(H20=0,"n/p",
IF(AND(H20&gt;=$J$3,H20&lt;=$K$3),$L$3,
IF(AND(H20&gt;=$J$4,H20&lt;=$K$4),$L$4,
IF(AND(H20&gt;=$J$5,H20&lt;=$K$5),$L$5,
IF(AND(H20&gt;=$J$6,H20&lt;=$K$6),$L$6,
IF(AND(H20&gt;=$J$7,H20&lt;=$K$7),$L$7,
IF(AND(H20&gt;=$J$8,H20&lt;=$K$8),$L$8,
IF(AND(H20&gt;=$J$9,H20&lt;=$K$9),$L$9,
IF(AND(H20&gt;=$J$10,H20&lt;=$K$10),$L$10,
IF(AND(H20&gt;=$J$11,H20&lt;=$K$11),$L$11)))))))))),
"")</f>
        <v/>
      </c>
      <c r="J20" s="7"/>
      <c r="K20" s="14"/>
      <c r="L20" s="7"/>
      <c r="M20" s="1"/>
      <c r="P20" s="17"/>
    </row>
    <row r="21" spans="1:18" ht="18" x14ac:dyDescent="0.35">
      <c r="A21" s="30" t="str">
        <f>IF(NOT(ISBLANK('Curs, Seminar'!B25)),'Curs, Seminar'!B25,"")</f>
        <v/>
      </c>
      <c r="B21" s="31" t="str">
        <f>IF(NOT(ISBLANK('Curs, Seminar'!C25)),'Curs, Seminar'!C25,"")</f>
        <v/>
      </c>
      <c r="C21" s="10"/>
      <c r="D21" s="10"/>
      <c r="E21" s="10"/>
      <c r="F21" s="10"/>
      <c r="G21" s="10"/>
      <c r="H21" s="23" t="str">
        <f>IF(NOT(ISBLANK('Curs, Seminar'!C25)),ROUND(SUM(C21:G21),0),"")</f>
        <v/>
      </c>
      <c r="I21" s="22" t="str">
        <f>IF(NOT(ISBLANK('Curs, Seminar'!C25)),
IF(H21=0,"n/p",
IF(AND(H21&gt;=$J$3,H21&lt;=$K$3),$L$3,
IF(AND(H21&gt;=$J$4,H21&lt;=$K$4),$L$4,
IF(AND(H21&gt;=$J$5,H21&lt;=$K$5),$L$5,
IF(AND(H21&gt;=$J$6,H21&lt;=$K$6),$L$6,
IF(AND(H21&gt;=$J$7,H21&lt;=$K$7),$L$7,
IF(AND(H21&gt;=$J$8,H21&lt;=$K$8),$L$8,
IF(AND(H21&gt;=$J$9,H21&lt;=$K$9),$L$9,
IF(AND(H21&gt;=$J$10,H21&lt;=$K$10),$L$10,
IF(AND(H21&gt;=$J$11,H21&lt;=$K$11),$L$11)))))))))),
"")</f>
        <v/>
      </c>
      <c r="J21" s="7"/>
      <c r="K21" s="14"/>
      <c r="L21" s="7"/>
      <c r="M21" s="1"/>
      <c r="P21" s="17"/>
    </row>
    <row r="22" spans="1:18" ht="18" x14ac:dyDescent="0.35">
      <c r="A22" s="30" t="str">
        <f>IF(NOT(ISBLANK('Curs, Seminar'!B26)),'Curs, Seminar'!B26,"")</f>
        <v/>
      </c>
      <c r="B22" s="31" t="str">
        <f>IF(NOT(ISBLANK('Curs, Seminar'!C26)),'Curs, Seminar'!C26,"")</f>
        <v/>
      </c>
      <c r="C22" s="10"/>
      <c r="D22" s="10"/>
      <c r="E22" s="10"/>
      <c r="F22" s="10"/>
      <c r="G22" s="10"/>
      <c r="H22" s="23" t="str">
        <f>IF(NOT(ISBLANK('Curs, Seminar'!C26)),ROUND(SUM(C22:G22),0),"")</f>
        <v/>
      </c>
      <c r="I22" s="22" t="str">
        <f>IF(NOT(ISBLANK('Curs, Seminar'!C26)),
IF(H22=0,"n/p",
IF(AND(H22&gt;=$J$3,H22&lt;=$K$3),$L$3,
IF(AND(H22&gt;=$J$4,H22&lt;=$K$4),$L$4,
IF(AND(H22&gt;=$J$5,H22&lt;=$K$5),$L$5,
IF(AND(H22&gt;=$J$6,H22&lt;=$K$6),$L$6,
IF(AND(H22&gt;=$J$7,H22&lt;=$K$7),$L$7,
IF(AND(H22&gt;=$J$8,H22&lt;=$K$8),$L$8,
IF(AND(H22&gt;=$J$9,H22&lt;=$K$9),$L$9,
IF(AND(H22&gt;=$J$10,H22&lt;=$K$10),$L$10,
IF(AND(H22&gt;=$J$11,H22&lt;=$K$11),$L$11)))))))))),
"")</f>
        <v/>
      </c>
      <c r="J22" s="7"/>
      <c r="K22" s="14"/>
      <c r="L22" s="7"/>
      <c r="M22" s="1"/>
      <c r="P22" s="17"/>
    </row>
    <row r="23" spans="1:18" ht="18" x14ac:dyDescent="0.35">
      <c r="A23" s="30" t="str">
        <f>IF(NOT(ISBLANK('Curs, Seminar'!B27)),'Curs, Seminar'!B27,"")</f>
        <v/>
      </c>
      <c r="B23" s="31" t="str">
        <f>IF(NOT(ISBLANK('Curs, Seminar'!C27)),'Curs, Seminar'!C27,"")</f>
        <v/>
      </c>
      <c r="C23" s="10"/>
      <c r="D23" s="10"/>
      <c r="E23" s="10"/>
      <c r="F23" s="10"/>
      <c r="G23" s="10"/>
      <c r="H23" s="23" t="str">
        <f>IF(NOT(ISBLANK('Curs, Seminar'!C27)),ROUND(SUM(C23:G23),0),"")</f>
        <v/>
      </c>
      <c r="I23" s="22" t="str">
        <f>IF(NOT(ISBLANK('Curs, Seminar'!C27)),
IF(H23=0,"n/p",
IF(AND(H23&gt;=$J$3,H23&lt;=$K$3),$L$3,
IF(AND(H23&gt;=$J$4,H23&lt;=$K$4),$L$4,
IF(AND(H23&gt;=$J$5,H23&lt;=$K$5),$L$5,
IF(AND(H23&gt;=$J$6,H23&lt;=$K$6),$L$6,
IF(AND(H23&gt;=$J$7,H23&lt;=$K$7),$L$7,
IF(AND(H23&gt;=$J$8,H23&lt;=$K$8),$L$8,
IF(AND(H23&gt;=$J$9,H23&lt;=$K$9),$L$9,
IF(AND(H23&gt;=$J$10,H23&lt;=$K$10),$L$10,
IF(AND(H23&gt;=$J$11,H23&lt;=$K$11),$L$11)))))))))),
"")</f>
        <v/>
      </c>
      <c r="J23" s="7"/>
      <c r="K23" s="14"/>
      <c r="L23" s="7"/>
      <c r="M23" s="1"/>
      <c r="P23" s="17"/>
    </row>
    <row r="24" spans="1:18" ht="18" x14ac:dyDescent="0.35">
      <c r="A24" s="30" t="str">
        <f>IF(NOT(ISBLANK('Curs, Seminar'!B28)),'Curs, Seminar'!B28,"")</f>
        <v/>
      </c>
      <c r="B24" s="31" t="str">
        <f>IF(NOT(ISBLANK('Curs, Seminar'!C28)),'Curs, Seminar'!C28,"")</f>
        <v/>
      </c>
      <c r="C24" s="10"/>
      <c r="D24" s="10"/>
      <c r="E24" s="10"/>
      <c r="F24" s="10"/>
      <c r="G24" s="10"/>
      <c r="H24" s="23" t="str">
        <f>IF(NOT(ISBLANK('Curs, Seminar'!C28)),ROUND(SUM(C24:G24),0),"")</f>
        <v/>
      </c>
      <c r="I24" s="22" t="str">
        <f>IF(NOT(ISBLANK('Curs, Seminar'!C28)),
IF(H24=0,"n/p",
IF(AND(H24&gt;=$J$3,H24&lt;=$K$3),$L$3,
IF(AND(H24&gt;=$J$4,H24&lt;=$K$4),$L$4,
IF(AND(H24&gt;=$J$5,H24&lt;=$K$5),$L$5,
IF(AND(H24&gt;=$J$6,H24&lt;=$K$6),$L$6,
IF(AND(H24&gt;=$J$7,H24&lt;=$K$7),$L$7,
IF(AND(H24&gt;=$J$8,H24&lt;=$K$8),$L$8,
IF(AND(H24&gt;=$J$9,H24&lt;=$K$9),$L$9,
IF(AND(H24&gt;=$J$10,H24&lt;=$K$10),$L$10,
IF(AND(H24&gt;=$J$11,H24&lt;=$K$11),$L$11)))))))))),
"")</f>
        <v/>
      </c>
      <c r="J24" s="7"/>
      <c r="K24" s="14"/>
      <c r="L24" s="7"/>
      <c r="M24" s="1"/>
      <c r="P24" s="17"/>
    </row>
    <row r="25" spans="1:18" ht="18" x14ac:dyDescent="0.35">
      <c r="A25" s="30" t="str">
        <f>IF(NOT(ISBLANK('Curs, Seminar'!B29)),'Curs, Seminar'!B29,"")</f>
        <v/>
      </c>
      <c r="B25" s="31" t="str">
        <f>IF(NOT(ISBLANK('Curs, Seminar'!C29)),'Curs, Seminar'!C29,"")</f>
        <v/>
      </c>
      <c r="C25" s="10"/>
      <c r="D25" s="10"/>
      <c r="E25" s="10"/>
      <c r="F25" s="10"/>
      <c r="G25" s="10"/>
      <c r="H25" s="23" t="str">
        <f>IF(NOT(ISBLANK('Curs, Seminar'!C29)),ROUND(SUM(C25:G25),0),"")</f>
        <v/>
      </c>
      <c r="I25" s="22" t="str">
        <f>IF(NOT(ISBLANK('Curs, Seminar'!C29)),
IF(H25=0,"n/p",
IF(AND(H25&gt;=$J$3,H25&lt;=$K$3),$L$3,
IF(AND(H25&gt;=$J$4,H25&lt;=$K$4),$L$4,
IF(AND(H25&gt;=$J$5,H25&lt;=$K$5),$L$5,
IF(AND(H25&gt;=$J$6,H25&lt;=$K$6),$L$6,
IF(AND(H25&gt;=$J$7,H25&lt;=$K$7),$L$7,
IF(AND(H25&gt;=$J$8,H25&lt;=$K$8),$L$8,
IF(AND(H25&gt;=$J$9,H25&lt;=$K$9),$L$9,
IF(AND(H25&gt;=$J$10,H25&lt;=$K$10),$L$10,
IF(AND(H25&gt;=$J$11,H25&lt;=$K$11),$L$11)))))))))),
"")</f>
        <v/>
      </c>
      <c r="J25" s="7"/>
      <c r="K25" s="14"/>
      <c r="L25" s="7"/>
      <c r="M25" s="1"/>
      <c r="P25" s="17"/>
    </row>
    <row r="26" spans="1:18" ht="18" x14ac:dyDescent="0.35">
      <c r="A26" s="30" t="str">
        <f>IF(NOT(ISBLANK('Curs, Seminar'!B30)),'Curs, Seminar'!B30,"")</f>
        <v/>
      </c>
      <c r="B26" s="31" t="str">
        <f>IF(NOT(ISBLANK('Curs, Seminar'!C30)),'Curs, Seminar'!C30,"")</f>
        <v/>
      </c>
      <c r="C26" s="10"/>
      <c r="D26" s="10"/>
      <c r="E26" s="10"/>
      <c r="F26" s="10"/>
      <c r="G26" s="10"/>
      <c r="H26" s="23" t="str">
        <f>IF(NOT(ISBLANK('Curs, Seminar'!C30)),ROUND(SUM(C26:G26),0),"")</f>
        <v/>
      </c>
      <c r="I26" s="22" t="str">
        <f>IF(NOT(ISBLANK('Curs, Seminar'!C30)),
IF(H26=0,"n/p",
IF(AND(H26&gt;=$J$3,H26&lt;=$K$3),$L$3,
IF(AND(H26&gt;=$J$4,H26&lt;=$K$4),$L$4,
IF(AND(H26&gt;=$J$5,H26&lt;=$K$5),$L$5,
IF(AND(H26&gt;=$J$6,H26&lt;=$K$6),$L$6,
IF(AND(H26&gt;=$J$7,H26&lt;=$K$7),$L$7,
IF(AND(H26&gt;=$J$8,H26&lt;=$K$8),$L$8,
IF(AND(H26&gt;=$J$9,H26&lt;=$K$9),$L$9,
IF(AND(H26&gt;=$J$10,H26&lt;=$K$10),$L$10,
IF(AND(H26&gt;=$J$11,H26&lt;=$K$11),$L$11)))))))))),
"")</f>
        <v/>
      </c>
      <c r="J26" s="7"/>
      <c r="K26" s="14"/>
      <c r="L26" s="7"/>
      <c r="M26" s="1"/>
      <c r="P26" s="17"/>
    </row>
    <row r="27" spans="1:18" ht="18" x14ac:dyDescent="0.35">
      <c r="A27" s="30" t="str">
        <f>IF(NOT(ISBLANK('Curs, Seminar'!B31)),'Curs, Seminar'!B31,"")</f>
        <v/>
      </c>
      <c r="B27" s="31" t="str">
        <f>IF(NOT(ISBLANK('Curs, Seminar'!C31)),'Curs, Seminar'!C31,"")</f>
        <v/>
      </c>
      <c r="C27" s="10"/>
      <c r="D27" s="10"/>
      <c r="E27" s="10"/>
      <c r="F27" s="10"/>
      <c r="G27" s="10"/>
      <c r="H27" s="23" t="str">
        <f>IF(NOT(ISBLANK('Curs, Seminar'!C31)),ROUND(SUM(C27:G27),0),"")</f>
        <v/>
      </c>
      <c r="I27" s="22" t="str">
        <f>IF(NOT(ISBLANK('Curs, Seminar'!C31)),
IF(H27=0,"n/p",
IF(AND(H27&gt;=$J$3,H27&lt;=$K$3),$L$3,
IF(AND(H27&gt;=$J$4,H27&lt;=$K$4),$L$4,
IF(AND(H27&gt;=$J$5,H27&lt;=$K$5),$L$5,
IF(AND(H27&gt;=$J$6,H27&lt;=$K$6),$L$6,
IF(AND(H27&gt;=$J$7,H27&lt;=$K$7),$L$7,
IF(AND(H27&gt;=$J$8,H27&lt;=$K$8),$L$8,
IF(AND(H27&gt;=$J$9,H27&lt;=$K$9),$L$9,
IF(AND(H27&gt;=$J$10,H27&lt;=$K$10),$L$10,
IF(AND(H27&gt;=$J$11,H27&lt;=$K$11),$L$11)))))))))),
"")</f>
        <v/>
      </c>
      <c r="J27" s="10"/>
      <c r="K27" s="10"/>
      <c r="L27" s="10"/>
      <c r="M27" s="11"/>
      <c r="N27" s="22"/>
      <c r="O27" s="7"/>
      <c r="P27" s="14"/>
      <c r="Q27" s="7"/>
      <c r="R27" s="1"/>
    </row>
    <row r="28" spans="1:18" ht="18" x14ac:dyDescent="0.35">
      <c r="A28" s="30" t="str">
        <f>IF(NOT(ISBLANK('Curs, Seminar'!B32)),'Curs, Seminar'!B32,"")</f>
        <v/>
      </c>
      <c r="B28" s="31" t="str">
        <f>IF(NOT(ISBLANK('Curs, Seminar'!C32)),'Curs, Seminar'!C32,"")</f>
        <v/>
      </c>
      <c r="C28" s="10"/>
      <c r="D28" s="10"/>
      <c r="E28" s="10"/>
      <c r="F28" s="10"/>
      <c r="G28" s="10"/>
      <c r="H28" s="23" t="str">
        <f>IF(NOT(ISBLANK('Curs, Seminar'!C32)),ROUND(SUM(C28:G28),0),"")</f>
        <v/>
      </c>
      <c r="I28" s="22" t="str">
        <f>IF(NOT(ISBLANK('Curs, Seminar'!C32)),
IF(H28=0,"n/p",
IF(AND(H28&gt;=$J$3,H28&lt;=$K$3),$L$3,
IF(AND(H28&gt;=$J$4,H28&lt;=$K$4),$L$4,
IF(AND(H28&gt;=$J$5,H28&lt;=$K$5),$L$5,
IF(AND(H28&gt;=$J$6,H28&lt;=$K$6),$L$6,
IF(AND(H28&gt;=$J$7,H28&lt;=$K$7),$L$7,
IF(AND(H28&gt;=$J$8,H28&lt;=$K$8),$L$8,
IF(AND(H28&gt;=$J$9,H28&lt;=$K$9),$L$9,
IF(AND(H28&gt;=$J$10,H28&lt;=$K$10),$L$10,
IF(AND(H28&gt;=$J$11,H28&lt;=$K$11),$L$11)))))))))),
"")</f>
        <v/>
      </c>
    </row>
    <row r="29" spans="1:18" ht="18" x14ac:dyDescent="0.35">
      <c r="A29" s="30" t="str">
        <f>IF(NOT(ISBLANK('Curs, Seminar'!B33)),'Curs, Seminar'!B33,"")</f>
        <v/>
      </c>
      <c r="B29" s="31" t="str">
        <f>IF(NOT(ISBLANK('Curs, Seminar'!C33)),'Curs, Seminar'!C33,"")</f>
        <v/>
      </c>
      <c r="C29" s="10"/>
      <c r="D29" s="10"/>
      <c r="E29" s="10"/>
      <c r="F29" s="10"/>
      <c r="G29" s="10"/>
      <c r="H29" s="23" t="str">
        <f>IF(NOT(ISBLANK('Curs, Seminar'!C33)),ROUND(SUM(C29:G29),0),"")</f>
        <v/>
      </c>
      <c r="I29" s="22" t="str">
        <f>IF(NOT(ISBLANK('Curs, Seminar'!C33)),
IF(H29=0,"n/p",
IF(AND(H29&gt;=$J$3,H29&lt;=$K$3),$L$3,
IF(AND(H29&gt;=$J$4,H29&lt;=$K$4),$L$4,
IF(AND(H29&gt;=$J$5,H29&lt;=$K$5),$L$5,
IF(AND(H29&gt;=$J$6,H29&lt;=$K$6),$L$6,
IF(AND(H29&gt;=$J$7,H29&lt;=$K$7),$L$7,
IF(AND(H29&gt;=$J$8,H29&lt;=$K$8),$L$8,
IF(AND(H29&gt;=$J$9,H29&lt;=$K$9),$L$9,
IF(AND(H29&gt;=$J$10,H29&lt;=$K$10),$L$10,
IF(AND(H29&gt;=$J$11,H29&lt;=$K$11),$L$11)))))))))),
"")</f>
        <v/>
      </c>
    </row>
    <row r="30" spans="1:18" ht="18" x14ac:dyDescent="0.35">
      <c r="A30" s="30" t="str">
        <f>IF(NOT(ISBLANK('Curs, Seminar'!B34)),'Curs, Seminar'!B34,"")</f>
        <v/>
      </c>
      <c r="B30" s="31" t="str">
        <f>IF(NOT(ISBLANK('Curs, Seminar'!C34)),'Curs, Seminar'!C34,"")</f>
        <v/>
      </c>
      <c r="C30" s="10"/>
      <c r="D30" s="10"/>
      <c r="E30" s="10"/>
      <c r="F30" s="10"/>
      <c r="G30" s="10"/>
      <c r="H30" s="23" t="str">
        <f>IF(NOT(ISBLANK('Curs, Seminar'!C34)),ROUND(SUM(C30:G30),0),"")</f>
        <v/>
      </c>
      <c r="I30" s="22" t="str">
        <f>IF(NOT(ISBLANK('Curs, Seminar'!C34)),
IF(H30=0,"n/p",
IF(AND(H30&gt;=$J$3,H30&lt;=$K$3),$L$3,
IF(AND(H30&gt;=$J$4,H30&lt;=$K$4),$L$4,
IF(AND(H30&gt;=$J$5,H30&lt;=$K$5),$L$5,
IF(AND(H30&gt;=$J$6,H30&lt;=$K$6),$L$6,
IF(AND(H30&gt;=$J$7,H30&lt;=$K$7),$L$7,
IF(AND(H30&gt;=$J$8,H30&lt;=$K$8),$L$8,
IF(AND(H30&gt;=$J$9,H30&lt;=$K$9),$L$9,
IF(AND(H30&gt;=$J$10,H30&lt;=$K$10),$L$10,
IF(AND(H30&gt;=$J$11,H30&lt;=$K$11),$L$11)))))))))),
"")</f>
        <v/>
      </c>
    </row>
    <row r="31" spans="1:18" ht="18" x14ac:dyDescent="0.35">
      <c r="A31" s="30" t="str">
        <f>IF(NOT(ISBLANK('Curs, Seminar'!B35)),'Curs, Seminar'!B35,"")</f>
        <v/>
      </c>
      <c r="B31" s="31" t="str">
        <f>IF(NOT(ISBLANK('Curs, Seminar'!C35)),'Curs, Seminar'!C35,"")</f>
        <v/>
      </c>
      <c r="C31" s="10"/>
      <c r="D31" s="10"/>
      <c r="E31" s="10"/>
      <c r="F31" s="10"/>
      <c r="G31" s="10"/>
      <c r="H31" s="23" t="str">
        <f>IF(NOT(ISBLANK('Curs, Seminar'!C35)),ROUND(SUM(C31:G31),0),"")</f>
        <v/>
      </c>
      <c r="I31" s="22" t="str">
        <f>IF(NOT(ISBLANK('Curs, Seminar'!C35)),
IF(H31=0,"n/p",
IF(AND(H31&gt;=$J$3,H31&lt;=$K$3),$L$3,
IF(AND(H31&gt;=$J$4,H31&lt;=$K$4),$L$4,
IF(AND(H31&gt;=$J$5,H31&lt;=$K$5),$L$5,
IF(AND(H31&gt;=$J$6,H31&lt;=$K$6),$L$6,
IF(AND(H31&gt;=$J$7,H31&lt;=$K$7),$L$7,
IF(AND(H31&gt;=$J$8,H31&lt;=$K$8),$L$8,
IF(AND(H31&gt;=$J$9,H31&lt;=$K$9),$L$9,
IF(AND(H31&gt;=$J$10,H31&lt;=$K$10),$L$10,
IF(AND(H31&gt;=$J$11,H31&lt;=$K$11),$L$11)))))))))),
"")</f>
        <v/>
      </c>
    </row>
    <row r="32" spans="1:18" ht="18" x14ac:dyDescent="0.35">
      <c r="A32" s="30" t="str">
        <f>IF(NOT(ISBLANK('Curs, Seminar'!B36)),'Curs, Seminar'!B36,"")</f>
        <v/>
      </c>
      <c r="B32" s="31" t="str">
        <f>IF(NOT(ISBLANK('Curs, Seminar'!C36)),'Curs, Seminar'!C36,"")</f>
        <v/>
      </c>
      <c r="C32" s="10"/>
      <c r="D32" s="10"/>
      <c r="E32" s="10"/>
      <c r="F32" s="10"/>
      <c r="G32" s="10"/>
      <c r="H32" s="23" t="str">
        <f>IF(NOT(ISBLANK('Curs, Seminar'!C36)),ROUND(SUM(C32:G32),0),"")</f>
        <v/>
      </c>
      <c r="I32" s="22" t="str">
        <f>IF(NOT(ISBLANK('Curs, Seminar'!C36)),
IF(H32=0,"n/p",
IF(AND(H32&gt;=$J$3,H32&lt;=$K$3),$L$3,
IF(AND(H32&gt;=$J$4,H32&lt;=$K$4),$L$4,
IF(AND(H32&gt;=$J$5,H32&lt;=$K$5),$L$5,
IF(AND(H32&gt;=$J$6,H32&lt;=$K$6),$L$6,
IF(AND(H32&gt;=$J$7,H32&lt;=$K$7),$L$7,
IF(AND(H32&gt;=$J$8,H32&lt;=$K$8),$L$8,
IF(AND(H32&gt;=$J$9,H32&lt;=$K$9),$L$9,
IF(AND(H32&gt;=$J$10,H32&lt;=$K$10),$L$10,
IF(AND(H32&gt;=$J$11,H32&lt;=$K$11),$L$11)))))))))),
"")</f>
        <v/>
      </c>
    </row>
    <row r="33" spans="1:9" ht="18" x14ac:dyDescent="0.35">
      <c r="A33" s="30" t="str">
        <f>IF(NOT(ISBLANK('Curs, Seminar'!B37)),'Curs, Seminar'!B37,"")</f>
        <v/>
      </c>
      <c r="B33" s="31" t="str">
        <f>IF(NOT(ISBLANK('Curs, Seminar'!C37)),'Curs, Seminar'!C37,"")</f>
        <v/>
      </c>
      <c r="C33" s="10"/>
      <c r="D33" s="10"/>
      <c r="E33" s="10"/>
      <c r="F33" s="10"/>
      <c r="G33" s="10"/>
      <c r="H33" s="23" t="str">
        <f>IF(NOT(ISBLANK('Curs, Seminar'!C37)),ROUND(SUM(C33:G33),0),"")</f>
        <v/>
      </c>
      <c r="I33" s="22" t="str">
        <f>IF(NOT(ISBLANK('Curs, Seminar'!C37)),
IF(H33=0,"n/p",
IF(AND(H33&gt;=$J$3,H33&lt;=$K$3),$L$3,
IF(AND(H33&gt;=$J$4,H33&lt;=$K$4),$L$4,
IF(AND(H33&gt;=$J$5,H33&lt;=$K$5),$L$5,
IF(AND(H33&gt;=$J$6,H33&lt;=$K$6),$L$6,
IF(AND(H33&gt;=$J$7,H33&lt;=$K$7),$L$7,
IF(AND(H33&gt;=$J$8,H33&lt;=$K$8),$L$8,
IF(AND(H33&gt;=$J$9,H33&lt;=$K$9),$L$9,
IF(AND(H33&gt;=$J$10,H33&lt;=$K$10),$L$10,
IF(AND(H33&gt;=$J$11,H33&lt;=$K$11),$L$11)))))))))),
"")</f>
        <v/>
      </c>
    </row>
    <row r="34" spans="1:9" ht="18" x14ac:dyDescent="0.35">
      <c r="A34" s="30" t="str">
        <f>IF(NOT(ISBLANK('Curs, Seminar'!B38)),'Curs, Seminar'!B38,"")</f>
        <v/>
      </c>
      <c r="B34" s="31" t="str">
        <f>IF(NOT(ISBLANK('Curs, Seminar'!C38)),'Curs, Seminar'!C38,"")</f>
        <v/>
      </c>
      <c r="C34" s="10"/>
      <c r="D34" s="10"/>
      <c r="E34" s="10"/>
      <c r="F34" s="10"/>
      <c r="G34" s="10"/>
      <c r="H34" s="23" t="str">
        <f>IF(NOT(ISBLANK('Curs, Seminar'!C38)),ROUND(SUM(C34:G34),0),"")</f>
        <v/>
      </c>
      <c r="I34" s="22" t="str">
        <f>IF(NOT(ISBLANK('Curs, Seminar'!C38)),
IF(H34=0,"n/p",
IF(AND(H34&gt;=$J$3,H34&lt;=$K$3),$L$3,
IF(AND(H34&gt;=$J$4,H34&lt;=$K$4),$L$4,
IF(AND(H34&gt;=$J$5,H34&lt;=$K$5),$L$5,
IF(AND(H34&gt;=$J$6,H34&lt;=$K$6),$L$6,
IF(AND(H34&gt;=$J$7,H34&lt;=$K$7),$L$7,
IF(AND(H34&gt;=$J$8,H34&lt;=$K$8),$L$8,
IF(AND(H34&gt;=$J$9,H34&lt;=$K$9),$L$9,
IF(AND(H34&gt;=$J$10,H34&lt;=$K$10),$L$10,
IF(AND(H34&gt;=$J$11,H34&lt;=$K$11),$L$11)))))))))),
"")</f>
        <v/>
      </c>
    </row>
    <row r="35" spans="1:9" ht="18" x14ac:dyDescent="0.35">
      <c r="A35" s="30" t="str">
        <f>IF(NOT(ISBLANK('Curs, Seminar'!B39)),'Curs, Seminar'!B39,"")</f>
        <v/>
      </c>
      <c r="B35" s="31" t="str">
        <f>IF(NOT(ISBLANK('Curs, Seminar'!C39)),'Curs, Seminar'!C39,"")</f>
        <v/>
      </c>
      <c r="C35" s="10"/>
      <c r="D35" s="10"/>
      <c r="E35" s="10"/>
      <c r="F35" s="10"/>
      <c r="G35" s="10"/>
      <c r="H35" s="23" t="str">
        <f>IF(NOT(ISBLANK('Curs, Seminar'!C39)),ROUND(SUM(C35:G35),0),"")</f>
        <v/>
      </c>
      <c r="I35" s="22" t="str">
        <f>IF(NOT(ISBLANK('Curs, Seminar'!C39)),
IF(H35=0,"n/p",
IF(AND(H35&gt;=$J$3,H35&lt;=$K$3),$L$3,
IF(AND(H35&gt;=$J$4,H35&lt;=$K$4),$L$4,
IF(AND(H35&gt;=$J$5,H35&lt;=$K$5),$L$5,
IF(AND(H35&gt;=$J$6,H35&lt;=$K$6),$L$6,
IF(AND(H35&gt;=$J$7,H35&lt;=$K$7),$L$7,
IF(AND(H35&gt;=$J$8,H35&lt;=$K$8),$L$8,
IF(AND(H35&gt;=$J$9,H35&lt;=$K$9),$L$9,
IF(AND(H35&gt;=$J$10,H35&lt;=$K$10),$L$10,
IF(AND(H35&gt;=$J$11,H35&lt;=$K$11),$L$11)))))))))),
"")</f>
        <v/>
      </c>
    </row>
    <row r="36" spans="1:9" ht="18" x14ac:dyDescent="0.35">
      <c r="A36" s="30" t="str">
        <f>IF(NOT(ISBLANK('Curs, Seminar'!B40)),'Curs, Seminar'!B40,"")</f>
        <v/>
      </c>
      <c r="B36" s="31" t="str">
        <f>IF(NOT(ISBLANK('Curs, Seminar'!C40)),'Curs, Seminar'!C40,"")</f>
        <v/>
      </c>
      <c r="C36" s="10"/>
      <c r="D36" s="10"/>
      <c r="E36" s="10"/>
      <c r="F36" s="10"/>
      <c r="G36" s="10"/>
      <c r="H36" s="23" t="str">
        <f>IF(NOT(ISBLANK('Curs, Seminar'!C40)),ROUND(SUM(C36:G36),0),"")</f>
        <v/>
      </c>
      <c r="I36" s="22" t="str">
        <f>IF(NOT(ISBLANK('Curs, Seminar'!C40)),
IF(H36=0,"n/p",
IF(AND(H36&gt;=$J$3,H36&lt;=$K$3),$L$3,
IF(AND(H36&gt;=$J$4,H36&lt;=$K$4),$L$4,
IF(AND(H36&gt;=$J$5,H36&lt;=$K$5),$L$5,
IF(AND(H36&gt;=$J$6,H36&lt;=$K$6),$L$6,
IF(AND(H36&gt;=$J$7,H36&lt;=$K$7),$L$7,
IF(AND(H36&gt;=$J$8,H36&lt;=$K$8),$L$8,
IF(AND(H36&gt;=$J$9,H36&lt;=$K$9),$L$9,
IF(AND(H36&gt;=$J$10,H36&lt;=$K$10),$L$10,
IF(AND(H36&gt;=$J$11,H36&lt;=$K$11),$L$11)))))))))),
"")</f>
        <v/>
      </c>
    </row>
    <row r="37" spans="1:9" ht="18" x14ac:dyDescent="0.35">
      <c r="A37" s="30" t="str">
        <f>IF(NOT(ISBLANK('Curs, Seminar'!B41)),'Curs, Seminar'!B41,"")</f>
        <v/>
      </c>
      <c r="B37" s="31" t="str">
        <f>IF(NOT(ISBLANK('Curs, Seminar'!C41)),'Curs, Seminar'!C41,"")</f>
        <v/>
      </c>
      <c r="C37" s="10"/>
      <c r="D37" s="10"/>
      <c r="E37" s="10"/>
      <c r="F37" s="10"/>
      <c r="G37" s="10"/>
      <c r="H37" s="23" t="str">
        <f>IF(NOT(ISBLANK('Curs, Seminar'!C41)),ROUND(SUM(C37:G37),0),"")</f>
        <v/>
      </c>
      <c r="I37" s="22" t="str">
        <f>IF(NOT(ISBLANK('Curs, Seminar'!C41)),
IF(H37=0,"n/p",
IF(AND(H37&gt;=$J$3,H37&lt;=$K$3),$L$3,
IF(AND(H37&gt;=$J$4,H37&lt;=$K$4),$L$4,
IF(AND(H37&gt;=$J$5,H37&lt;=$K$5),$L$5,
IF(AND(H37&gt;=$J$6,H37&lt;=$K$6),$L$6,
IF(AND(H37&gt;=$J$7,H37&lt;=$K$7),$L$7,
IF(AND(H37&gt;=$J$8,H37&lt;=$K$8),$L$8,
IF(AND(H37&gt;=$J$9,H37&lt;=$K$9),$L$9,
IF(AND(H37&gt;=$J$10,H37&lt;=$K$10),$L$10,
IF(AND(H37&gt;=$J$11,H37&lt;=$K$11),$L$11)))))))))),
"")</f>
        <v/>
      </c>
    </row>
    <row r="38" spans="1:9" ht="18" x14ac:dyDescent="0.35">
      <c r="A38" s="30" t="str">
        <f>IF(NOT(ISBLANK('Curs, Seminar'!B42)),'Curs, Seminar'!B42,"")</f>
        <v/>
      </c>
      <c r="B38" s="31" t="str">
        <f>IF(NOT(ISBLANK('Curs, Seminar'!C42)),'Curs, Seminar'!C42,"")</f>
        <v/>
      </c>
      <c r="C38" s="10"/>
      <c r="D38" s="10"/>
      <c r="E38" s="10"/>
      <c r="F38" s="10"/>
      <c r="G38" s="10"/>
      <c r="H38" s="23" t="str">
        <f>IF(NOT(ISBLANK('Curs, Seminar'!C42)),ROUND(SUM(C38:G38),0),"")</f>
        <v/>
      </c>
      <c r="I38" s="22" t="str">
        <f>IF(NOT(ISBLANK('Curs, Seminar'!C42)),
IF(H38=0,"n/p",
IF(AND(H38&gt;=$J$3,H38&lt;=$K$3),$L$3,
IF(AND(H38&gt;=$J$4,H38&lt;=$K$4),$L$4,
IF(AND(H38&gt;=$J$5,H38&lt;=$K$5),$L$5,
IF(AND(H38&gt;=$J$6,H38&lt;=$K$6),$L$6,
IF(AND(H38&gt;=$J$7,H38&lt;=$K$7),$L$7,
IF(AND(H38&gt;=$J$8,H38&lt;=$K$8),$L$8,
IF(AND(H38&gt;=$J$9,H38&lt;=$K$9),$L$9,
IF(AND(H38&gt;=$J$10,H38&lt;=$K$10),$L$10,
IF(AND(H38&gt;=$J$11,H38&lt;=$K$11),$L$11)))))))))),
"")</f>
        <v/>
      </c>
    </row>
    <row r="39" spans="1:9" ht="18" x14ac:dyDescent="0.35">
      <c r="A39" s="30" t="str">
        <f>IF(NOT(ISBLANK('Curs, Seminar'!B43)),'Curs, Seminar'!B43,"")</f>
        <v/>
      </c>
      <c r="B39" s="31" t="str">
        <f>IF(NOT(ISBLANK('Curs, Seminar'!C43)),'Curs, Seminar'!C43,"")</f>
        <v/>
      </c>
      <c r="C39" s="10"/>
      <c r="D39" s="10"/>
      <c r="E39" s="10"/>
      <c r="F39" s="10"/>
      <c r="G39" s="10"/>
      <c r="H39" s="23" t="str">
        <f>IF(NOT(ISBLANK('Curs, Seminar'!C43)),ROUND(SUM(C39:G39),0),"")</f>
        <v/>
      </c>
      <c r="I39" s="22" t="str">
        <f>IF(NOT(ISBLANK('Curs, Seminar'!C43)),
IF(H39=0,"n/p",
IF(AND(H39&gt;=$J$3,H39&lt;=$K$3),$L$3,
IF(AND(H39&gt;=$J$4,H39&lt;=$K$4),$L$4,
IF(AND(H39&gt;=$J$5,H39&lt;=$K$5),$L$5,
IF(AND(H39&gt;=$J$6,H39&lt;=$K$6),$L$6,
IF(AND(H39&gt;=$J$7,H39&lt;=$K$7),$L$7,
IF(AND(H39&gt;=$J$8,H39&lt;=$K$8),$L$8,
IF(AND(H39&gt;=$J$9,H39&lt;=$K$9),$L$9,
IF(AND(H39&gt;=$J$10,H39&lt;=$K$10),$L$10,
IF(AND(H39&gt;=$J$11,H39&lt;=$K$11),$L$11)))))))))),
"")</f>
        <v/>
      </c>
    </row>
    <row r="40" spans="1:9" ht="18" x14ac:dyDescent="0.35">
      <c r="A40" s="30" t="str">
        <f>IF(NOT(ISBLANK('Curs, Seminar'!B44)),'Curs, Seminar'!B44,"")</f>
        <v/>
      </c>
      <c r="B40" s="31" t="str">
        <f>IF(NOT(ISBLANK('Curs, Seminar'!C44)),'Curs, Seminar'!C44,"")</f>
        <v/>
      </c>
      <c r="C40" s="10"/>
      <c r="D40" s="10"/>
      <c r="E40" s="10"/>
      <c r="F40" s="10"/>
      <c r="G40" s="10"/>
      <c r="H40" s="23" t="str">
        <f>IF(NOT(ISBLANK('Curs, Seminar'!C44)),ROUND(SUM(C40:G40),0),"")</f>
        <v/>
      </c>
      <c r="I40" s="22" t="str">
        <f>IF(NOT(ISBLANK('Curs, Seminar'!C44)),
IF(H40=0,"n/p",
IF(AND(H40&gt;=$J$3,H40&lt;=$K$3),$L$3,
IF(AND(H40&gt;=$J$4,H40&lt;=$K$4),$L$4,
IF(AND(H40&gt;=$J$5,H40&lt;=$K$5),$L$5,
IF(AND(H40&gt;=$J$6,H40&lt;=$K$6),$L$6,
IF(AND(H40&gt;=$J$7,H40&lt;=$K$7),$L$7,
IF(AND(H40&gt;=$J$8,H40&lt;=$K$8),$L$8,
IF(AND(H40&gt;=$J$9,H40&lt;=$K$9),$L$9,
IF(AND(H40&gt;=$J$10,H40&lt;=$K$10),$L$10,
IF(AND(H40&gt;=$J$11,H40&lt;=$K$11),$L$11)))))))))),
"")</f>
        <v/>
      </c>
    </row>
    <row r="41" spans="1:9" ht="18" x14ac:dyDescent="0.35">
      <c r="A41" s="30" t="str">
        <f>IF(NOT(ISBLANK('Curs, Seminar'!B45)),'Curs, Seminar'!B45,"")</f>
        <v/>
      </c>
      <c r="B41" s="31" t="str">
        <f>IF(NOT(ISBLANK('Curs, Seminar'!C45)),'Curs, Seminar'!C45,"")</f>
        <v/>
      </c>
      <c r="C41" s="10"/>
      <c r="D41" s="10"/>
      <c r="E41" s="10"/>
      <c r="F41" s="10"/>
      <c r="G41" s="10"/>
      <c r="H41" s="23" t="str">
        <f>IF(NOT(ISBLANK('Curs, Seminar'!C45)),ROUND(SUM(C41:G41),0),"")</f>
        <v/>
      </c>
      <c r="I41" s="22" t="str">
        <f>IF(NOT(ISBLANK('Curs, Seminar'!C45)),
IF(H41=0,"n/p",
IF(AND(H41&gt;=$J$3,H41&lt;=$K$3),$L$3,
IF(AND(H41&gt;=$J$4,H41&lt;=$K$4),$L$4,
IF(AND(H41&gt;=$J$5,H41&lt;=$K$5),$L$5,
IF(AND(H41&gt;=$J$6,H41&lt;=$K$6),$L$6,
IF(AND(H41&gt;=$J$7,H41&lt;=$K$7),$L$7,
IF(AND(H41&gt;=$J$8,H41&lt;=$K$8),$L$8,
IF(AND(H41&gt;=$J$9,H41&lt;=$K$9),$L$9,
IF(AND(H41&gt;=$J$10,H41&lt;=$K$10),$L$10,
IF(AND(H41&gt;=$J$11,H41&lt;=$K$11),$L$11)))))))))),
"")</f>
        <v/>
      </c>
    </row>
    <row r="42" spans="1:9" ht="18" x14ac:dyDescent="0.35">
      <c r="A42" s="30" t="str">
        <f>IF(NOT(ISBLANK('Curs, Seminar'!B46)),'Curs, Seminar'!B46,"")</f>
        <v/>
      </c>
      <c r="B42" s="31" t="str">
        <f>IF(NOT(ISBLANK('Curs, Seminar'!C46)),'Curs, Seminar'!C46,"")</f>
        <v/>
      </c>
      <c r="C42" s="10"/>
      <c r="D42" s="10"/>
      <c r="E42" s="10"/>
      <c r="F42" s="10"/>
      <c r="G42" s="10"/>
      <c r="H42" s="23" t="str">
        <f>IF(NOT(ISBLANK('Curs, Seminar'!C46)),ROUND(SUM(C42:G42),0),"")</f>
        <v/>
      </c>
      <c r="I42" s="22" t="str">
        <f>IF(NOT(ISBLANK('Curs, Seminar'!C46)),
IF(H42=0,"n/p",
IF(AND(H42&gt;=$J$3,H42&lt;=$K$3),$L$3,
IF(AND(H42&gt;=$J$4,H42&lt;=$K$4),$L$4,
IF(AND(H42&gt;=$J$5,H42&lt;=$K$5),$L$5,
IF(AND(H42&gt;=$J$6,H42&lt;=$K$6),$L$6,
IF(AND(H42&gt;=$J$7,H42&lt;=$K$7),$L$7,
IF(AND(H42&gt;=$J$8,H42&lt;=$K$8),$L$8,
IF(AND(H42&gt;=$J$9,H42&lt;=$K$9),$L$9,
IF(AND(H42&gt;=$J$10,H42&lt;=$K$10),$L$10,
IF(AND(H42&gt;=$J$11,H42&lt;=$K$11),$L$11)))))))))),
"")</f>
        <v/>
      </c>
    </row>
    <row r="43" spans="1:9" ht="18" x14ac:dyDescent="0.35">
      <c r="A43" s="30" t="str">
        <f>IF(NOT(ISBLANK('Curs, Seminar'!B47)),'Curs, Seminar'!B47,"")</f>
        <v/>
      </c>
      <c r="B43" s="31" t="str">
        <f>IF(NOT(ISBLANK('Curs, Seminar'!C47)),'Curs, Seminar'!C47,"")</f>
        <v/>
      </c>
      <c r="C43" s="10"/>
      <c r="D43" s="10"/>
      <c r="E43" s="10"/>
      <c r="F43" s="10"/>
      <c r="G43" s="10"/>
      <c r="H43" s="23" t="str">
        <f>IF(NOT(ISBLANK('Curs, Seminar'!C47)),ROUND(SUM(C43:G43),0),"")</f>
        <v/>
      </c>
      <c r="I43" s="22" t="str">
        <f>IF(NOT(ISBLANK('Curs, Seminar'!C47)),
IF(H43=0,"n/p",
IF(AND(H43&gt;=$J$3,H43&lt;=$K$3),$L$3,
IF(AND(H43&gt;=$J$4,H43&lt;=$K$4),$L$4,
IF(AND(H43&gt;=$J$5,H43&lt;=$K$5),$L$5,
IF(AND(H43&gt;=$J$6,H43&lt;=$K$6),$L$6,
IF(AND(H43&gt;=$J$7,H43&lt;=$K$7),$L$7,
IF(AND(H43&gt;=$J$8,H43&lt;=$K$8),$L$8,
IF(AND(H43&gt;=$J$9,H43&lt;=$K$9),$L$9,
IF(AND(H43&gt;=$J$10,H43&lt;=$K$10),$L$10,
IF(AND(H43&gt;=$J$11,H43&lt;=$K$11),$L$11)))))))))),
"")</f>
        <v/>
      </c>
    </row>
    <row r="44" spans="1:9" ht="18" x14ac:dyDescent="0.35">
      <c r="A44" s="30" t="str">
        <f>IF(NOT(ISBLANK('Curs, Seminar'!B48)),'Curs, Seminar'!B48,"")</f>
        <v/>
      </c>
      <c r="B44" s="31" t="str">
        <f>IF(NOT(ISBLANK('Curs, Seminar'!C48)),'Curs, Seminar'!C48,"")</f>
        <v/>
      </c>
      <c r="C44" s="10"/>
      <c r="D44" s="10"/>
      <c r="E44" s="10"/>
      <c r="F44" s="10"/>
      <c r="G44" s="10"/>
      <c r="H44" s="23" t="str">
        <f>IF(NOT(ISBLANK('Curs, Seminar'!C48)),ROUND(SUM(C44:G44),0),"")</f>
        <v/>
      </c>
      <c r="I44" s="22" t="str">
        <f>IF(NOT(ISBLANK('Curs, Seminar'!C48)),
IF(H44=0,"n/p",
IF(AND(H44&gt;=$J$3,H44&lt;=$K$3),$L$3,
IF(AND(H44&gt;=$J$4,H44&lt;=$K$4),$L$4,
IF(AND(H44&gt;=$J$5,H44&lt;=$K$5),$L$5,
IF(AND(H44&gt;=$J$6,H44&lt;=$K$6),$L$6,
IF(AND(H44&gt;=$J$7,H44&lt;=$K$7),$L$7,
IF(AND(H44&gt;=$J$8,H44&lt;=$K$8),$L$8,
IF(AND(H44&gt;=$J$9,H44&lt;=$K$9),$L$9,
IF(AND(H44&gt;=$J$10,H44&lt;=$K$10),$L$10,
IF(AND(H44&gt;=$J$11,H44&lt;=$K$11),$L$11)))))))))),
"")</f>
        <v/>
      </c>
    </row>
    <row r="45" spans="1:9" ht="18" x14ac:dyDescent="0.35">
      <c r="A45" s="30" t="str">
        <f>IF(NOT(ISBLANK('Curs, Seminar'!B49)),'Curs, Seminar'!B49,"")</f>
        <v/>
      </c>
      <c r="B45" s="31" t="str">
        <f>IF(NOT(ISBLANK('Curs, Seminar'!C49)),'Curs, Seminar'!C49,"")</f>
        <v/>
      </c>
      <c r="C45" s="10"/>
      <c r="D45" s="10"/>
      <c r="E45" s="10"/>
      <c r="F45" s="10"/>
      <c r="G45" s="10"/>
      <c r="H45" s="23" t="str">
        <f>IF(NOT(ISBLANK('Curs, Seminar'!C49)),ROUND(SUM(C45:G45),0),"")</f>
        <v/>
      </c>
      <c r="I45" s="22" t="str">
        <f>IF(NOT(ISBLANK('Curs, Seminar'!C49)),
IF(H45=0,"n/p",
IF(AND(H45&gt;=$J$3,H45&lt;=$K$3),$L$3,
IF(AND(H45&gt;=$J$4,H45&lt;=$K$4),$L$4,
IF(AND(H45&gt;=$J$5,H45&lt;=$K$5),$L$5,
IF(AND(H45&gt;=$J$6,H45&lt;=$K$6),$L$6,
IF(AND(H45&gt;=$J$7,H45&lt;=$K$7),$L$7,
IF(AND(H45&gt;=$J$8,H45&lt;=$K$8),$L$8,
IF(AND(H45&gt;=$J$9,H45&lt;=$K$9),$L$9,
IF(AND(H45&gt;=$J$10,H45&lt;=$K$10),$L$10,
IF(AND(H45&gt;=$J$11,H45&lt;=$K$11),$L$11)))))))))),
"")</f>
        <v/>
      </c>
    </row>
    <row r="46" spans="1:9" ht="18" x14ac:dyDescent="0.35">
      <c r="A46" s="30" t="str">
        <f>IF(NOT(ISBLANK('Curs, Seminar'!B50)),'Curs, Seminar'!B50,"")</f>
        <v/>
      </c>
      <c r="B46" s="31" t="str">
        <f>IF(NOT(ISBLANK('Curs, Seminar'!C50)),'Curs, Seminar'!C50,"")</f>
        <v/>
      </c>
      <c r="C46" s="10"/>
      <c r="D46" s="10"/>
      <c r="E46" s="10"/>
      <c r="F46" s="10"/>
      <c r="G46" s="10"/>
      <c r="H46" s="23" t="str">
        <f>IF(NOT(ISBLANK('Curs, Seminar'!C50)),ROUND(SUM(C46:G46),0),"")</f>
        <v/>
      </c>
      <c r="I46" s="22" t="str">
        <f>IF(NOT(ISBLANK('Curs, Seminar'!C50)),
IF(H46=0,"n/p",
IF(AND(H46&gt;=$J$3,H46&lt;=$K$3),$L$3,
IF(AND(H46&gt;=$J$4,H46&lt;=$K$4),$L$4,
IF(AND(H46&gt;=$J$5,H46&lt;=$K$5),$L$5,
IF(AND(H46&gt;=$J$6,H46&lt;=$K$6),$L$6,
IF(AND(H46&gt;=$J$7,H46&lt;=$K$7),$L$7,
IF(AND(H46&gt;=$J$8,H46&lt;=$K$8),$L$8,
IF(AND(H46&gt;=$J$9,H46&lt;=$K$9),$L$9,
IF(AND(H46&gt;=$J$10,H46&lt;=$K$10),$L$10,
IF(AND(H46&gt;=$J$11,H46&lt;=$K$11),$L$11)))))))))),
"")</f>
        <v/>
      </c>
    </row>
    <row r="47" spans="1:9" ht="18" x14ac:dyDescent="0.35">
      <c r="A47" s="30" t="str">
        <f>IF(NOT(ISBLANK('Curs, Seminar'!B51)),'Curs, Seminar'!B51,"")</f>
        <v/>
      </c>
      <c r="B47" s="31" t="str">
        <f>IF(NOT(ISBLANK('Curs, Seminar'!C51)),'Curs, Seminar'!C51,"")</f>
        <v/>
      </c>
      <c r="C47" s="10"/>
      <c r="D47" s="10"/>
      <c r="E47" s="10"/>
      <c r="F47" s="10"/>
      <c r="G47" s="10"/>
      <c r="H47" s="23" t="str">
        <f>IF(NOT(ISBLANK('Curs, Seminar'!C51)),ROUND(SUM(C47:G47),0),"")</f>
        <v/>
      </c>
      <c r="I47" s="22" t="str">
        <f>IF(NOT(ISBLANK('Curs, Seminar'!C51)),
IF(H47=0,"n/p",
IF(AND(H47&gt;=$J$3,H47&lt;=$K$3),$L$3,
IF(AND(H47&gt;=$J$4,H47&lt;=$K$4),$L$4,
IF(AND(H47&gt;=$J$5,H47&lt;=$K$5),$L$5,
IF(AND(H47&gt;=$J$6,H47&lt;=$K$6),$L$6,
IF(AND(H47&gt;=$J$7,H47&lt;=$K$7),$L$7,
IF(AND(H47&gt;=$J$8,H47&lt;=$K$8),$L$8,
IF(AND(H47&gt;=$J$9,H47&lt;=$K$9),$L$9,
IF(AND(H47&gt;=$J$10,H47&lt;=$K$10),$L$10,
IF(AND(H47&gt;=$J$11,H47&lt;=$K$11),$L$11)))))))))),
"")</f>
        <v/>
      </c>
    </row>
    <row r="48" spans="1:9" ht="18" x14ac:dyDescent="0.35">
      <c r="A48" s="30" t="str">
        <f>IF(NOT(ISBLANK('Curs, Seminar'!B52)),'Curs, Seminar'!B52,"")</f>
        <v/>
      </c>
      <c r="B48" s="31" t="str">
        <f>IF(NOT(ISBLANK('Curs, Seminar'!C52)),'Curs, Seminar'!C52,"")</f>
        <v/>
      </c>
      <c r="C48" s="10"/>
      <c r="D48" s="10"/>
      <c r="E48" s="10"/>
      <c r="F48" s="10"/>
      <c r="G48" s="10"/>
      <c r="H48" s="23" t="str">
        <f>IF(NOT(ISBLANK('Curs, Seminar'!C52)),ROUND(SUM(C48:G48),0),"")</f>
        <v/>
      </c>
      <c r="I48" s="22" t="str">
        <f>IF(NOT(ISBLANK('Curs, Seminar'!C52)),
IF(H48=0,"n/p",
IF(AND(H48&gt;=$J$3,H48&lt;=$K$3),$L$3,
IF(AND(H48&gt;=$J$4,H48&lt;=$K$4),$L$4,
IF(AND(H48&gt;=$J$5,H48&lt;=$K$5),$L$5,
IF(AND(H48&gt;=$J$6,H48&lt;=$K$6),$L$6,
IF(AND(H48&gt;=$J$7,H48&lt;=$K$7),$L$7,
IF(AND(H48&gt;=$J$8,H48&lt;=$K$8),$L$8,
IF(AND(H48&gt;=$J$9,H48&lt;=$K$9),$L$9,
IF(AND(H48&gt;=$J$10,H48&lt;=$K$10),$L$10,
IF(AND(H48&gt;=$J$11,H48&lt;=$K$11),$L$11)))))))))),
"")</f>
        <v/>
      </c>
    </row>
    <row r="49" spans="1:9" ht="18" x14ac:dyDescent="0.35">
      <c r="A49" s="30" t="str">
        <f>IF(NOT(ISBLANK('Curs, Seminar'!B53)),'Curs, Seminar'!B53,"")</f>
        <v/>
      </c>
      <c r="B49" s="31" t="str">
        <f>IF(NOT(ISBLANK('Curs, Seminar'!C53)),'Curs, Seminar'!C53,"")</f>
        <v/>
      </c>
      <c r="C49" s="10"/>
      <c r="D49" s="10"/>
      <c r="E49" s="10"/>
      <c r="F49" s="10"/>
      <c r="G49" s="10"/>
      <c r="H49" s="23" t="str">
        <f>IF(NOT(ISBLANK('Curs, Seminar'!C53)),ROUND(SUM(C49:G49),0),"")</f>
        <v/>
      </c>
      <c r="I49" s="22" t="str">
        <f>IF(NOT(ISBLANK('Curs, Seminar'!C53)),
IF(H49=0,"n/p",
IF(AND(H49&gt;=$J$3,H49&lt;=$K$3),$L$3,
IF(AND(H49&gt;=$J$4,H49&lt;=$K$4),$L$4,
IF(AND(H49&gt;=$J$5,H49&lt;=$K$5),$L$5,
IF(AND(H49&gt;=$J$6,H49&lt;=$K$6),$L$6,
IF(AND(H49&gt;=$J$7,H49&lt;=$K$7),$L$7,
IF(AND(H49&gt;=$J$8,H49&lt;=$K$8),$L$8,
IF(AND(H49&gt;=$J$9,H49&lt;=$K$9),$L$9,
IF(AND(H49&gt;=$J$10,H49&lt;=$K$10),$L$10,
IF(AND(H49&gt;=$J$11,H49&lt;=$K$11),$L$11)))))))))),
"")</f>
        <v/>
      </c>
    </row>
    <row r="50" spans="1:9" ht="18" x14ac:dyDescent="0.35">
      <c r="A50" s="30" t="str">
        <f>IF(NOT(ISBLANK('Curs, Seminar'!B54)),'Curs, Seminar'!B54,"")</f>
        <v/>
      </c>
      <c r="B50" s="31" t="str">
        <f>IF(NOT(ISBLANK('Curs, Seminar'!C54)),'Curs, Seminar'!C54,"")</f>
        <v/>
      </c>
      <c r="C50" s="10"/>
      <c r="D50" s="10"/>
      <c r="E50" s="10"/>
      <c r="F50" s="10"/>
      <c r="G50" s="10"/>
      <c r="H50" s="23" t="str">
        <f>IF(NOT(ISBLANK('Curs, Seminar'!C54)),ROUND(SUM(C50:G50),0),"")</f>
        <v/>
      </c>
      <c r="I50" s="22" t="str">
        <f>IF(NOT(ISBLANK('Curs, Seminar'!C54)),
IF(H50=0,"n/p",
IF(AND(H50&gt;=$J$3,H50&lt;=$K$3),$L$3,
IF(AND(H50&gt;=$J$4,H50&lt;=$K$4),$L$4,
IF(AND(H50&gt;=$J$5,H50&lt;=$K$5),$L$5,
IF(AND(H50&gt;=$J$6,H50&lt;=$K$6),$L$6,
IF(AND(H50&gt;=$J$7,H50&lt;=$K$7),$L$7,
IF(AND(H50&gt;=$J$8,H50&lt;=$K$8),$L$8,
IF(AND(H50&gt;=$J$9,H50&lt;=$K$9),$L$9,
IF(AND(H50&gt;=$J$10,H50&lt;=$K$10),$L$10,
IF(AND(H50&gt;=$J$11,H50&lt;=$K$11),$L$11)))))))))),
"")</f>
        <v/>
      </c>
    </row>
    <row r="51" spans="1:9" ht="18" x14ac:dyDescent="0.35">
      <c r="A51" s="30" t="str">
        <f>IF(NOT(ISBLANK('Curs, Seminar'!B55)),'Curs, Seminar'!B55,"")</f>
        <v/>
      </c>
      <c r="B51" s="31" t="str">
        <f>IF(NOT(ISBLANK('Curs, Seminar'!C55)),'Curs, Seminar'!C55,"")</f>
        <v/>
      </c>
      <c r="C51" s="10"/>
      <c r="D51" s="10"/>
      <c r="E51" s="10"/>
      <c r="F51" s="10"/>
      <c r="G51" s="10"/>
      <c r="H51" s="23" t="str">
        <f>IF(NOT(ISBLANK('Curs, Seminar'!C55)),ROUND(SUM(C51:G51),0),"")</f>
        <v/>
      </c>
      <c r="I51" s="22" t="str">
        <f>IF(NOT(ISBLANK('Curs, Seminar'!C55)),
IF(H51=0,"n/p",
IF(AND(H51&gt;=$J$3,H51&lt;=$K$3),$L$3,
IF(AND(H51&gt;=$J$4,H51&lt;=$K$4),$L$4,
IF(AND(H51&gt;=$J$5,H51&lt;=$K$5),$L$5,
IF(AND(H51&gt;=$J$6,H51&lt;=$K$6),$L$6,
IF(AND(H51&gt;=$J$7,H51&lt;=$K$7),$L$7,
IF(AND(H51&gt;=$J$8,H51&lt;=$K$8),$L$8,
IF(AND(H51&gt;=$J$9,H51&lt;=$K$9),$L$9,
IF(AND(H51&gt;=$J$10,H51&lt;=$K$10),$L$10,
IF(AND(H51&gt;=$J$11,H51&lt;=$K$11),$L$11)))))))))),
"")</f>
        <v/>
      </c>
    </row>
    <row r="52" spans="1:9" ht="18" x14ac:dyDescent="0.35">
      <c r="A52" s="30" t="str">
        <f>IF(NOT(ISBLANK('Curs, Seminar'!B56)),'Curs, Seminar'!B56,"")</f>
        <v/>
      </c>
      <c r="B52" s="31" t="str">
        <f>IF(NOT(ISBLANK('Curs, Seminar'!C56)),'Curs, Seminar'!C56,"")</f>
        <v/>
      </c>
      <c r="C52" s="10"/>
      <c r="D52" s="10"/>
      <c r="E52" s="10"/>
      <c r="F52" s="10"/>
      <c r="G52" s="10"/>
      <c r="H52" s="23" t="str">
        <f>IF(NOT(ISBLANK('Curs, Seminar'!C56)),ROUND(SUM(C52:G52),0),"")</f>
        <v/>
      </c>
      <c r="I52" s="22" t="str">
        <f>IF(NOT(ISBLANK('Curs, Seminar'!C56)),
IF(H52=0,"n/p",
IF(AND(H52&gt;=$J$3,H52&lt;=$K$3),$L$3,
IF(AND(H52&gt;=$J$4,H52&lt;=$K$4),$L$4,
IF(AND(H52&gt;=$J$5,H52&lt;=$K$5),$L$5,
IF(AND(H52&gt;=$J$6,H52&lt;=$K$6),$L$6,
IF(AND(H52&gt;=$J$7,H52&lt;=$K$7),$L$7,
IF(AND(H52&gt;=$J$8,H52&lt;=$K$8),$L$8,
IF(AND(H52&gt;=$J$9,H52&lt;=$K$9),$L$9,
IF(AND(H52&gt;=$J$10,H52&lt;=$K$10),$L$10,
IF(AND(H52&gt;=$J$11,H52&lt;=$K$11),$L$11)))))))))),
"")</f>
        <v/>
      </c>
    </row>
    <row r="53" spans="1:9" ht="18" x14ac:dyDescent="0.35">
      <c r="A53" s="30" t="str">
        <f>IF(NOT(ISBLANK('Curs, Seminar'!B57)),'Curs, Seminar'!B57,"")</f>
        <v/>
      </c>
      <c r="B53" s="31" t="str">
        <f>IF(NOT(ISBLANK('Curs, Seminar'!C57)),'Curs, Seminar'!C57,"")</f>
        <v/>
      </c>
      <c r="C53" s="10"/>
      <c r="D53" s="10"/>
      <c r="E53" s="10"/>
      <c r="F53" s="10"/>
      <c r="G53" s="10"/>
      <c r="H53" s="23" t="str">
        <f>IF(NOT(ISBLANK('Curs, Seminar'!C57)),ROUND(SUM(C53:G53),0),"")</f>
        <v/>
      </c>
      <c r="I53" s="22" t="str">
        <f>IF(NOT(ISBLANK('Curs, Seminar'!C57)),
IF(H53=0,"n/p",
IF(AND(H53&gt;=$J$3,H53&lt;=$K$3),$L$3,
IF(AND(H53&gt;=$J$4,H53&lt;=$K$4),$L$4,
IF(AND(H53&gt;=$J$5,H53&lt;=$K$5),$L$5,
IF(AND(H53&gt;=$J$6,H53&lt;=$K$6),$L$6,
IF(AND(H53&gt;=$J$7,H53&lt;=$K$7),$L$7,
IF(AND(H53&gt;=$J$8,H53&lt;=$K$8),$L$8,
IF(AND(H53&gt;=$J$9,H53&lt;=$K$9),$L$9,
IF(AND(H53&gt;=$J$10,H53&lt;=$K$10),$L$10,
IF(AND(H53&gt;=$J$11,H53&lt;=$K$11),$L$11)))))))))),
"")</f>
        <v/>
      </c>
    </row>
    <row r="54" spans="1:9" ht="18" x14ac:dyDescent="0.35">
      <c r="A54" s="30" t="str">
        <f>IF(NOT(ISBLANK('Curs, Seminar'!B58)),'Curs, Seminar'!B58,"")</f>
        <v/>
      </c>
      <c r="B54" s="31" t="str">
        <f>IF(NOT(ISBLANK('Curs, Seminar'!C58)),'Curs, Seminar'!C58,"")</f>
        <v/>
      </c>
      <c r="C54" s="10"/>
      <c r="D54" s="10"/>
      <c r="E54" s="10"/>
      <c r="F54" s="10"/>
      <c r="G54" s="10"/>
      <c r="H54" s="23" t="str">
        <f>IF(NOT(ISBLANK('Curs, Seminar'!C58)),ROUND(SUM(C54:G54),0),"")</f>
        <v/>
      </c>
      <c r="I54" s="22" t="str">
        <f>IF(NOT(ISBLANK('Curs, Seminar'!C58)),
IF(H54=0,"n/p",
IF(AND(H54&gt;=$J$3,H54&lt;=$K$3),$L$3,
IF(AND(H54&gt;=$J$4,H54&lt;=$K$4),$L$4,
IF(AND(H54&gt;=$J$5,H54&lt;=$K$5),$L$5,
IF(AND(H54&gt;=$J$6,H54&lt;=$K$6),$L$6,
IF(AND(H54&gt;=$J$7,H54&lt;=$K$7),$L$7,
IF(AND(H54&gt;=$J$8,H54&lt;=$K$8),$L$8,
IF(AND(H54&gt;=$J$9,H54&lt;=$K$9),$L$9,
IF(AND(H54&gt;=$J$10,H54&lt;=$K$10),$L$10,
IF(AND(H54&gt;=$J$11,H54&lt;=$K$11),$L$11)))))))))),
"")</f>
        <v/>
      </c>
    </row>
    <row r="55" spans="1:9" ht="18" x14ac:dyDescent="0.35">
      <c r="A55" s="30" t="str">
        <f>IF(NOT(ISBLANK('Curs, Seminar'!B59)),'Curs, Seminar'!B59,"")</f>
        <v/>
      </c>
      <c r="B55" s="31" t="str">
        <f>IF(NOT(ISBLANK('Curs, Seminar'!C59)),'Curs, Seminar'!C59,"")</f>
        <v/>
      </c>
      <c r="C55" s="10"/>
      <c r="D55" s="10"/>
      <c r="E55" s="10"/>
      <c r="F55" s="10"/>
      <c r="G55" s="10"/>
      <c r="H55" s="23" t="str">
        <f>IF(NOT(ISBLANK('Curs, Seminar'!C59)),ROUND(SUM(C55:G55),0),"")</f>
        <v/>
      </c>
      <c r="I55" s="22" t="str">
        <f>IF(NOT(ISBLANK('Curs, Seminar'!C59)),
IF(H55=0,"n/p",
IF(AND(H55&gt;=$J$3,H55&lt;=$K$3),$L$3,
IF(AND(H55&gt;=$J$4,H55&lt;=$K$4),$L$4,
IF(AND(H55&gt;=$J$5,H55&lt;=$K$5),$L$5,
IF(AND(H55&gt;=$J$6,H55&lt;=$K$6),$L$6,
IF(AND(H55&gt;=$J$7,H55&lt;=$K$7),$L$7,
IF(AND(H55&gt;=$J$8,H55&lt;=$K$8),$L$8,
IF(AND(H55&gt;=$J$9,H55&lt;=$K$9),$L$9,
IF(AND(H55&gt;=$J$10,H55&lt;=$K$10),$L$10,
IF(AND(H55&gt;=$J$11,H55&lt;=$K$11),$L$11)))))))))),
"")</f>
        <v/>
      </c>
    </row>
    <row r="56" spans="1:9" ht="18" x14ac:dyDescent="0.35">
      <c r="A56" s="30" t="str">
        <f>IF(NOT(ISBLANK('Curs, Seminar'!B60)),'Curs, Seminar'!B60,"")</f>
        <v/>
      </c>
      <c r="B56" s="31" t="str">
        <f>IF(NOT(ISBLANK('Curs, Seminar'!C60)),'Curs, Seminar'!C60,"")</f>
        <v/>
      </c>
      <c r="C56" s="10"/>
      <c r="D56" s="10"/>
      <c r="E56" s="10"/>
      <c r="F56" s="10"/>
      <c r="G56" s="10"/>
      <c r="H56" s="23" t="str">
        <f>IF(NOT(ISBLANK('Curs, Seminar'!C60)),ROUND(SUM(C56:G56),0),"")</f>
        <v/>
      </c>
      <c r="I56" s="22" t="str">
        <f>IF(NOT(ISBLANK('Curs, Seminar'!C60)),
IF(H56=0,"n/p",
IF(AND(H56&gt;=$J$3,H56&lt;=$K$3),$L$3,
IF(AND(H56&gt;=$J$4,H56&lt;=$K$4),$L$4,
IF(AND(H56&gt;=$J$5,H56&lt;=$K$5),$L$5,
IF(AND(H56&gt;=$J$6,H56&lt;=$K$6),$L$6,
IF(AND(H56&gt;=$J$7,H56&lt;=$K$7),$L$7,
IF(AND(H56&gt;=$J$8,H56&lt;=$K$8),$L$8,
IF(AND(H56&gt;=$J$9,H56&lt;=$K$9),$L$9,
IF(AND(H56&gt;=$J$10,H56&lt;=$K$10),$L$10,
IF(AND(H56&gt;=$J$11,H56&lt;=$K$11),$L$11)))))))))),
"")</f>
        <v/>
      </c>
    </row>
    <row r="57" spans="1:9" ht="18" x14ac:dyDescent="0.35">
      <c r="A57" s="30" t="str">
        <f>IF(NOT(ISBLANK('Curs, Seminar'!B61)),'Curs, Seminar'!B61,"")</f>
        <v/>
      </c>
      <c r="B57" s="31" t="str">
        <f>IF(NOT(ISBLANK('Curs, Seminar'!C61)),'Curs, Seminar'!C61,"")</f>
        <v/>
      </c>
      <c r="C57" s="10"/>
      <c r="D57" s="10"/>
      <c r="E57" s="10"/>
      <c r="F57" s="10"/>
      <c r="G57" s="10"/>
      <c r="H57" s="23" t="str">
        <f>IF(NOT(ISBLANK('Curs, Seminar'!C61)),ROUND(SUM(C57:G57),0),"")</f>
        <v/>
      </c>
      <c r="I57" s="22" t="str">
        <f>IF(NOT(ISBLANK('Curs, Seminar'!C61)),
IF(H57=0,"n/p",
IF(AND(H57&gt;=$J$3,H57&lt;=$K$3),$L$3,
IF(AND(H57&gt;=$J$4,H57&lt;=$K$4),$L$4,
IF(AND(H57&gt;=$J$5,H57&lt;=$K$5),$L$5,
IF(AND(H57&gt;=$J$6,H57&lt;=$K$6),$L$6,
IF(AND(H57&gt;=$J$7,H57&lt;=$K$7),$L$7,
IF(AND(H57&gt;=$J$8,H57&lt;=$K$8),$L$8,
IF(AND(H57&gt;=$J$9,H57&lt;=$K$9),$L$9,
IF(AND(H57&gt;=$J$10,H57&lt;=$K$10),$L$10,
IF(AND(H57&gt;=$J$11,H57&lt;=$K$11),$L$11)))))))))),
"")</f>
        <v/>
      </c>
    </row>
    <row r="58" spans="1:9" ht="18" x14ac:dyDescent="0.35">
      <c r="A58" s="30" t="str">
        <f>IF(NOT(ISBLANK('Curs, Seminar'!B62)),'Curs, Seminar'!B62,"")</f>
        <v/>
      </c>
      <c r="B58" s="31" t="str">
        <f>IF(NOT(ISBLANK('Curs, Seminar'!C62)),'Curs, Seminar'!C62,"")</f>
        <v/>
      </c>
      <c r="C58" s="10"/>
      <c r="D58" s="10"/>
      <c r="E58" s="10"/>
      <c r="F58" s="10"/>
      <c r="G58" s="10"/>
      <c r="H58" s="23" t="str">
        <f>IF(NOT(ISBLANK('Curs, Seminar'!C62)),ROUND(SUM(C58:G58),0),"")</f>
        <v/>
      </c>
      <c r="I58" s="22" t="str">
        <f>IF(NOT(ISBLANK('Curs, Seminar'!C62)),
IF(H58=0,"n/p",
IF(AND(H58&gt;=$J$3,H58&lt;=$K$3),$L$3,
IF(AND(H58&gt;=$J$4,H58&lt;=$K$4),$L$4,
IF(AND(H58&gt;=$J$5,H58&lt;=$K$5),$L$5,
IF(AND(H58&gt;=$J$6,H58&lt;=$K$6),$L$6,
IF(AND(H58&gt;=$J$7,H58&lt;=$K$7),$L$7,
IF(AND(H58&gt;=$J$8,H58&lt;=$K$8),$L$8,
IF(AND(H58&gt;=$J$9,H58&lt;=$K$9),$L$9,
IF(AND(H58&gt;=$J$10,H58&lt;=$K$10),$L$10,
IF(AND(H58&gt;=$J$11,H58&lt;=$K$11),$L$11)))))))))),
"")</f>
        <v/>
      </c>
    </row>
    <row r="59" spans="1:9" ht="18" x14ac:dyDescent="0.35">
      <c r="A59" s="30" t="str">
        <f>IF(NOT(ISBLANK('Curs, Seminar'!B63)),'Curs, Seminar'!B63,"")</f>
        <v/>
      </c>
      <c r="B59" s="31" t="str">
        <f>IF(NOT(ISBLANK('Curs, Seminar'!C63)),'Curs, Seminar'!C63,"")</f>
        <v/>
      </c>
      <c r="C59" s="10"/>
      <c r="D59" s="10"/>
      <c r="E59" s="10"/>
      <c r="F59" s="10"/>
      <c r="G59" s="10"/>
      <c r="H59" s="23" t="str">
        <f>IF(NOT(ISBLANK('Curs, Seminar'!C63)),ROUND(SUM(C59:G59),0),"")</f>
        <v/>
      </c>
      <c r="I59" s="22" t="str">
        <f>IF(NOT(ISBLANK('Curs, Seminar'!C63)),
IF(H59=0,"n/p",
IF(AND(H59&gt;=$J$3,H59&lt;=$K$3),$L$3,
IF(AND(H59&gt;=$J$4,H59&lt;=$K$4),$L$4,
IF(AND(H59&gt;=$J$5,H59&lt;=$K$5),$L$5,
IF(AND(H59&gt;=$J$6,H59&lt;=$K$6),$L$6,
IF(AND(H59&gt;=$J$7,H59&lt;=$K$7),$L$7,
IF(AND(H59&gt;=$J$8,H59&lt;=$K$8),$L$8,
IF(AND(H59&gt;=$J$9,H59&lt;=$K$9),$L$9,
IF(AND(H59&gt;=$J$10,H59&lt;=$K$10),$L$10,
IF(AND(H59&gt;=$J$11,H59&lt;=$K$11),$L$11)))))))))),
"")</f>
        <v/>
      </c>
    </row>
    <row r="60" spans="1:9" ht="18" x14ac:dyDescent="0.35">
      <c r="A60" s="30" t="str">
        <f>IF(NOT(ISBLANK('Curs, Seminar'!B64)),'Curs, Seminar'!B64,"")</f>
        <v/>
      </c>
      <c r="B60" s="31" t="str">
        <f>IF(NOT(ISBLANK('Curs, Seminar'!C64)),'Curs, Seminar'!C64,"")</f>
        <v/>
      </c>
      <c r="C60" s="10"/>
      <c r="D60" s="10"/>
      <c r="E60" s="10"/>
      <c r="F60" s="10"/>
      <c r="G60" s="10"/>
      <c r="H60" s="23" t="str">
        <f>IF(NOT(ISBLANK('Curs, Seminar'!C64)),ROUND(SUM(C60:G60),0),"")</f>
        <v/>
      </c>
      <c r="I60" s="22" t="str">
        <f>IF(NOT(ISBLANK('Curs, Seminar'!C64)),
IF(H60=0,"n/p",
IF(AND(H60&gt;=$J$3,H60&lt;=$K$3),$L$3,
IF(AND(H60&gt;=$J$4,H60&lt;=$K$4),$L$4,
IF(AND(H60&gt;=$J$5,H60&lt;=$K$5),$L$5,
IF(AND(H60&gt;=$J$6,H60&lt;=$K$6),$L$6,
IF(AND(H60&gt;=$J$7,H60&lt;=$K$7),$L$7,
IF(AND(H60&gt;=$J$8,H60&lt;=$K$8),$L$8,
IF(AND(H60&gt;=$J$9,H60&lt;=$K$9),$L$9,
IF(AND(H60&gt;=$J$10,H60&lt;=$K$10),$L$10,
IF(AND(H60&gt;=$J$11,H60&lt;=$K$11),$L$11)))))))))),
"")</f>
        <v/>
      </c>
    </row>
    <row r="61" spans="1:9" ht="18" x14ac:dyDescent="0.35">
      <c r="A61" s="30" t="str">
        <f>IF(NOT(ISBLANK('Curs, Seminar'!B65)),'Curs, Seminar'!B65,"")</f>
        <v/>
      </c>
      <c r="B61" s="31" t="str">
        <f>IF(NOT(ISBLANK('Curs, Seminar'!C65)),'Curs, Seminar'!C65,"")</f>
        <v/>
      </c>
      <c r="C61" s="10"/>
      <c r="D61" s="10"/>
      <c r="E61" s="10"/>
      <c r="F61" s="10"/>
      <c r="G61" s="10"/>
      <c r="H61" s="23" t="str">
        <f>IF(NOT(ISBLANK('Curs, Seminar'!C65)),ROUND(SUM(C61:G61),0),"")</f>
        <v/>
      </c>
      <c r="I61" s="22" t="str">
        <f>IF(NOT(ISBLANK('Curs, Seminar'!C65)),
IF(H61=0,"n/p",
IF(AND(H61&gt;=$J$3,H61&lt;=$K$3),$L$3,
IF(AND(H61&gt;=$J$4,H61&lt;=$K$4),$L$4,
IF(AND(H61&gt;=$J$5,H61&lt;=$K$5),$L$5,
IF(AND(H61&gt;=$J$6,H61&lt;=$K$6),$L$6,
IF(AND(H61&gt;=$J$7,H61&lt;=$K$7),$L$7,
IF(AND(H61&gt;=$J$8,H61&lt;=$K$8),$L$8,
IF(AND(H61&gt;=$J$9,H61&lt;=$K$9),$L$9,
IF(AND(H61&gt;=$J$10,H61&lt;=$K$10),$L$10,
IF(AND(H61&gt;=$J$11,H61&lt;=$K$11),$L$11)))))))))),
"")</f>
        <v/>
      </c>
    </row>
    <row r="62" spans="1:9" ht="18" x14ac:dyDescent="0.35">
      <c r="A62" s="30" t="str">
        <f>IF(NOT(ISBLANK('Curs, Seminar'!B66)),'Curs, Seminar'!B66,"")</f>
        <v/>
      </c>
      <c r="B62" s="31" t="str">
        <f>IF(NOT(ISBLANK('Curs, Seminar'!C66)),'Curs, Seminar'!C66,"")</f>
        <v/>
      </c>
      <c r="C62" s="10"/>
      <c r="D62" s="10"/>
      <c r="E62" s="10"/>
      <c r="F62" s="10"/>
      <c r="G62" s="10"/>
      <c r="H62" s="23" t="str">
        <f>IF(NOT(ISBLANK('Curs, Seminar'!C66)),ROUND(SUM(C62:G62),0),"")</f>
        <v/>
      </c>
      <c r="I62" s="22" t="str">
        <f>IF(NOT(ISBLANK('Curs, Seminar'!C66)),
IF(H62=0,"n/p",
IF(AND(H62&gt;=$J$3,H62&lt;=$K$3),$L$3,
IF(AND(H62&gt;=$J$4,H62&lt;=$K$4),$L$4,
IF(AND(H62&gt;=$J$5,H62&lt;=$K$5),$L$5,
IF(AND(H62&gt;=$J$6,H62&lt;=$K$6),$L$6,
IF(AND(H62&gt;=$J$7,H62&lt;=$K$7),$L$7,
IF(AND(H62&gt;=$J$8,H62&lt;=$K$8),$L$8,
IF(AND(H62&gt;=$J$9,H62&lt;=$K$9),$L$9,
IF(AND(H62&gt;=$J$10,H62&lt;=$K$10),$L$10,
IF(AND(H62&gt;=$J$11,H62&lt;=$K$11),$L$11)))))))))),
"")</f>
        <v/>
      </c>
    </row>
    <row r="63" spans="1:9" ht="18" x14ac:dyDescent="0.35">
      <c r="A63" s="30" t="str">
        <f>IF(NOT(ISBLANK('Curs, Seminar'!B67)),'Curs, Seminar'!B67,"")</f>
        <v/>
      </c>
      <c r="B63" s="31" t="str">
        <f>IF(NOT(ISBLANK('Curs, Seminar'!C67)),'Curs, Seminar'!C67,"")</f>
        <v/>
      </c>
      <c r="C63" s="10"/>
      <c r="D63" s="10"/>
      <c r="E63" s="10"/>
      <c r="F63" s="10"/>
      <c r="G63" s="10"/>
      <c r="H63" s="23" t="str">
        <f>IF(NOT(ISBLANK('Curs, Seminar'!C67)),ROUND(SUM(C63:G63),0),"")</f>
        <v/>
      </c>
      <c r="I63" s="22" t="str">
        <f>IF(NOT(ISBLANK('Curs, Seminar'!C67)),
IF(H63=0,"n/p",
IF(AND(H63&gt;=$J$3,H63&lt;=$K$3),$L$3,
IF(AND(H63&gt;=$J$4,H63&lt;=$K$4),$L$4,
IF(AND(H63&gt;=$J$5,H63&lt;=$K$5),$L$5,
IF(AND(H63&gt;=$J$6,H63&lt;=$K$6),$L$6,
IF(AND(H63&gt;=$J$7,H63&lt;=$K$7),$L$7,
IF(AND(H63&gt;=$J$8,H63&lt;=$K$8),$L$8,
IF(AND(H63&gt;=$J$9,H63&lt;=$K$9),$L$9,
IF(AND(H63&gt;=$J$10,H63&lt;=$K$10),$L$10,
IF(AND(H63&gt;=$J$11,H63&lt;=$K$11),$L$11)))))))))),
"")</f>
        <v/>
      </c>
    </row>
    <row r="64" spans="1:9" ht="18" x14ac:dyDescent="0.35">
      <c r="A64" s="30" t="str">
        <f>IF(NOT(ISBLANK('Curs, Seminar'!B68)),'Curs, Seminar'!B68,"")</f>
        <v/>
      </c>
      <c r="B64" s="31" t="str">
        <f>IF(NOT(ISBLANK('Curs, Seminar'!C68)),'Curs, Seminar'!C68,"")</f>
        <v/>
      </c>
      <c r="C64" s="10"/>
      <c r="D64" s="10"/>
      <c r="E64" s="10"/>
      <c r="F64" s="10"/>
      <c r="G64" s="10"/>
      <c r="H64" s="23" t="str">
        <f>IF(NOT(ISBLANK('Curs, Seminar'!C68)),ROUND(SUM(C64:G64),0),"")</f>
        <v/>
      </c>
      <c r="I64" s="22" t="str">
        <f>IF(NOT(ISBLANK('Curs, Seminar'!C68)),
IF(H64=0,"n/p",
IF(AND(H64&gt;=$J$3,H64&lt;=$K$3),$L$3,
IF(AND(H64&gt;=$J$4,H64&lt;=$K$4),$L$4,
IF(AND(H64&gt;=$J$5,H64&lt;=$K$5),$L$5,
IF(AND(H64&gt;=$J$6,H64&lt;=$K$6),$L$6,
IF(AND(H64&gt;=$J$7,H64&lt;=$K$7),$L$7,
IF(AND(H64&gt;=$J$8,H64&lt;=$K$8),$L$8,
IF(AND(H64&gt;=$J$9,H64&lt;=$K$9),$L$9,
IF(AND(H64&gt;=$J$10,H64&lt;=$K$10),$L$10,
IF(AND(H64&gt;=$J$11,H64&lt;=$K$11),$L$11)))))))))),
"")</f>
        <v/>
      </c>
    </row>
    <row r="65" spans="1:9" ht="18" x14ac:dyDescent="0.35">
      <c r="A65" s="30" t="str">
        <f>IF(NOT(ISBLANK('Curs, Seminar'!B69)),'Curs, Seminar'!B69,"")</f>
        <v/>
      </c>
      <c r="B65" s="31" t="str">
        <f>IF(NOT(ISBLANK('Curs, Seminar'!C69)),'Curs, Seminar'!C69,"")</f>
        <v/>
      </c>
      <c r="C65" s="10"/>
      <c r="D65" s="10"/>
      <c r="E65" s="10"/>
      <c r="F65" s="10"/>
      <c r="G65" s="10"/>
      <c r="H65" s="23" t="str">
        <f>IF(NOT(ISBLANK('Curs, Seminar'!C69)),ROUND(SUM(C65:G65),0),"")</f>
        <v/>
      </c>
      <c r="I65" s="22" t="str">
        <f>IF(NOT(ISBLANK('Curs, Seminar'!C69)),
IF(H65=0,"n/p",
IF(AND(H65&gt;=$J$3,H65&lt;=$K$3),$L$3,
IF(AND(H65&gt;=$J$4,H65&lt;=$K$4),$L$4,
IF(AND(H65&gt;=$J$5,H65&lt;=$K$5),$L$5,
IF(AND(H65&gt;=$J$6,H65&lt;=$K$6),$L$6,
IF(AND(H65&gt;=$J$7,H65&lt;=$K$7),$L$7,
IF(AND(H65&gt;=$J$8,H65&lt;=$K$8),$L$8,
IF(AND(H65&gt;=$J$9,H65&lt;=$K$9),$L$9,
IF(AND(H65&gt;=$J$10,H65&lt;=$K$10),$L$10,
IF(AND(H65&gt;=$J$11,H65&lt;=$K$11),$L$11)))))))))),
"")</f>
        <v/>
      </c>
    </row>
    <row r="66" spans="1:9" ht="18" x14ac:dyDescent="0.35">
      <c r="A66" s="30" t="str">
        <f>IF(NOT(ISBLANK('Curs, Seminar'!B70)),'Curs, Seminar'!B70,"")</f>
        <v/>
      </c>
      <c r="B66" s="31" t="str">
        <f>IF(NOT(ISBLANK('Curs, Seminar'!C70)),'Curs, Seminar'!C70,"")</f>
        <v/>
      </c>
      <c r="C66" s="10"/>
      <c r="D66" s="10"/>
      <c r="E66" s="10"/>
      <c r="F66" s="10"/>
      <c r="G66" s="10"/>
      <c r="H66" s="23" t="str">
        <f>IF(NOT(ISBLANK('Curs, Seminar'!C70)),ROUND(SUM(C66:G66),0),"")</f>
        <v/>
      </c>
      <c r="I66" s="22" t="str">
        <f>IF(NOT(ISBLANK('Curs, Seminar'!C70)),
IF(H66=0,"n/p",
IF(AND(H66&gt;=$J$3,H66&lt;=$K$3),$L$3,
IF(AND(H66&gt;=$J$4,H66&lt;=$K$4),$L$4,
IF(AND(H66&gt;=$J$5,H66&lt;=$K$5),$L$5,
IF(AND(H66&gt;=$J$6,H66&lt;=$K$6),$L$6,
IF(AND(H66&gt;=$J$7,H66&lt;=$K$7),$L$7,
IF(AND(H66&gt;=$J$8,H66&lt;=$K$8),$L$8,
IF(AND(H66&gt;=$J$9,H66&lt;=$K$9),$L$9,
IF(AND(H66&gt;=$J$10,H66&lt;=$K$10),$L$10,
IF(AND(H66&gt;=$J$11,H66&lt;=$K$11),$L$11)))))))))),
"")</f>
        <v/>
      </c>
    </row>
    <row r="67" spans="1:9" ht="18" x14ac:dyDescent="0.35">
      <c r="A67" s="30" t="str">
        <f>IF(NOT(ISBLANK('Curs, Seminar'!B71)),'Curs, Seminar'!B71,"")</f>
        <v/>
      </c>
      <c r="B67" s="31" t="str">
        <f>IF(NOT(ISBLANK('Curs, Seminar'!C71)),'Curs, Seminar'!C71,"")</f>
        <v/>
      </c>
      <c r="C67" s="10"/>
      <c r="D67" s="10"/>
      <c r="E67" s="10"/>
      <c r="F67" s="10"/>
      <c r="G67" s="10"/>
      <c r="H67" s="23" t="str">
        <f>IF(NOT(ISBLANK('Curs, Seminar'!C71)),ROUND(SUM(C67:G67),0),"")</f>
        <v/>
      </c>
      <c r="I67" s="22" t="str">
        <f>IF(NOT(ISBLANK('Curs, Seminar'!C71)),
IF(H67=0,"n/p",
IF(AND(H67&gt;=$J$3,H67&lt;=$K$3),$L$3,
IF(AND(H67&gt;=$J$4,H67&lt;=$K$4),$L$4,
IF(AND(H67&gt;=$J$5,H67&lt;=$K$5),$L$5,
IF(AND(H67&gt;=$J$6,H67&lt;=$K$6),$L$6,
IF(AND(H67&gt;=$J$7,H67&lt;=$K$7),$L$7,
IF(AND(H67&gt;=$J$8,H67&lt;=$K$8),$L$8,
IF(AND(H67&gt;=$J$9,H67&lt;=$K$9),$L$9,
IF(AND(H67&gt;=$J$10,H67&lt;=$K$10),$L$10,
IF(AND(H67&gt;=$J$11,H67&lt;=$K$11),$L$11)))))))))),
"")</f>
        <v/>
      </c>
    </row>
    <row r="68" spans="1:9" ht="18" x14ac:dyDescent="0.35">
      <c r="A68" s="30" t="str">
        <f>IF(NOT(ISBLANK('Curs, Seminar'!B72)),'Curs, Seminar'!B72,"")</f>
        <v/>
      </c>
      <c r="B68" s="31" t="str">
        <f>IF(NOT(ISBLANK('Curs, Seminar'!C72)),'Curs, Seminar'!C72,"")</f>
        <v/>
      </c>
      <c r="C68" s="10"/>
      <c r="D68" s="10"/>
      <c r="E68" s="10"/>
      <c r="F68" s="10"/>
      <c r="G68" s="10"/>
      <c r="H68" s="23" t="str">
        <f>IF(NOT(ISBLANK('Curs, Seminar'!C72)),ROUND(SUM(C68:G68),0),"")</f>
        <v/>
      </c>
      <c r="I68" s="22" t="str">
        <f>IF(NOT(ISBLANK('Curs, Seminar'!C72)),
IF(H68=0,"n/p",
IF(AND(H68&gt;=$J$3,H68&lt;=$K$3),$L$3,
IF(AND(H68&gt;=$J$4,H68&lt;=$K$4),$L$4,
IF(AND(H68&gt;=$J$5,H68&lt;=$K$5),$L$5,
IF(AND(H68&gt;=$J$6,H68&lt;=$K$6),$L$6,
IF(AND(H68&gt;=$J$7,H68&lt;=$K$7),$L$7,
IF(AND(H68&gt;=$J$8,H68&lt;=$K$8),$L$8,
IF(AND(H68&gt;=$J$9,H68&lt;=$K$9),$L$9,
IF(AND(H68&gt;=$J$10,H68&lt;=$K$10),$L$10,
IF(AND(H68&gt;=$J$11,H68&lt;=$K$11),$L$11)))))))))),
"")</f>
        <v/>
      </c>
    </row>
    <row r="69" spans="1:9" ht="18" x14ac:dyDescent="0.35">
      <c r="A69" s="30" t="str">
        <f>IF(NOT(ISBLANK('Curs, Seminar'!B73)),'Curs, Seminar'!B73,"")</f>
        <v/>
      </c>
      <c r="B69" s="31" t="str">
        <f>IF(NOT(ISBLANK('Curs, Seminar'!C73)),'Curs, Seminar'!C73,"")</f>
        <v/>
      </c>
      <c r="C69" s="10"/>
      <c r="D69" s="10"/>
      <c r="E69" s="10"/>
      <c r="F69" s="10"/>
      <c r="G69" s="10"/>
      <c r="H69" s="23" t="str">
        <f>IF(NOT(ISBLANK('Curs, Seminar'!C73)),ROUND(SUM(C69:G69),0),"")</f>
        <v/>
      </c>
      <c r="I69" s="22" t="str">
        <f>IF(NOT(ISBLANK('Curs, Seminar'!C73)),
IF(H69=0,"n/p",
IF(AND(H69&gt;=$J$3,H69&lt;=$K$3),$L$3,
IF(AND(H69&gt;=$J$4,H69&lt;=$K$4),$L$4,
IF(AND(H69&gt;=$J$5,H69&lt;=$K$5),$L$5,
IF(AND(H69&gt;=$J$6,H69&lt;=$K$6),$L$6,
IF(AND(H69&gt;=$J$7,H69&lt;=$K$7),$L$7,
IF(AND(H69&gt;=$J$8,H69&lt;=$K$8),$L$8,
IF(AND(H69&gt;=$J$9,H69&lt;=$K$9),$L$9,
IF(AND(H69&gt;=$J$10,H69&lt;=$K$10),$L$10,
IF(AND(H69&gt;=$J$11,H69&lt;=$K$11),$L$11)))))))))),
"")</f>
        <v/>
      </c>
    </row>
    <row r="70" spans="1:9" ht="18" x14ac:dyDescent="0.35">
      <c r="A70" s="30" t="str">
        <f>IF(NOT(ISBLANK('Curs, Seminar'!B74)),'Curs, Seminar'!B74,"")</f>
        <v/>
      </c>
      <c r="B70" s="31" t="str">
        <f>IF(NOT(ISBLANK('Curs, Seminar'!C74)),'Curs, Seminar'!C74,"")</f>
        <v/>
      </c>
      <c r="C70" s="10"/>
      <c r="D70" s="10"/>
      <c r="E70" s="10"/>
      <c r="F70" s="10"/>
      <c r="G70" s="10"/>
      <c r="H70" s="23" t="str">
        <f>IF(NOT(ISBLANK('Curs, Seminar'!C74)),ROUND(SUM(C70:G70),0),"")</f>
        <v/>
      </c>
      <c r="I70" s="22" t="str">
        <f>IF(NOT(ISBLANK('Curs, Seminar'!C74)),
IF(H70=0,"n/p",
IF(AND(H70&gt;=$J$3,H70&lt;=$K$3),$L$3,
IF(AND(H70&gt;=$J$4,H70&lt;=$K$4),$L$4,
IF(AND(H70&gt;=$J$5,H70&lt;=$K$5),$L$5,
IF(AND(H70&gt;=$J$6,H70&lt;=$K$6),$L$6,
IF(AND(H70&gt;=$J$7,H70&lt;=$K$7),$L$7,
IF(AND(H70&gt;=$J$8,H70&lt;=$K$8),$L$8,
IF(AND(H70&gt;=$J$9,H70&lt;=$K$9),$L$9,
IF(AND(H70&gt;=$J$10,H70&lt;=$K$10),$L$10,
IF(AND(H70&gt;=$J$11,H70&lt;=$K$11),$L$11)))))))))),
"")</f>
        <v/>
      </c>
    </row>
    <row r="71" spans="1:9" ht="18" x14ac:dyDescent="0.35">
      <c r="A71" s="30" t="str">
        <f>IF(NOT(ISBLANK('Curs, Seminar'!B75)),'Curs, Seminar'!B75,"")</f>
        <v/>
      </c>
      <c r="B71" s="31" t="str">
        <f>IF(NOT(ISBLANK('Curs, Seminar'!C75)),'Curs, Seminar'!C75,"")</f>
        <v/>
      </c>
      <c r="C71" s="10"/>
      <c r="D71" s="10"/>
      <c r="E71" s="10"/>
      <c r="F71" s="10"/>
      <c r="G71" s="10"/>
      <c r="H71" s="23" t="str">
        <f>IF(NOT(ISBLANK('Curs, Seminar'!C75)),ROUND(SUM(C71:G71),0),"")</f>
        <v/>
      </c>
      <c r="I71" s="22" t="str">
        <f>IF(NOT(ISBLANK('Curs, Seminar'!C75)),
IF(H71=0,"n/p",
IF(AND(H71&gt;=$J$3,H71&lt;=$K$3),$L$3,
IF(AND(H71&gt;=$J$4,H71&lt;=$K$4),$L$4,
IF(AND(H71&gt;=$J$5,H71&lt;=$K$5),$L$5,
IF(AND(H71&gt;=$J$6,H71&lt;=$K$6),$L$6,
IF(AND(H71&gt;=$J$7,H71&lt;=$K$7),$L$7,
IF(AND(H71&gt;=$J$8,H71&lt;=$K$8),$L$8,
IF(AND(H71&gt;=$J$9,H71&lt;=$K$9),$L$9,
IF(AND(H71&gt;=$J$10,H71&lt;=$K$10),$L$10,
IF(AND(H71&gt;=$J$11,H71&lt;=$K$11),$L$11)))))))))),
"")</f>
        <v/>
      </c>
    </row>
    <row r="72" spans="1:9" ht="18" x14ac:dyDescent="0.35">
      <c r="A72" s="30" t="str">
        <f>IF(NOT(ISBLANK('Curs, Seminar'!B76)),'Curs, Seminar'!B76,"")</f>
        <v/>
      </c>
      <c r="B72" s="31" t="str">
        <f>IF(NOT(ISBLANK('Curs, Seminar'!C76)),'Curs, Seminar'!C76,"")</f>
        <v/>
      </c>
      <c r="C72" s="10"/>
      <c r="D72" s="10"/>
      <c r="E72" s="10"/>
      <c r="F72" s="10"/>
      <c r="G72" s="10"/>
      <c r="H72" s="23" t="str">
        <f>IF(NOT(ISBLANK('Curs, Seminar'!C76)),ROUND(SUM(C72:G72),0),"")</f>
        <v/>
      </c>
      <c r="I72" s="22" t="str">
        <f>IF(NOT(ISBLANK('Curs, Seminar'!C76)),
IF(H72=0,"n/p",
IF(AND(H72&gt;=$J$3,H72&lt;=$K$3),$L$3,
IF(AND(H72&gt;=$J$4,H72&lt;=$K$4),$L$4,
IF(AND(H72&gt;=$J$5,H72&lt;=$K$5),$L$5,
IF(AND(H72&gt;=$J$6,H72&lt;=$K$6),$L$6,
IF(AND(H72&gt;=$J$7,H72&lt;=$K$7),$L$7,
IF(AND(H72&gt;=$J$8,H72&lt;=$K$8),$L$8,
IF(AND(H72&gt;=$J$9,H72&lt;=$K$9),$L$9,
IF(AND(H72&gt;=$J$10,H72&lt;=$K$10),$L$10,
IF(AND(H72&gt;=$J$11,H72&lt;=$K$11),$L$11)))))))))),
"")</f>
        <v/>
      </c>
    </row>
    <row r="73" spans="1:9" ht="18" x14ac:dyDescent="0.35">
      <c r="A73" s="30" t="str">
        <f>IF(NOT(ISBLANK('Curs, Seminar'!B77)),'Curs, Seminar'!B77,"")</f>
        <v/>
      </c>
      <c r="B73" s="31" t="str">
        <f>IF(NOT(ISBLANK('Curs, Seminar'!C77)),'Curs, Seminar'!C77,"")</f>
        <v/>
      </c>
      <c r="C73" s="10"/>
      <c r="D73" s="10"/>
      <c r="E73" s="10"/>
      <c r="F73" s="10"/>
      <c r="G73" s="10"/>
      <c r="H73" s="23" t="str">
        <f>IF(NOT(ISBLANK('Curs, Seminar'!C77)),ROUND(SUM(C73:G73),0),"")</f>
        <v/>
      </c>
      <c r="I73" s="22" t="str">
        <f>IF(NOT(ISBLANK('Curs, Seminar'!C77)),
IF(H73=0,"n/p",
IF(AND(H73&gt;=$J$3,H73&lt;=$K$3),$L$3,
IF(AND(H73&gt;=$J$4,H73&lt;=$K$4),$L$4,
IF(AND(H73&gt;=$J$5,H73&lt;=$K$5),$L$5,
IF(AND(H73&gt;=$J$6,H73&lt;=$K$6),$L$6,
IF(AND(H73&gt;=$J$7,H73&lt;=$K$7),$L$7,
IF(AND(H73&gt;=$J$8,H73&lt;=$K$8),$L$8,
IF(AND(H73&gt;=$J$9,H73&lt;=$K$9),$L$9,
IF(AND(H73&gt;=$J$10,H73&lt;=$K$10),$L$10,
IF(AND(H73&gt;=$J$11,H73&lt;=$K$11),$L$11)))))))))),
"")</f>
        <v/>
      </c>
    </row>
    <row r="74" spans="1:9" ht="18" x14ac:dyDescent="0.35">
      <c r="A74" s="30" t="str">
        <f>IF(NOT(ISBLANK('Curs, Seminar'!B78)),'Curs, Seminar'!B78,"")</f>
        <v/>
      </c>
      <c r="B74" s="31" t="str">
        <f>IF(NOT(ISBLANK('Curs, Seminar'!C78)),'Curs, Seminar'!C78,"")</f>
        <v/>
      </c>
      <c r="C74" s="10"/>
      <c r="D74" s="10"/>
      <c r="E74" s="10"/>
      <c r="F74" s="10"/>
      <c r="G74" s="10"/>
      <c r="H74" s="23" t="str">
        <f>IF(NOT(ISBLANK('Curs, Seminar'!C78)),ROUND(SUM(C74:G74),0),"")</f>
        <v/>
      </c>
      <c r="I74" s="22" t="str">
        <f>IF(NOT(ISBLANK('Curs, Seminar'!C78)),
IF(H74=0,"n/p",
IF(AND(H74&gt;=$J$3,H74&lt;=$K$3),$L$3,
IF(AND(H74&gt;=$J$4,H74&lt;=$K$4),$L$4,
IF(AND(H74&gt;=$J$5,H74&lt;=$K$5),$L$5,
IF(AND(H74&gt;=$J$6,H74&lt;=$K$6),$L$6,
IF(AND(H74&gt;=$J$7,H74&lt;=$K$7),$L$7,
IF(AND(H74&gt;=$J$8,H74&lt;=$K$8),$L$8,
IF(AND(H74&gt;=$J$9,H74&lt;=$K$9),$L$9,
IF(AND(H74&gt;=$J$10,H74&lt;=$K$10),$L$10,
IF(AND(H74&gt;=$J$11,H74&lt;=$K$11),$L$11)))))))))),
"")</f>
        <v/>
      </c>
    </row>
    <row r="75" spans="1:9" ht="18" x14ac:dyDescent="0.35">
      <c r="A75" s="30" t="str">
        <f>IF(NOT(ISBLANK('Curs, Seminar'!B79)),'Curs, Seminar'!B79,"")</f>
        <v/>
      </c>
      <c r="B75" s="31" t="str">
        <f>IF(NOT(ISBLANK('Curs, Seminar'!C79)),'Curs, Seminar'!C79,"")</f>
        <v/>
      </c>
      <c r="C75" s="10"/>
      <c r="D75" s="10"/>
      <c r="E75" s="10"/>
      <c r="F75" s="10"/>
      <c r="G75" s="10"/>
      <c r="H75" s="23" t="str">
        <f>IF(NOT(ISBLANK('Curs, Seminar'!C79)),ROUND(SUM(C75:G75),0),"")</f>
        <v/>
      </c>
      <c r="I75" s="22" t="str">
        <f>IF(NOT(ISBLANK('Curs, Seminar'!C79)),
IF(H75=0,"n/p",
IF(AND(H75&gt;=$J$3,H75&lt;=$K$3),$L$3,
IF(AND(H75&gt;=$J$4,H75&lt;=$K$4),$L$4,
IF(AND(H75&gt;=$J$5,H75&lt;=$K$5),$L$5,
IF(AND(H75&gt;=$J$6,H75&lt;=$K$6),$L$6,
IF(AND(H75&gt;=$J$7,H75&lt;=$K$7),$L$7,
IF(AND(H75&gt;=$J$8,H75&lt;=$K$8),$L$8,
IF(AND(H75&gt;=$J$9,H75&lt;=$K$9),$L$9,
IF(AND(H75&gt;=$J$10,H75&lt;=$K$10),$L$10,
IF(AND(H75&gt;=$J$11,H75&lt;=$K$11),$L$11)))))))))),
"")</f>
        <v/>
      </c>
    </row>
    <row r="76" spans="1:9" ht="18" x14ac:dyDescent="0.35">
      <c r="A76" s="30" t="str">
        <f>IF(NOT(ISBLANK('Curs, Seminar'!B80)),'Curs, Seminar'!B80,"")</f>
        <v/>
      </c>
      <c r="B76" s="31" t="str">
        <f>IF(NOT(ISBLANK('Curs, Seminar'!C80)),'Curs, Seminar'!C80,"")</f>
        <v/>
      </c>
      <c r="C76" s="10"/>
      <c r="D76" s="10"/>
      <c r="E76" s="10"/>
      <c r="F76" s="10"/>
      <c r="G76" s="10"/>
      <c r="H76" s="23" t="str">
        <f>IF(NOT(ISBLANK('Curs, Seminar'!C80)),ROUND(SUM(C76:G76),0),"")</f>
        <v/>
      </c>
      <c r="I76" s="22" t="str">
        <f>IF(NOT(ISBLANK('Curs, Seminar'!C80)),
IF(H76=0,"n/p",
IF(AND(H76&gt;=$J$3,H76&lt;=$K$3),$L$3,
IF(AND(H76&gt;=$J$4,H76&lt;=$K$4),$L$4,
IF(AND(H76&gt;=$J$5,H76&lt;=$K$5),$L$5,
IF(AND(H76&gt;=$J$6,H76&lt;=$K$6),$L$6,
IF(AND(H76&gt;=$J$7,H76&lt;=$K$7),$L$7,
IF(AND(H76&gt;=$J$8,H76&lt;=$K$8),$L$8,
IF(AND(H76&gt;=$J$9,H76&lt;=$K$9),$L$9,
IF(AND(H76&gt;=$J$10,H76&lt;=$K$10),$L$10,
IF(AND(H76&gt;=$J$11,H76&lt;=$K$11),$L$11)))))))))),
"")</f>
        <v/>
      </c>
    </row>
    <row r="77" spans="1:9" ht="18" x14ac:dyDescent="0.35">
      <c r="A77" s="30" t="str">
        <f>IF(NOT(ISBLANK('Curs, Seminar'!B81)),'Curs, Seminar'!B81,"")</f>
        <v/>
      </c>
      <c r="B77" s="31" t="str">
        <f>IF(NOT(ISBLANK('Curs, Seminar'!C81)),'Curs, Seminar'!C81,"")</f>
        <v/>
      </c>
      <c r="C77" s="10"/>
      <c r="D77" s="10"/>
      <c r="E77" s="10"/>
      <c r="F77" s="10"/>
      <c r="G77" s="10"/>
      <c r="H77" s="23" t="str">
        <f>IF(NOT(ISBLANK('Curs, Seminar'!C81)),ROUND(SUM(C77:G77),0),"")</f>
        <v/>
      </c>
      <c r="I77" s="22" t="str">
        <f>IF(NOT(ISBLANK('Curs, Seminar'!C81)),
IF(H77=0,"n/p",
IF(AND(H77&gt;=$J$3,H77&lt;=$K$3),$L$3,
IF(AND(H77&gt;=$J$4,H77&lt;=$K$4),$L$4,
IF(AND(H77&gt;=$J$5,H77&lt;=$K$5),$L$5,
IF(AND(H77&gt;=$J$6,H77&lt;=$K$6),$L$6,
IF(AND(H77&gt;=$J$7,H77&lt;=$K$7),$L$7,
IF(AND(H77&gt;=$J$8,H77&lt;=$K$8),$L$8,
IF(AND(H77&gt;=$J$9,H77&lt;=$K$9),$L$9,
IF(AND(H77&gt;=$J$10,H77&lt;=$K$10),$L$10,
IF(AND(H77&gt;=$J$11,H77&lt;=$K$11),$L$11)))))))))),
"")</f>
        <v/>
      </c>
    </row>
    <row r="78" spans="1:9" ht="18" x14ac:dyDescent="0.35">
      <c r="A78" s="30" t="str">
        <f>IF(NOT(ISBLANK('Curs, Seminar'!B82)),'Curs, Seminar'!B82,"")</f>
        <v/>
      </c>
      <c r="B78" s="31" t="str">
        <f>IF(NOT(ISBLANK('Curs, Seminar'!C82)),'Curs, Seminar'!C82,"")</f>
        <v/>
      </c>
      <c r="C78" s="10"/>
      <c r="D78" s="10"/>
      <c r="E78" s="10"/>
      <c r="F78" s="10"/>
      <c r="G78" s="10"/>
      <c r="H78" s="23" t="str">
        <f>IF(NOT(ISBLANK('Curs, Seminar'!C82)),ROUND(SUM(C78:G78),0),"")</f>
        <v/>
      </c>
      <c r="I78" s="22" t="str">
        <f>IF(NOT(ISBLANK('Curs, Seminar'!C82)),
IF(H78=0,"n/p",
IF(AND(H78&gt;=$J$3,H78&lt;=$K$3),$L$3,
IF(AND(H78&gt;=$J$4,H78&lt;=$K$4),$L$4,
IF(AND(H78&gt;=$J$5,H78&lt;=$K$5),$L$5,
IF(AND(H78&gt;=$J$6,H78&lt;=$K$6),$L$6,
IF(AND(H78&gt;=$J$7,H78&lt;=$K$7),$L$7,
IF(AND(H78&gt;=$J$8,H78&lt;=$K$8),$L$8,
IF(AND(H78&gt;=$J$9,H78&lt;=$K$9),$L$9,
IF(AND(H78&gt;=$J$10,H78&lt;=$K$10),$L$10,
IF(AND(H78&gt;=$J$11,H78&lt;=$K$11),$L$11)))))))))),
"")</f>
        <v/>
      </c>
    </row>
    <row r="79" spans="1:9" ht="18" x14ac:dyDescent="0.35">
      <c r="A79" s="30" t="str">
        <f>IF(NOT(ISBLANK('Curs, Seminar'!B83)),'Curs, Seminar'!B83,"")</f>
        <v/>
      </c>
      <c r="B79" s="31" t="str">
        <f>IF(NOT(ISBLANK('Curs, Seminar'!C83)),'Curs, Seminar'!C83,"")</f>
        <v/>
      </c>
      <c r="C79" s="10"/>
      <c r="D79" s="10"/>
      <c r="E79" s="10"/>
      <c r="F79" s="10"/>
      <c r="G79" s="10"/>
      <c r="H79" s="23" t="str">
        <f>IF(NOT(ISBLANK('Curs, Seminar'!C83)),ROUND(SUM(C79:G79),0),"")</f>
        <v/>
      </c>
      <c r="I79" s="22" t="str">
        <f>IF(NOT(ISBLANK('Curs, Seminar'!C83)),
IF(H79=0,"n/p",
IF(AND(H79&gt;=$J$3,H79&lt;=$K$3),$L$3,
IF(AND(H79&gt;=$J$4,H79&lt;=$K$4),$L$4,
IF(AND(H79&gt;=$J$5,H79&lt;=$K$5),$L$5,
IF(AND(H79&gt;=$J$6,H79&lt;=$K$6),$L$6,
IF(AND(H79&gt;=$J$7,H79&lt;=$K$7),$L$7,
IF(AND(H79&gt;=$J$8,H79&lt;=$K$8),$L$8,
IF(AND(H79&gt;=$J$9,H79&lt;=$K$9),$L$9,
IF(AND(H79&gt;=$J$10,H79&lt;=$K$10),$L$10,
IF(AND(H79&gt;=$J$11,H79&lt;=$K$11),$L$11)))))))))),
"")</f>
        <v/>
      </c>
    </row>
    <row r="80" spans="1:9" ht="18" x14ac:dyDescent="0.35">
      <c r="A80" s="30" t="str">
        <f>IF(NOT(ISBLANK('Curs, Seminar'!B84)),'Curs, Seminar'!B84,"")</f>
        <v/>
      </c>
      <c r="B80" s="31" t="str">
        <f>IF(NOT(ISBLANK('Curs, Seminar'!C84)),'Curs, Seminar'!C84,"")</f>
        <v/>
      </c>
      <c r="C80" s="10"/>
      <c r="D80" s="10"/>
      <c r="E80" s="10"/>
      <c r="F80" s="10"/>
      <c r="G80" s="10"/>
      <c r="H80" s="23" t="str">
        <f>IF(NOT(ISBLANK('Curs, Seminar'!C84)),ROUND(SUM(C80:G80),0),"")</f>
        <v/>
      </c>
      <c r="I80" s="22" t="str">
        <f>IF(NOT(ISBLANK('Curs, Seminar'!C84)),
IF(H80=0,"n/p",
IF(AND(H80&gt;=$J$3,H80&lt;=$K$3),$L$3,
IF(AND(H80&gt;=$J$4,H80&lt;=$K$4),$L$4,
IF(AND(H80&gt;=$J$5,H80&lt;=$K$5),$L$5,
IF(AND(H80&gt;=$J$6,H80&lt;=$K$6),$L$6,
IF(AND(H80&gt;=$J$7,H80&lt;=$K$7),$L$7,
IF(AND(H80&gt;=$J$8,H80&lt;=$K$8),$L$8,
IF(AND(H80&gt;=$J$9,H80&lt;=$K$9),$L$9,
IF(AND(H80&gt;=$J$10,H80&lt;=$K$10),$L$10,
IF(AND(H80&gt;=$J$11,H80&lt;=$K$11),$L$11)))))))))),
"")</f>
        <v/>
      </c>
    </row>
    <row r="81" spans="1:9" ht="18" x14ac:dyDescent="0.35">
      <c r="A81" s="30" t="str">
        <f>IF(NOT(ISBLANK('Curs, Seminar'!B85)),'Curs, Seminar'!B85,"")</f>
        <v/>
      </c>
      <c r="B81" s="31" t="str">
        <f>IF(NOT(ISBLANK('Curs, Seminar'!C85)),'Curs, Seminar'!C85,"")</f>
        <v/>
      </c>
      <c r="C81" s="10"/>
      <c r="D81" s="10"/>
      <c r="E81" s="10"/>
      <c r="F81" s="10"/>
      <c r="G81" s="10"/>
      <c r="H81" s="23" t="str">
        <f>IF(NOT(ISBLANK('Curs, Seminar'!C85)),ROUND(SUM(C81:G81),0),"")</f>
        <v/>
      </c>
      <c r="I81" s="22" t="str">
        <f>IF(NOT(ISBLANK('Curs, Seminar'!C85)),
IF(H81=0,"n/p",
IF(AND(H81&gt;=$J$3,H81&lt;=$K$3),$L$3,
IF(AND(H81&gt;=$J$4,H81&lt;=$K$4),$L$4,
IF(AND(H81&gt;=$J$5,H81&lt;=$K$5),$L$5,
IF(AND(H81&gt;=$J$6,H81&lt;=$K$6),$L$6,
IF(AND(H81&gt;=$J$7,H81&lt;=$K$7),$L$7,
IF(AND(H81&gt;=$J$8,H81&lt;=$K$8),$L$8,
IF(AND(H81&gt;=$J$9,H81&lt;=$K$9),$L$9,
IF(AND(H81&gt;=$J$10,H81&lt;=$K$10),$L$10,
IF(AND(H81&gt;=$J$11,H81&lt;=$K$11),$L$11)))))))))),
"")</f>
        <v/>
      </c>
    </row>
    <row r="82" spans="1:9" ht="18" x14ac:dyDescent="0.35">
      <c r="A82" s="30" t="str">
        <f>IF(NOT(ISBLANK('Curs, Seminar'!B86)),'Curs, Seminar'!B86,"")</f>
        <v/>
      </c>
      <c r="B82" s="31" t="str">
        <f>IF(NOT(ISBLANK('Curs, Seminar'!C86)),'Curs, Seminar'!C86,"")</f>
        <v/>
      </c>
      <c r="C82" s="10"/>
      <c r="D82" s="10"/>
      <c r="E82" s="10"/>
      <c r="F82" s="10"/>
      <c r="G82" s="10"/>
      <c r="H82" s="23" t="str">
        <f>IF(NOT(ISBLANK('Curs, Seminar'!C86)),ROUND(SUM(C82:G82),0),"")</f>
        <v/>
      </c>
      <c r="I82" s="22" t="str">
        <f>IF(NOT(ISBLANK('Curs, Seminar'!C86)),
IF(H82=0,"n/p",
IF(AND(H82&gt;=$J$3,H82&lt;=$K$3),$L$3,
IF(AND(H82&gt;=$J$4,H82&lt;=$K$4),$L$4,
IF(AND(H82&gt;=$J$5,H82&lt;=$K$5),$L$5,
IF(AND(H82&gt;=$J$6,H82&lt;=$K$6),$L$6,
IF(AND(H82&gt;=$J$7,H82&lt;=$K$7),$L$7,
IF(AND(H82&gt;=$J$8,H82&lt;=$K$8),$L$8,
IF(AND(H82&gt;=$J$9,H82&lt;=$K$9),$L$9,
IF(AND(H82&gt;=$J$10,H82&lt;=$K$10),$L$10,
IF(AND(H82&gt;=$J$11,H82&lt;=$K$11),$L$11)))))))))),
"")</f>
        <v/>
      </c>
    </row>
    <row r="83" spans="1:9" ht="18" x14ac:dyDescent="0.35">
      <c r="A83" s="30" t="str">
        <f>IF(NOT(ISBLANK('Curs, Seminar'!B87)),'Curs, Seminar'!B87,"")</f>
        <v/>
      </c>
      <c r="B83" s="31" t="str">
        <f>IF(NOT(ISBLANK('Curs, Seminar'!C87)),'Curs, Seminar'!C87,"")</f>
        <v/>
      </c>
      <c r="C83" s="10"/>
      <c r="D83" s="10"/>
      <c r="E83" s="10"/>
      <c r="F83" s="10"/>
      <c r="G83" s="10"/>
      <c r="H83" s="23" t="str">
        <f>IF(NOT(ISBLANK('Curs, Seminar'!C87)),ROUND(SUM(C83:G83),0),"")</f>
        <v/>
      </c>
      <c r="I83" s="22" t="str">
        <f>IF(NOT(ISBLANK('Curs, Seminar'!C87)),
IF(H83=0,"n/p",
IF(AND(H83&gt;=$J$3,H83&lt;=$K$3),$L$3,
IF(AND(H83&gt;=$J$4,H83&lt;=$K$4),$L$4,
IF(AND(H83&gt;=$J$5,H83&lt;=$K$5),$L$5,
IF(AND(H83&gt;=$J$6,H83&lt;=$K$6),$L$6,
IF(AND(H83&gt;=$J$7,H83&lt;=$K$7),$L$7,
IF(AND(H83&gt;=$J$8,H83&lt;=$K$8),$L$8,
IF(AND(H83&gt;=$J$9,H83&lt;=$K$9),$L$9,
IF(AND(H83&gt;=$J$10,H83&lt;=$K$10),$L$10,
IF(AND(H83&gt;=$J$11,H83&lt;=$K$11),$L$11)))))))))),
"")</f>
        <v/>
      </c>
    </row>
    <row r="84" spans="1:9" ht="18" x14ac:dyDescent="0.35">
      <c r="A84" s="30" t="str">
        <f>IF(NOT(ISBLANK('Curs, Seminar'!B88)),'Curs, Seminar'!B88,"")</f>
        <v/>
      </c>
      <c r="B84" s="31" t="str">
        <f>IF(NOT(ISBLANK('Curs, Seminar'!C88)),'Curs, Seminar'!C88,"")</f>
        <v/>
      </c>
      <c r="C84" s="10"/>
      <c r="D84" s="10"/>
      <c r="E84" s="10"/>
      <c r="F84" s="10"/>
      <c r="G84" s="10"/>
      <c r="H84" s="23" t="str">
        <f>IF(NOT(ISBLANK('Curs, Seminar'!C88)),ROUND(SUM(C84:G84),0),"")</f>
        <v/>
      </c>
      <c r="I84" s="22" t="str">
        <f>IF(NOT(ISBLANK('Curs, Seminar'!C88)),
IF(H84=0,"n/p",
IF(AND(H84&gt;=$J$3,H84&lt;=$K$3),$L$3,
IF(AND(H84&gt;=$J$4,H84&lt;=$K$4),$L$4,
IF(AND(H84&gt;=$J$5,H84&lt;=$K$5),$L$5,
IF(AND(H84&gt;=$J$6,H84&lt;=$K$6),$L$6,
IF(AND(H84&gt;=$J$7,H84&lt;=$K$7),$L$7,
IF(AND(H84&gt;=$J$8,H84&lt;=$K$8),$L$8,
IF(AND(H84&gt;=$J$9,H84&lt;=$K$9),$L$9,
IF(AND(H84&gt;=$J$10,H84&lt;=$K$10),$L$10,
IF(AND(H84&gt;=$J$11,H84&lt;=$K$11),$L$11)))))))))),
"")</f>
        <v/>
      </c>
    </row>
    <row r="85" spans="1:9" ht="18" x14ac:dyDescent="0.35">
      <c r="A85" s="30" t="str">
        <f>IF(NOT(ISBLANK('Curs, Seminar'!B89)),'Curs, Seminar'!B89,"")</f>
        <v/>
      </c>
      <c r="B85" s="31" t="str">
        <f>IF(NOT(ISBLANK('Curs, Seminar'!C89)),'Curs, Seminar'!C89,"")</f>
        <v/>
      </c>
      <c r="C85" s="10"/>
      <c r="D85" s="10"/>
      <c r="E85" s="10"/>
      <c r="F85" s="10"/>
      <c r="G85" s="10"/>
      <c r="H85" s="23" t="str">
        <f>IF(NOT(ISBLANK('Curs, Seminar'!C89)),ROUND(SUM(C85:G85),0),"")</f>
        <v/>
      </c>
      <c r="I85" s="22" t="str">
        <f>IF(NOT(ISBLANK('Curs, Seminar'!C89)),
IF(H85=0,"n/p",
IF(AND(H85&gt;=$J$3,H85&lt;=$K$3),$L$3,
IF(AND(H85&gt;=$J$4,H85&lt;=$K$4),$L$4,
IF(AND(H85&gt;=$J$5,H85&lt;=$K$5),$L$5,
IF(AND(H85&gt;=$J$6,H85&lt;=$K$6),$L$6,
IF(AND(H85&gt;=$J$7,H85&lt;=$K$7),$L$7,
IF(AND(H85&gt;=$J$8,H85&lt;=$K$8),$L$8,
IF(AND(H85&gt;=$J$9,H85&lt;=$K$9),$L$9,
IF(AND(H85&gt;=$J$10,H85&lt;=$K$10),$L$10,
IF(AND(H85&gt;=$J$11,H85&lt;=$K$11),$L$11)))))))))),
"")</f>
        <v/>
      </c>
    </row>
    <row r="86" spans="1:9" ht="18" x14ac:dyDescent="0.35">
      <c r="A86" s="30" t="str">
        <f>IF(NOT(ISBLANK('Curs, Seminar'!B90)),'Curs, Seminar'!B90,"")</f>
        <v/>
      </c>
      <c r="B86" s="31" t="str">
        <f>IF(NOT(ISBLANK('Curs, Seminar'!C90)),'Curs, Seminar'!C90,"")</f>
        <v/>
      </c>
      <c r="C86" s="10"/>
      <c r="D86" s="10"/>
      <c r="E86" s="10"/>
      <c r="F86" s="10"/>
      <c r="G86" s="10"/>
      <c r="H86" s="23" t="str">
        <f>IF(NOT(ISBLANK('Curs, Seminar'!C90)),ROUND(SUM(C86:G86),0),"")</f>
        <v/>
      </c>
      <c r="I86" s="22" t="str">
        <f>IF(NOT(ISBLANK('Curs, Seminar'!C90)),
IF(H86=0,"n/p",
IF(AND(H86&gt;=$J$3,H86&lt;=$K$3),$L$3,
IF(AND(H86&gt;=$J$4,H86&lt;=$K$4),$L$4,
IF(AND(H86&gt;=$J$5,H86&lt;=$K$5),$L$5,
IF(AND(H86&gt;=$J$6,H86&lt;=$K$6),$L$6,
IF(AND(H86&gt;=$J$7,H86&lt;=$K$7),$L$7,
IF(AND(H86&gt;=$J$8,H86&lt;=$K$8),$L$8,
IF(AND(H86&gt;=$J$9,H86&lt;=$K$9),$L$9,
IF(AND(H86&gt;=$J$10,H86&lt;=$K$10),$L$10,
IF(AND(H86&gt;=$J$11,H86&lt;=$K$11),$L$11)))))))))),
"")</f>
        <v/>
      </c>
    </row>
    <row r="87" spans="1:9" ht="18" x14ac:dyDescent="0.35">
      <c r="A87" s="30" t="str">
        <f>IF(NOT(ISBLANK('Curs, Seminar'!B91)),'Curs, Seminar'!B91,"")</f>
        <v/>
      </c>
      <c r="B87" s="31" t="str">
        <f>IF(NOT(ISBLANK('Curs, Seminar'!C91)),'Curs, Seminar'!C91,"")</f>
        <v/>
      </c>
      <c r="C87" s="10"/>
      <c r="D87" s="10"/>
      <c r="E87" s="10"/>
      <c r="F87" s="10"/>
      <c r="G87" s="10"/>
      <c r="H87" s="23" t="str">
        <f>IF(NOT(ISBLANK('Curs, Seminar'!C91)),ROUND(SUM(C87:G87),0),"")</f>
        <v/>
      </c>
      <c r="I87" s="22" t="str">
        <f>IF(NOT(ISBLANK('Curs, Seminar'!C91)),
IF(H87=0,"n/p",
IF(AND(H87&gt;=$J$3,H87&lt;=$K$3),$L$3,
IF(AND(H87&gt;=$J$4,H87&lt;=$K$4),$L$4,
IF(AND(H87&gt;=$J$5,H87&lt;=$K$5),$L$5,
IF(AND(H87&gt;=$J$6,H87&lt;=$K$6),$L$6,
IF(AND(H87&gt;=$J$7,H87&lt;=$K$7),$L$7,
IF(AND(H87&gt;=$J$8,H87&lt;=$K$8),$L$8,
IF(AND(H87&gt;=$J$9,H87&lt;=$K$9),$L$9,
IF(AND(H87&gt;=$J$10,H87&lt;=$K$10),$L$10,
IF(AND(H87&gt;=$J$11,H87&lt;=$K$11),$L$11)))))))))),
"")</f>
        <v/>
      </c>
    </row>
    <row r="88" spans="1:9" ht="18" x14ac:dyDescent="0.35">
      <c r="A88" s="30" t="str">
        <f>IF(NOT(ISBLANK('Curs, Seminar'!B92)),'Curs, Seminar'!B92,"")</f>
        <v/>
      </c>
      <c r="B88" s="31" t="str">
        <f>IF(NOT(ISBLANK('Curs, Seminar'!C92)),'Curs, Seminar'!C92,"")</f>
        <v/>
      </c>
      <c r="C88" s="10"/>
      <c r="D88" s="10"/>
      <c r="E88" s="10"/>
      <c r="F88" s="10"/>
      <c r="G88" s="10"/>
      <c r="H88" s="23" t="str">
        <f>IF(NOT(ISBLANK('Curs, Seminar'!C92)),ROUND(SUM(C88:G88),0),"")</f>
        <v/>
      </c>
      <c r="I88" s="22" t="str">
        <f>IF(NOT(ISBLANK('Curs, Seminar'!C92)),
IF(H88=0,"n/p",
IF(AND(H88&gt;=$J$3,H88&lt;=$K$3),$L$3,
IF(AND(H88&gt;=$J$4,H88&lt;=$K$4),$L$4,
IF(AND(H88&gt;=$J$5,H88&lt;=$K$5),$L$5,
IF(AND(H88&gt;=$J$6,H88&lt;=$K$6),$L$6,
IF(AND(H88&gt;=$J$7,H88&lt;=$K$7),$L$7,
IF(AND(H88&gt;=$J$8,H88&lt;=$K$8),$L$8,
IF(AND(H88&gt;=$J$9,H88&lt;=$K$9),$L$9,
IF(AND(H88&gt;=$J$10,H88&lt;=$K$10),$L$10,
IF(AND(H88&gt;=$J$11,H88&lt;=$K$11),$L$11)))))))))),
"")</f>
        <v/>
      </c>
    </row>
    <row r="89" spans="1:9" ht="18" x14ac:dyDescent="0.35">
      <c r="A89" s="30" t="str">
        <f>IF(NOT(ISBLANK('Curs, Seminar'!B93)),'Curs, Seminar'!B93,"")</f>
        <v/>
      </c>
      <c r="B89" s="31" t="str">
        <f>IF(NOT(ISBLANK('Curs, Seminar'!C93)),'Curs, Seminar'!C93,"")</f>
        <v/>
      </c>
      <c r="C89" s="10"/>
      <c r="D89" s="10"/>
      <c r="E89" s="10"/>
      <c r="F89" s="10"/>
      <c r="G89" s="10"/>
      <c r="H89" s="23" t="str">
        <f>IF(NOT(ISBLANK('Curs, Seminar'!C93)),ROUND(SUM(C89:G89),0),"")</f>
        <v/>
      </c>
      <c r="I89" s="22" t="str">
        <f>IF(NOT(ISBLANK('Curs, Seminar'!C93)),
IF(H89=0,"n/p",
IF(AND(H89&gt;=$J$3,H89&lt;=$K$3),$L$3,
IF(AND(H89&gt;=$J$4,H89&lt;=$K$4),$L$4,
IF(AND(H89&gt;=$J$5,H89&lt;=$K$5),$L$5,
IF(AND(H89&gt;=$J$6,H89&lt;=$K$6),$L$6,
IF(AND(H89&gt;=$J$7,H89&lt;=$K$7),$L$7,
IF(AND(H89&gt;=$J$8,H89&lt;=$K$8),$L$8,
IF(AND(H89&gt;=$J$9,H89&lt;=$K$9),$L$9,
IF(AND(H89&gt;=$J$10,H89&lt;=$K$10),$L$10,
IF(AND(H89&gt;=$J$11,H89&lt;=$K$11),$L$11)))))))))),
"")</f>
        <v/>
      </c>
    </row>
    <row r="90" spans="1:9" ht="18" x14ac:dyDescent="0.35">
      <c r="A90" s="30" t="str">
        <f>IF(NOT(ISBLANK('Curs, Seminar'!B94)),'Curs, Seminar'!B94,"")</f>
        <v/>
      </c>
      <c r="B90" s="31" t="str">
        <f>IF(NOT(ISBLANK('Curs, Seminar'!C94)),'Curs, Seminar'!C94,"")</f>
        <v/>
      </c>
      <c r="C90" s="10"/>
      <c r="D90" s="10"/>
      <c r="E90" s="10"/>
      <c r="F90" s="10"/>
      <c r="G90" s="10"/>
      <c r="H90" s="23" t="str">
        <f>IF(NOT(ISBLANK('Curs, Seminar'!C94)),ROUND(SUM(C90:G90),0),"")</f>
        <v/>
      </c>
      <c r="I90" s="22" t="str">
        <f>IF(NOT(ISBLANK('Curs, Seminar'!C94)),
IF(H90=0,"n/p",
IF(AND(H90&gt;=$J$3,H90&lt;=$K$3),$L$3,
IF(AND(H90&gt;=$J$4,H90&lt;=$K$4),$L$4,
IF(AND(H90&gt;=$J$5,H90&lt;=$K$5),$L$5,
IF(AND(H90&gt;=$J$6,H90&lt;=$K$6),$L$6,
IF(AND(H90&gt;=$J$7,H90&lt;=$K$7),$L$7,
IF(AND(H90&gt;=$J$8,H90&lt;=$K$8),$L$8,
IF(AND(H90&gt;=$J$9,H90&lt;=$K$9),$L$9,
IF(AND(H90&gt;=$J$10,H90&lt;=$K$10),$L$10,
IF(AND(H90&gt;=$J$11,H90&lt;=$K$11),$L$11)))))))))),
"")</f>
        <v/>
      </c>
    </row>
    <row r="91" spans="1:9" ht="18" x14ac:dyDescent="0.35">
      <c r="A91" s="30" t="str">
        <f>IF(NOT(ISBLANK('Curs, Seminar'!B95)),'Curs, Seminar'!B95,"")</f>
        <v/>
      </c>
      <c r="B91" s="31" t="str">
        <f>IF(NOT(ISBLANK('Curs, Seminar'!C95)),'Curs, Seminar'!C95,"")</f>
        <v/>
      </c>
      <c r="C91" s="10"/>
      <c r="D91" s="10"/>
      <c r="E91" s="10"/>
      <c r="F91" s="10"/>
      <c r="G91" s="10"/>
      <c r="H91" s="23" t="str">
        <f>IF(NOT(ISBLANK('Curs, Seminar'!C95)),ROUND(SUM(C91:G91),0),"")</f>
        <v/>
      </c>
      <c r="I91" s="22" t="str">
        <f>IF(NOT(ISBLANK('Curs, Seminar'!C95)),
IF(H91=0,"n/p",
IF(AND(H91&gt;=$J$3,H91&lt;=$K$3),$L$3,
IF(AND(H91&gt;=$J$4,H91&lt;=$K$4),$L$4,
IF(AND(H91&gt;=$J$5,H91&lt;=$K$5),$L$5,
IF(AND(H91&gt;=$J$6,H91&lt;=$K$6),$L$6,
IF(AND(H91&gt;=$J$7,H91&lt;=$K$7),$L$7,
IF(AND(H91&gt;=$J$8,H91&lt;=$K$8),$L$8,
IF(AND(H91&gt;=$J$9,H91&lt;=$K$9),$L$9,
IF(AND(H91&gt;=$J$10,H91&lt;=$K$10),$L$10,
IF(AND(H91&gt;=$J$11,H91&lt;=$K$11),$L$11)))))))))),
"")</f>
        <v/>
      </c>
    </row>
    <row r="92" spans="1:9" ht="18" x14ac:dyDescent="0.35">
      <c r="A92" s="30" t="str">
        <f>IF(NOT(ISBLANK('Curs, Seminar'!B96)),'Curs, Seminar'!B96,"")</f>
        <v/>
      </c>
      <c r="B92" s="31" t="str">
        <f>IF(NOT(ISBLANK('Curs, Seminar'!C96)),'Curs, Seminar'!C96,"")</f>
        <v/>
      </c>
      <c r="C92" s="10"/>
      <c r="D92" s="10"/>
      <c r="E92" s="10"/>
      <c r="F92" s="10"/>
      <c r="G92" s="10"/>
      <c r="H92" s="23" t="str">
        <f>IF(NOT(ISBLANK('Curs, Seminar'!C96)),ROUND(SUM(C92:G92),0),"")</f>
        <v/>
      </c>
      <c r="I92" s="22" t="str">
        <f>IF(NOT(ISBLANK('Curs, Seminar'!C96)),
IF(H92=0,"n/p",
IF(AND(H92&gt;=$J$3,H92&lt;=$K$3),$L$3,
IF(AND(H92&gt;=$J$4,H92&lt;=$K$4),$L$4,
IF(AND(H92&gt;=$J$5,H92&lt;=$K$5),$L$5,
IF(AND(H92&gt;=$J$6,H92&lt;=$K$6),$L$6,
IF(AND(H92&gt;=$J$7,H92&lt;=$K$7),$L$7,
IF(AND(H92&gt;=$J$8,H92&lt;=$K$8),$L$8,
IF(AND(H92&gt;=$J$9,H92&lt;=$K$9),$L$9,
IF(AND(H92&gt;=$J$10,H92&lt;=$K$10),$L$10,
IF(AND(H92&gt;=$J$11,H92&lt;=$K$11),$L$11)))))))))),
"")</f>
        <v/>
      </c>
    </row>
    <row r="93" spans="1:9" ht="18" x14ac:dyDescent="0.35">
      <c r="A93" s="30" t="str">
        <f>IF(NOT(ISBLANK('Curs, Seminar'!B97)),'Curs, Seminar'!B97,"")</f>
        <v/>
      </c>
      <c r="B93" s="31" t="str">
        <f>IF(NOT(ISBLANK('Curs, Seminar'!C97)),'Curs, Seminar'!C97,"")</f>
        <v/>
      </c>
      <c r="C93" s="10"/>
      <c r="D93" s="10"/>
      <c r="E93" s="10"/>
      <c r="F93" s="10"/>
      <c r="G93" s="10"/>
      <c r="H93" s="23" t="str">
        <f>IF(NOT(ISBLANK('Curs, Seminar'!C97)),ROUND(SUM(C93:G93),0),"")</f>
        <v/>
      </c>
      <c r="I93" s="22" t="str">
        <f>IF(NOT(ISBLANK('Curs, Seminar'!C97)),
IF(H93=0,"n/p",
IF(AND(H93&gt;=$J$3,H93&lt;=$K$3),$L$3,
IF(AND(H93&gt;=$J$4,H93&lt;=$K$4),$L$4,
IF(AND(H93&gt;=$J$5,H93&lt;=$K$5),$L$5,
IF(AND(H93&gt;=$J$6,H93&lt;=$K$6),$L$6,
IF(AND(H93&gt;=$J$7,H93&lt;=$K$7),$L$7,
IF(AND(H93&gt;=$J$8,H93&lt;=$K$8),$L$8,
IF(AND(H93&gt;=$J$9,H93&lt;=$K$9),$L$9,
IF(AND(H93&gt;=$J$10,H93&lt;=$K$10),$L$10,
IF(AND(H93&gt;=$J$11,H93&lt;=$K$11),$L$11)))))))))),
"")</f>
        <v/>
      </c>
    </row>
    <row r="94" spans="1:9" ht="18" x14ac:dyDescent="0.35">
      <c r="A94" s="30" t="str">
        <f>IF(NOT(ISBLANK('Curs, Seminar'!B98)),'Curs, Seminar'!B98,"")</f>
        <v/>
      </c>
      <c r="B94" s="31" t="str">
        <f>IF(NOT(ISBLANK('Curs, Seminar'!C98)),'Curs, Seminar'!C98,"")</f>
        <v/>
      </c>
      <c r="C94" s="10"/>
      <c r="D94" s="10"/>
      <c r="E94" s="10"/>
      <c r="F94" s="10"/>
      <c r="G94" s="10"/>
      <c r="H94" s="23" t="str">
        <f>IF(NOT(ISBLANK('Curs, Seminar'!C98)),ROUND(SUM(C94:G94),0),"")</f>
        <v/>
      </c>
      <c r="I94" s="22" t="str">
        <f>IF(NOT(ISBLANK('Curs, Seminar'!C98)),
IF(H94=0,"n/p",
IF(AND(H94&gt;=$J$3,H94&lt;=$K$3),$L$3,
IF(AND(H94&gt;=$J$4,H94&lt;=$K$4),$L$4,
IF(AND(H94&gt;=$J$5,H94&lt;=$K$5),$L$5,
IF(AND(H94&gt;=$J$6,H94&lt;=$K$6),$L$6,
IF(AND(H94&gt;=$J$7,H94&lt;=$K$7),$L$7,
IF(AND(H94&gt;=$J$8,H94&lt;=$K$8),$L$8,
IF(AND(H94&gt;=$J$9,H94&lt;=$K$9),$L$9,
IF(AND(H94&gt;=$J$10,H94&lt;=$K$10),$L$10,
IF(AND(H94&gt;=$J$11,H94&lt;=$K$11),$L$11)))))))))),
"")</f>
        <v/>
      </c>
    </row>
    <row r="95" spans="1:9" ht="18" x14ac:dyDescent="0.35">
      <c r="A95" s="30" t="str">
        <f>IF(NOT(ISBLANK('Curs, Seminar'!B99)),'Curs, Seminar'!B99,"")</f>
        <v/>
      </c>
      <c r="B95" s="31" t="str">
        <f>IF(NOT(ISBLANK('Curs, Seminar'!C99)),'Curs, Seminar'!C99,"")</f>
        <v/>
      </c>
      <c r="C95" s="10"/>
      <c r="D95" s="10"/>
      <c r="E95" s="10"/>
      <c r="F95" s="10"/>
      <c r="G95" s="10"/>
      <c r="H95" s="23" t="str">
        <f>IF(NOT(ISBLANK('Curs, Seminar'!C99)),ROUND(SUM(C95:G95),0),"")</f>
        <v/>
      </c>
      <c r="I95" s="22" t="str">
        <f>IF(NOT(ISBLANK('Curs, Seminar'!C99)),
IF(H95=0,"n/p",
IF(AND(H95&gt;=$J$3,H95&lt;=$K$3),$L$3,
IF(AND(H95&gt;=$J$4,H95&lt;=$K$4),$L$4,
IF(AND(H95&gt;=$J$5,H95&lt;=$K$5),$L$5,
IF(AND(H95&gt;=$J$6,H95&lt;=$K$6),$L$6,
IF(AND(H95&gt;=$J$7,H95&lt;=$K$7),$L$7,
IF(AND(H95&gt;=$J$8,H95&lt;=$K$8),$L$8,
IF(AND(H95&gt;=$J$9,H95&lt;=$K$9),$L$9,
IF(AND(H95&gt;=$J$10,H95&lt;=$K$10),$L$10,
IF(AND(H95&gt;=$J$11,H95&lt;=$K$11),$L$11)))))))))),
"")</f>
        <v/>
      </c>
    </row>
    <row r="96" spans="1:9" ht="18" x14ac:dyDescent="0.35">
      <c r="A96" s="30" t="str">
        <f>IF(NOT(ISBLANK('Curs, Seminar'!B100)),'Curs, Seminar'!B100,"")</f>
        <v/>
      </c>
      <c r="B96" s="31" t="str">
        <f>IF(NOT(ISBLANK('Curs, Seminar'!C100)),'Curs, Seminar'!C100,"")</f>
        <v/>
      </c>
      <c r="C96" s="10"/>
      <c r="D96" s="10"/>
      <c r="E96" s="10"/>
      <c r="F96" s="10"/>
      <c r="G96" s="10"/>
      <c r="H96" s="23" t="str">
        <f>IF(NOT(ISBLANK('Curs, Seminar'!C100)),ROUND(SUM(C96:G96),0),"")</f>
        <v/>
      </c>
      <c r="I96" s="22" t="str">
        <f>IF(NOT(ISBLANK('Curs, Seminar'!C100)),
IF(H96=0,"n/p",
IF(AND(H96&gt;=$J$3,H96&lt;=$K$3),$L$3,
IF(AND(H96&gt;=$J$4,H96&lt;=$K$4),$L$4,
IF(AND(H96&gt;=$J$5,H96&lt;=$K$5),$L$5,
IF(AND(H96&gt;=$J$6,H96&lt;=$K$6),$L$6,
IF(AND(H96&gt;=$J$7,H96&lt;=$K$7),$L$7,
IF(AND(H96&gt;=$J$8,H96&lt;=$K$8),$L$8,
IF(AND(H96&gt;=$J$9,H96&lt;=$K$9),$L$9,
IF(AND(H96&gt;=$J$10,H96&lt;=$K$10),$L$10,
IF(AND(H96&gt;=$J$11,H96&lt;=$K$11),$L$11)))))))))),
"")</f>
        <v/>
      </c>
    </row>
    <row r="97" spans="1:9" ht="18" x14ac:dyDescent="0.35">
      <c r="A97" s="30" t="str">
        <f>IF(NOT(ISBLANK('Curs, Seminar'!B101)),'Curs, Seminar'!B101,"")</f>
        <v/>
      </c>
      <c r="B97" s="31" t="str">
        <f>IF(NOT(ISBLANK('Curs, Seminar'!C101)),'Curs, Seminar'!C101,"")</f>
        <v/>
      </c>
      <c r="C97" s="10"/>
      <c r="D97" s="10"/>
      <c r="E97" s="10"/>
      <c r="F97" s="10"/>
      <c r="G97" s="10"/>
      <c r="H97" s="23" t="str">
        <f>IF(NOT(ISBLANK('Curs, Seminar'!C101)),ROUND(SUM(C97:G97),0),"")</f>
        <v/>
      </c>
      <c r="I97" s="22" t="str">
        <f>IF(NOT(ISBLANK('Curs, Seminar'!C101)),
IF(H97=0,"n/p",
IF(AND(H97&gt;=$J$3,H97&lt;=$K$3),$L$3,
IF(AND(H97&gt;=$J$4,H97&lt;=$K$4),$L$4,
IF(AND(H97&gt;=$J$5,H97&lt;=$K$5),$L$5,
IF(AND(H97&gt;=$J$6,H97&lt;=$K$6),$L$6,
IF(AND(H97&gt;=$J$7,H97&lt;=$K$7),$L$7,
IF(AND(H97&gt;=$J$8,H97&lt;=$K$8),$L$8,
IF(AND(H97&gt;=$J$9,H97&lt;=$K$9),$L$9,
IF(AND(H97&gt;=$J$10,H97&lt;=$K$10),$L$10,
IF(AND(H97&gt;=$J$11,H97&lt;=$K$11),$L$11)))))))))),
"")</f>
        <v/>
      </c>
    </row>
    <row r="98" spans="1:9" ht="18" x14ac:dyDescent="0.35">
      <c r="A98" s="30" t="str">
        <f>IF(NOT(ISBLANK('Curs, Seminar'!B102)),'Curs, Seminar'!B102,"")</f>
        <v/>
      </c>
      <c r="B98" s="31" t="str">
        <f>IF(NOT(ISBLANK('Curs, Seminar'!C102)),'Curs, Seminar'!C102,"")</f>
        <v/>
      </c>
      <c r="C98" s="10"/>
      <c r="D98" s="10"/>
      <c r="E98" s="10"/>
      <c r="F98" s="10"/>
      <c r="G98" s="10"/>
      <c r="H98" s="23" t="str">
        <f>IF(NOT(ISBLANK('Curs, Seminar'!C102)),ROUND(SUM(C98:G98),0),"")</f>
        <v/>
      </c>
      <c r="I98" s="22" t="str">
        <f>IF(NOT(ISBLANK('Curs, Seminar'!C102)),
IF(H98=0,"n/p",
IF(AND(H98&gt;=$J$3,H98&lt;=$K$3),$L$3,
IF(AND(H98&gt;=$J$4,H98&lt;=$K$4),$L$4,
IF(AND(H98&gt;=$J$5,H98&lt;=$K$5),$L$5,
IF(AND(H98&gt;=$J$6,H98&lt;=$K$6),$L$6,
IF(AND(H98&gt;=$J$7,H98&lt;=$K$7),$L$7,
IF(AND(H98&gt;=$J$8,H98&lt;=$K$8),$L$8,
IF(AND(H98&gt;=$J$9,H98&lt;=$K$9),$L$9,
IF(AND(H98&gt;=$J$10,H98&lt;=$K$10),$L$10,
IF(AND(H98&gt;=$J$11,H98&lt;=$K$11),$L$11)))))))))),
"")</f>
        <v/>
      </c>
    </row>
    <row r="99" spans="1:9" ht="18" x14ac:dyDescent="0.35">
      <c r="A99" s="30" t="str">
        <f>IF(NOT(ISBLANK('Curs, Seminar'!B103)),'Curs, Seminar'!B103,"")</f>
        <v/>
      </c>
      <c r="B99" s="31" t="str">
        <f>IF(NOT(ISBLANK('Curs, Seminar'!C103)),'Curs, Seminar'!C103,"")</f>
        <v/>
      </c>
      <c r="C99" s="10"/>
      <c r="D99" s="10"/>
      <c r="E99" s="10"/>
      <c r="F99" s="10"/>
      <c r="G99" s="10"/>
      <c r="H99" s="23" t="str">
        <f>IF(NOT(ISBLANK('Curs, Seminar'!C103)),ROUND(SUM(C99:G99),0),"")</f>
        <v/>
      </c>
      <c r="I99" s="22" t="str">
        <f>IF(NOT(ISBLANK('Curs, Seminar'!C103)),
IF(H99=0,"n/p",
IF(AND(H99&gt;=$J$3,H99&lt;=$K$3),$L$3,
IF(AND(H99&gt;=$J$4,H99&lt;=$K$4),$L$4,
IF(AND(H99&gt;=$J$5,H99&lt;=$K$5),$L$5,
IF(AND(H99&gt;=$J$6,H99&lt;=$K$6),$L$6,
IF(AND(H99&gt;=$J$7,H99&lt;=$K$7),$L$7,
IF(AND(H99&gt;=$J$8,H99&lt;=$K$8),$L$8,
IF(AND(H99&gt;=$J$9,H99&lt;=$K$9),$L$9,
IF(AND(H99&gt;=$J$10,H99&lt;=$K$10),$L$10,
IF(AND(H99&gt;=$J$11,H99&lt;=$K$11),$L$11)))))))))),
"")</f>
        <v/>
      </c>
    </row>
    <row r="100" spans="1:9" ht="18" x14ac:dyDescent="0.35">
      <c r="A100" s="30" t="str">
        <f>IF(NOT(ISBLANK('Curs, Seminar'!B104)),'Curs, Seminar'!B104,"")</f>
        <v/>
      </c>
      <c r="B100" s="31" t="str">
        <f>IF(NOT(ISBLANK('Curs, Seminar'!C104)),'Curs, Seminar'!C104,"")</f>
        <v/>
      </c>
      <c r="C100" s="10"/>
      <c r="D100" s="10"/>
      <c r="E100" s="10"/>
      <c r="F100" s="10"/>
      <c r="G100" s="10"/>
      <c r="H100" s="23" t="str">
        <f>IF(NOT(ISBLANK('Curs, Seminar'!C104)),ROUND(SUM(C100:G100),0),"")</f>
        <v/>
      </c>
      <c r="I100" s="22" t="str">
        <f>IF(NOT(ISBLANK('Curs, Seminar'!C104)),
IF(H100=0,"n/p",
IF(AND(H100&gt;=$J$3,H100&lt;=$K$3),$L$3,
IF(AND(H100&gt;=$J$4,H100&lt;=$K$4),$L$4,
IF(AND(H100&gt;=$J$5,H100&lt;=$K$5),$L$5,
IF(AND(H100&gt;=$J$6,H100&lt;=$K$6),$L$6,
IF(AND(H100&gt;=$J$7,H100&lt;=$K$7),$L$7,
IF(AND(H100&gt;=$J$8,H100&lt;=$K$8),$L$8,
IF(AND(H100&gt;=$J$9,H100&lt;=$K$9),$L$9,
IF(AND(H100&gt;=$J$10,H100&lt;=$K$10),$L$10,
IF(AND(H100&gt;=$J$11,H100&lt;=$K$11),$L$11)))))))))),
"")</f>
        <v/>
      </c>
    </row>
    <row r="101" spans="1:9" ht="18" x14ac:dyDescent="0.35">
      <c r="A101" s="30" t="str">
        <f>IF(NOT(ISBLANK('Curs, Seminar'!B105)),'Curs, Seminar'!B105,"")</f>
        <v/>
      </c>
      <c r="B101" s="31" t="str">
        <f>IF(NOT(ISBLANK('Curs, Seminar'!C105)),'Curs, Seminar'!C105,"")</f>
        <v/>
      </c>
      <c r="C101" s="10"/>
      <c r="D101" s="10"/>
      <c r="E101" s="10"/>
      <c r="F101" s="10"/>
      <c r="G101" s="10"/>
      <c r="H101" s="23" t="str">
        <f>IF(NOT(ISBLANK('Curs, Seminar'!C105)),ROUND(SUM(C101:G101),0),"")</f>
        <v/>
      </c>
      <c r="I101" s="22" t="str">
        <f>IF(NOT(ISBLANK('Curs, Seminar'!C105)),
IF(H101=0,"n/p",
IF(AND(H101&gt;=$J$3,H101&lt;=$K$3),$L$3,
IF(AND(H101&gt;=$J$4,H101&lt;=$K$4),$L$4,
IF(AND(H101&gt;=$J$5,H101&lt;=$K$5),$L$5,
IF(AND(H101&gt;=$J$6,H101&lt;=$K$6),$L$6,
IF(AND(H101&gt;=$J$7,H101&lt;=$K$7),$L$7,
IF(AND(H101&gt;=$J$8,H101&lt;=$K$8),$L$8,
IF(AND(H101&gt;=$J$9,H101&lt;=$K$9),$L$9,
IF(AND(H101&gt;=$J$10,H101&lt;=$K$10),$L$10,
IF(AND(H101&gt;=$J$11,H101&lt;=$K$11),$L$11)))))))))),
"")</f>
        <v/>
      </c>
    </row>
  </sheetData>
  <mergeCells count="1">
    <mergeCell ref="M1:N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4"/>
  <sheetViews>
    <sheetView zoomScale="85" zoomScaleNormal="85" workbookViewId="0">
      <selection activeCell="D2" sqref="D2:G3"/>
    </sheetView>
  </sheetViews>
  <sheetFormatPr defaultRowHeight="18" x14ac:dyDescent="0.35"/>
  <cols>
    <col min="1" max="1" width="4.44140625" style="18" customWidth="1"/>
    <col min="2" max="2" width="24.6640625" customWidth="1"/>
    <col min="3" max="3" width="8" style="42" customWidth="1"/>
    <col min="4" max="7" width="8.109375" style="44" customWidth="1"/>
    <col min="8" max="8" width="8.109375" style="25" customWidth="1"/>
    <col min="9" max="9" width="11.109375" bestFit="1" customWidth="1"/>
    <col min="11" max="11" width="11.33203125" customWidth="1"/>
  </cols>
  <sheetData>
    <row r="1" spans="1:14" x14ac:dyDescent="0.35">
      <c r="A1" s="26" t="s">
        <v>0</v>
      </c>
      <c r="B1" s="19" t="s">
        <v>1</v>
      </c>
      <c r="C1" s="39" t="s">
        <v>36</v>
      </c>
      <c r="D1" s="20" t="s">
        <v>74</v>
      </c>
      <c r="E1" s="20" t="s">
        <v>31</v>
      </c>
      <c r="F1" s="20" t="s">
        <v>32</v>
      </c>
      <c r="G1" s="20" t="s">
        <v>83</v>
      </c>
      <c r="H1" s="38" t="s">
        <v>20</v>
      </c>
      <c r="I1" s="6"/>
      <c r="J1" s="150" t="s">
        <v>45</v>
      </c>
      <c r="K1" s="150"/>
      <c r="L1" s="9"/>
      <c r="M1" s="9"/>
      <c r="N1" s="9"/>
    </row>
    <row r="2" spans="1:14" x14ac:dyDescent="0.35">
      <c r="A2" s="30">
        <f>IF(NOT(ISBLANK('Curs, Seminar'!B6)),'Curs, Seminar'!B6,"")</f>
        <v>1</v>
      </c>
      <c r="B2" s="31" t="str">
        <f>IF(NOT(ISBLANK('Curs, Seminar'!C6)),'Curs, Seminar'!C6,"")</f>
        <v>Nume, Prenume</v>
      </c>
      <c r="C2" s="40" t="s">
        <v>53</v>
      </c>
      <c r="D2" s="43"/>
      <c r="E2" s="43"/>
      <c r="F2" s="43"/>
      <c r="G2" s="43"/>
      <c r="H2" s="32" t="str">
        <f>IF(NOT(ISBLANK('Curs, Seminar'!C6)),IF(AND(NOT(ISBLANK(D2)),NOT(ISBLANK(G2)),D2&gt;=5,G2&gt;=5),ROUND(AVERAGE(D2:G2),0),"n/p"),"")</f>
        <v>n/p</v>
      </c>
      <c r="I2" s="6"/>
      <c r="J2" s="27" t="s">
        <v>20</v>
      </c>
      <c r="K2" s="27" t="s">
        <v>22</v>
      </c>
      <c r="L2" s="13"/>
      <c r="M2" s="13"/>
      <c r="N2" s="13"/>
    </row>
    <row r="3" spans="1:14" x14ac:dyDescent="0.35">
      <c r="A3" s="30" t="str">
        <f>IF(NOT(ISBLANK('Curs, Seminar'!B7)),'Curs, Seminar'!B7,"")</f>
        <v/>
      </c>
      <c r="B3" s="31" t="str">
        <f>IF(NOT(ISBLANK('Curs, Seminar'!C7)),'Curs, Seminar'!C7,"")</f>
        <v/>
      </c>
      <c r="C3" s="40" t="s">
        <v>54</v>
      </c>
      <c r="D3" s="43"/>
      <c r="E3" s="43"/>
      <c r="F3" s="43"/>
      <c r="G3" s="43"/>
      <c r="H3" s="32" t="str">
        <f>IF(NOT(ISBLANK('Curs, Seminar'!C7)),IF(AND(NOT(ISBLANK(D3)),NOT(ISBLANK(G3)),D3&gt;=5,G3&gt;=5),ROUND(AVERAGE(D3:G3),0),"n/p"),"")</f>
        <v/>
      </c>
      <c r="I3" s="21"/>
      <c r="J3" s="29">
        <v>1</v>
      </c>
      <c r="K3" s="27">
        <f>COUNTIF($H$2:$H$101,J3)</f>
        <v>0</v>
      </c>
      <c r="L3" s="13"/>
      <c r="M3" s="13"/>
      <c r="N3" s="13"/>
    </row>
    <row r="4" spans="1:14" x14ac:dyDescent="0.35">
      <c r="A4" s="30" t="str">
        <f>IF(NOT(ISBLANK('Curs, Seminar'!B8)),'Curs, Seminar'!B8,"")</f>
        <v/>
      </c>
      <c r="B4" s="31" t="str">
        <f>IF(NOT(ISBLANK('Curs, Seminar'!C8)),'Curs, Seminar'!C8,"")</f>
        <v/>
      </c>
      <c r="C4" s="40"/>
      <c r="D4" s="43"/>
      <c r="E4" s="43"/>
      <c r="F4" s="43"/>
      <c r="G4" s="43"/>
      <c r="H4" s="32" t="str">
        <f>IF(NOT(ISBLANK('Curs, Seminar'!C8)),IF(AND(NOT(ISBLANK(D4)),NOT(ISBLANK(G4)),D4&gt;=5,G4&gt;=5),ROUND(AVERAGE(D4:G4),0),"n/p"),"")</f>
        <v/>
      </c>
      <c r="I4" s="21"/>
      <c r="J4" s="28">
        <v>2</v>
      </c>
      <c r="K4" s="27">
        <f t="shared" ref="K4:K13" si="0">COUNTIF($H$2:$H$101,J4)</f>
        <v>0</v>
      </c>
      <c r="L4" s="13"/>
      <c r="M4" s="13"/>
      <c r="N4" s="13"/>
    </row>
    <row r="5" spans="1:14" x14ac:dyDescent="0.35">
      <c r="A5" s="30" t="str">
        <f>IF(NOT(ISBLANK('Curs, Seminar'!B9)),'Curs, Seminar'!B9,"")</f>
        <v/>
      </c>
      <c r="B5" s="31" t="str">
        <f>IF(NOT(ISBLANK('Curs, Seminar'!C9)),'Curs, Seminar'!C9,"")</f>
        <v/>
      </c>
      <c r="C5" s="40"/>
      <c r="D5" s="43"/>
      <c r="E5" s="43"/>
      <c r="F5" s="43"/>
      <c r="G5" s="43"/>
      <c r="H5" s="32" t="str">
        <f>IF(NOT(ISBLANK('Curs, Seminar'!C9)),IF(AND(NOT(ISBLANK(D5)),NOT(ISBLANK(G5)),D5&gt;=5,G5&gt;=5),ROUND(AVERAGE(D5:G5),0),"n/p"),"")</f>
        <v/>
      </c>
      <c r="I5" s="21"/>
      <c r="J5" s="28">
        <v>3</v>
      </c>
      <c r="K5" s="27">
        <f t="shared" si="0"/>
        <v>0</v>
      </c>
      <c r="L5" s="13"/>
      <c r="M5" s="13"/>
      <c r="N5" s="13"/>
    </row>
    <row r="6" spans="1:14" x14ac:dyDescent="0.35">
      <c r="A6" s="30" t="str">
        <f>IF(NOT(ISBLANK('Curs, Seminar'!B10)),'Curs, Seminar'!B10,"")</f>
        <v/>
      </c>
      <c r="B6" s="31" t="str">
        <f>IF(NOT(ISBLANK('Curs, Seminar'!C10)),'Curs, Seminar'!C10,"")</f>
        <v/>
      </c>
      <c r="C6" s="40"/>
      <c r="D6" s="43"/>
      <c r="E6" s="43"/>
      <c r="F6" s="43"/>
      <c r="G6" s="43"/>
      <c r="H6" s="32" t="str">
        <f>IF(NOT(ISBLANK('Curs, Seminar'!C10)),IF(AND(NOT(ISBLANK(D6)),NOT(ISBLANK(G6)),D6&gt;=5,G6&gt;=5),ROUND(AVERAGE(D6:G6),0),"n/p"),"")</f>
        <v/>
      </c>
      <c r="I6" s="21"/>
      <c r="J6" s="29">
        <v>4</v>
      </c>
      <c r="K6" s="27">
        <f t="shared" si="0"/>
        <v>0</v>
      </c>
      <c r="L6" s="13"/>
      <c r="M6" s="13"/>
      <c r="N6" s="13"/>
    </row>
    <row r="7" spans="1:14" x14ac:dyDescent="0.35">
      <c r="A7" s="30" t="str">
        <f>IF(NOT(ISBLANK('Curs, Seminar'!B11)),'Curs, Seminar'!B11,"")</f>
        <v/>
      </c>
      <c r="B7" s="31" t="str">
        <f>IF(NOT(ISBLANK('Curs, Seminar'!C11)),'Curs, Seminar'!C11,"")</f>
        <v/>
      </c>
      <c r="C7" s="40"/>
      <c r="D7" s="43"/>
      <c r="E7" s="43"/>
      <c r="F7" s="43"/>
      <c r="G7" s="43"/>
      <c r="H7" s="32" t="str">
        <f>IF(NOT(ISBLANK('Curs, Seminar'!C11)),IF(AND(NOT(ISBLANK(D7)),NOT(ISBLANK(G7)),D7&gt;=5,G7&gt;=5),ROUND(AVERAGE(D7:G7),0),"n/p"),"")</f>
        <v/>
      </c>
      <c r="I7" s="21"/>
      <c r="J7" s="29">
        <v>5</v>
      </c>
      <c r="K7" s="27">
        <f t="shared" si="0"/>
        <v>0</v>
      </c>
      <c r="L7" s="13"/>
      <c r="M7" s="13"/>
      <c r="N7" s="13"/>
    </row>
    <row r="8" spans="1:14" x14ac:dyDescent="0.35">
      <c r="A8" s="30" t="str">
        <f>IF(NOT(ISBLANK('Curs, Seminar'!B12)),'Curs, Seminar'!B12,"")</f>
        <v/>
      </c>
      <c r="B8" s="31" t="str">
        <f>IF(NOT(ISBLANK('Curs, Seminar'!C12)),'Curs, Seminar'!C12,"")</f>
        <v/>
      </c>
      <c r="C8" s="40"/>
      <c r="D8" s="43"/>
      <c r="E8" s="43"/>
      <c r="F8" s="43"/>
      <c r="G8" s="43"/>
      <c r="H8" s="32" t="str">
        <f>IF(NOT(ISBLANK('Curs, Seminar'!C12)),IF(AND(NOT(ISBLANK(D8)),NOT(ISBLANK(G8)),D8&gt;=5,G8&gt;=5),ROUND(AVERAGE(D8:G8),0),"n/p"),"")</f>
        <v/>
      </c>
      <c r="I8" s="21"/>
      <c r="J8" s="29">
        <v>6</v>
      </c>
      <c r="K8" s="27">
        <f t="shared" si="0"/>
        <v>0</v>
      </c>
      <c r="L8" s="13"/>
      <c r="M8" s="13"/>
      <c r="N8" s="13"/>
    </row>
    <row r="9" spans="1:14" x14ac:dyDescent="0.35">
      <c r="A9" s="30" t="str">
        <f>IF(NOT(ISBLANK('Curs, Seminar'!B13)),'Curs, Seminar'!B13,"")</f>
        <v/>
      </c>
      <c r="B9" s="31" t="str">
        <f>IF(NOT(ISBLANK('Curs, Seminar'!C13)),'Curs, Seminar'!C13,"")</f>
        <v/>
      </c>
      <c r="C9" s="40"/>
      <c r="D9" s="43"/>
      <c r="E9" s="43"/>
      <c r="F9" s="43"/>
      <c r="G9" s="43"/>
      <c r="H9" s="32" t="str">
        <f>IF(NOT(ISBLANK('Curs, Seminar'!C13)),IF(AND(NOT(ISBLANK(D9)),NOT(ISBLANK(G9)),D9&gt;=5,G9&gt;=5),ROUND(AVERAGE(D9:G9),0),"n/p"),"")</f>
        <v/>
      </c>
      <c r="I9" s="21"/>
      <c r="J9" s="29">
        <v>7</v>
      </c>
      <c r="K9" s="27">
        <f t="shared" si="0"/>
        <v>0</v>
      </c>
      <c r="L9" s="13"/>
      <c r="M9" s="13"/>
      <c r="N9" s="13"/>
    </row>
    <row r="10" spans="1:14" x14ac:dyDescent="0.35">
      <c r="A10" s="30" t="str">
        <f>IF(NOT(ISBLANK('Curs, Seminar'!B14)),'Curs, Seminar'!B14,"")</f>
        <v/>
      </c>
      <c r="B10" s="31" t="str">
        <f>IF(NOT(ISBLANK('Curs, Seminar'!C14)),'Curs, Seminar'!C14,"")</f>
        <v/>
      </c>
      <c r="C10" s="40"/>
      <c r="D10" s="43"/>
      <c r="E10" s="43"/>
      <c r="F10" s="43"/>
      <c r="G10" s="43"/>
      <c r="H10" s="32" t="str">
        <f>IF(NOT(ISBLANK('Curs, Seminar'!C14)),IF(AND(NOT(ISBLANK(D10)),NOT(ISBLANK(G10)),D10&gt;=5,G10&gt;=5),ROUND(AVERAGE(D10:G10),0),"n/p"),"")</f>
        <v/>
      </c>
      <c r="I10" s="21"/>
      <c r="J10" s="29">
        <v>8</v>
      </c>
      <c r="K10" s="27">
        <f t="shared" si="0"/>
        <v>0</v>
      </c>
      <c r="L10" s="13"/>
      <c r="M10" s="13"/>
      <c r="N10" s="13"/>
    </row>
    <row r="11" spans="1:14" x14ac:dyDescent="0.35">
      <c r="A11" s="30" t="str">
        <f>IF(NOT(ISBLANK('Curs, Seminar'!B15)),'Curs, Seminar'!B15,"")</f>
        <v/>
      </c>
      <c r="B11" s="31" t="str">
        <f>IF(NOT(ISBLANK('Curs, Seminar'!C15)),'Curs, Seminar'!C15,"")</f>
        <v/>
      </c>
      <c r="C11" s="40"/>
      <c r="D11" s="43"/>
      <c r="E11" s="43"/>
      <c r="F11" s="43"/>
      <c r="G11" s="43"/>
      <c r="H11" s="32" t="str">
        <f>IF(NOT(ISBLANK('Curs, Seminar'!C15)),IF(AND(NOT(ISBLANK(D11)),NOT(ISBLANK(G11)),D11&gt;=5,G11&gt;=5),ROUND(AVERAGE(D11:G11),0),"n/p"),"")</f>
        <v/>
      </c>
      <c r="I11" s="21"/>
      <c r="J11" s="29">
        <v>9</v>
      </c>
      <c r="K11" s="27">
        <f t="shared" si="0"/>
        <v>0</v>
      </c>
      <c r="L11" s="13"/>
      <c r="M11" s="13"/>
      <c r="N11" s="13"/>
    </row>
    <row r="12" spans="1:14" x14ac:dyDescent="0.35">
      <c r="A12" s="30" t="str">
        <f>IF(NOT(ISBLANK('Curs, Seminar'!B16)),'Curs, Seminar'!B16,"")</f>
        <v/>
      </c>
      <c r="B12" s="31" t="str">
        <f>IF(NOT(ISBLANK('Curs, Seminar'!C16)),'Curs, Seminar'!C16,"")</f>
        <v/>
      </c>
      <c r="C12" s="40"/>
      <c r="D12" s="43"/>
      <c r="E12" s="43"/>
      <c r="F12" s="43"/>
      <c r="G12" s="43"/>
      <c r="H12" s="32" t="str">
        <f>IF(NOT(ISBLANK('Curs, Seminar'!C16)),IF(AND(NOT(ISBLANK(D12)),NOT(ISBLANK(G12)),D12&gt;=5,G12&gt;=5),ROUND(AVERAGE(D12:G12),0),"n/p"),"")</f>
        <v/>
      </c>
      <c r="I12" s="21"/>
      <c r="J12" s="29">
        <v>10</v>
      </c>
      <c r="K12" s="27">
        <f t="shared" si="0"/>
        <v>0</v>
      </c>
      <c r="L12" s="13"/>
      <c r="M12" s="13"/>
      <c r="N12" s="13"/>
    </row>
    <row r="13" spans="1:14" x14ac:dyDescent="0.35">
      <c r="A13" s="30" t="str">
        <f>IF(NOT(ISBLANK('Curs, Seminar'!B17)),'Curs, Seminar'!B17,"")</f>
        <v/>
      </c>
      <c r="B13" s="31" t="str">
        <f>IF(NOT(ISBLANK('Curs, Seminar'!C17)),'Curs, Seminar'!C17,"")</f>
        <v/>
      </c>
      <c r="C13" s="40"/>
      <c r="D13" s="43"/>
      <c r="E13" s="43"/>
      <c r="F13" s="43"/>
      <c r="G13" s="43"/>
      <c r="H13" s="32" t="str">
        <f>IF(NOT(ISBLANK('Curs, Seminar'!C17)),IF(AND(NOT(ISBLANK(D13)),NOT(ISBLANK(G13)),D13&gt;=5,G13&gt;=5),ROUND(AVERAGE(D13:G13),0),"n/p"),"")</f>
        <v/>
      </c>
      <c r="I13" s="21"/>
      <c r="J13" s="29" t="s">
        <v>24</v>
      </c>
      <c r="K13" s="27">
        <f t="shared" si="0"/>
        <v>1</v>
      </c>
      <c r="L13" s="13"/>
      <c r="M13" s="16"/>
      <c r="N13" s="13"/>
    </row>
    <row r="14" spans="1:14" x14ac:dyDescent="0.35">
      <c r="A14" s="30" t="str">
        <f>IF(NOT(ISBLANK('Curs, Seminar'!B18)),'Curs, Seminar'!B18,"")</f>
        <v/>
      </c>
      <c r="B14" s="31" t="str">
        <f>IF(NOT(ISBLANK('Curs, Seminar'!C18)),'Curs, Seminar'!C18,"")</f>
        <v/>
      </c>
      <c r="C14" s="40"/>
      <c r="D14" s="43"/>
      <c r="E14" s="43"/>
      <c r="F14" s="43"/>
      <c r="G14" s="43"/>
      <c r="H14" s="32" t="str">
        <f>IF(NOT(ISBLANK('Curs, Seminar'!C18)),IF(AND(NOT(ISBLANK(D14)),NOT(ISBLANK(G14)),D14&gt;=5,G14&gt;=5),ROUND(AVERAGE(D14:G14),0),"n/p"),"")</f>
        <v/>
      </c>
      <c r="I14" s="7"/>
      <c r="J14" s="15"/>
      <c r="K14" s="13"/>
      <c r="L14" s="16"/>
      <c r="M14" s="13"/>
      <c r="N14" s="16"/>
    </row>
    <row r="15" spans="1:14" x14ac:dyDescent="0.35">
      <c r="A15" s="30" t="str">
        <f>IF(NOT(ISBLANK('Curs, Seminar'!B19)),'Curs, Seminar'!B19,"")</f>
        <v/>
      </c>
      <c r="B15" s="31" t="str">
        <f>IF(NOT(ISBLANK('Curs, Seminar'!C19)),'Curs, Seminar'!C19,"")</f>
        <v/>
      </c>
      <c r="C15" s="40"/>
      <c r="D15" s="43"/>
      <c r="E15" s="43"/>
      <c r="F15" s="43"/>
      <c r="G15" s="43"/>
      <c r="H15" s="32" t="str">
        <f>IF(NOT(ISBLANK('Curs, Seminar'!C19)),IF(AND(NOT(ISBLANK(D15)),NOT(ISBLANK(G15)),D15&gt;=5,G15&gt;=5),ROUND(AVERAGE(D15:G15),0),"n/p"),"")</f>
        <v/>
      </c>
      <c r="I15" s="7"/>
      <c r="J15" s="17"/>
    </row>
    <row r="16" spans="1:14" x14ac:dyDescent="0.35">
      <c r="A16" s="30" t="str">
        <f>IF(NOT(ISBLANK('Curs, Seminar'!B20)),'Curs, Seminar'!B20,"")</f>
        <v/>
      </c>
      <c r="B16" s="31" t="str">
        <f>IF(NOT(ISBLANK('Curs, Seminar'!C20)),'Curs, Seminar'!C20,"")</f>
        <v/>
      </c>
      <c r="C16" s="40"/>
      <c r="D16" s="13"/>
      <c r="E16" s="13"/>
      <c r="F16" s="13"/>
      <c r="G16" s="13"/>
      <c r="H16" s="32" t="str">
        <f>IF(NOT(ISBLANK('Curs, Seminar'!C20)),IF(AND(NOT(ISBLANK(D16)),NOT(ISBLANK(G16)),D16&gt;=5,G16&gt;=5),ROUND(AVERAGE(D16:G16),0),"n/p"),"")</f>
        <v/>
      </c>
      <c r="I16" s="7"/>
      <c r="J16" s="17"/>
    </row>
    <row r="17" spans="1:12" x14ac:dyDescent="0.35">
      <c r="A17" s="30" t="str">
        <f>IF(NOT(ISBLANK('Curs, Seminar'!B21)),'Curs, Seminar'!B21,"")</f>
        <v/>
      </c>
      <c r="B17" s="31" t="str">
        <f>IF(NOT(ISBLANK('Curs, Seminar'!C21)),'Curs, Seminar'!C21,"")</f>
        <v/>
      </c>
      <c r="C17" s="40"/>
      <c r="D17" s="43"/>
      <c r="E17" s="43"/>
      <c r="F17" s="43"/>
      <c r="G17" s="43"/>
      <c r="H17" s="32" t="str">
        <f>IF(NOT(ISBLANK('Curs, Seminar'!C21)),IF(AND(NOT(ISBLANK(D17)),NOT(ISBLANK(G17)),D17&gt;=5,G17&gt;=5),ROUND(AVERAGE(D17:G17),0),"n/p"),"")</f>
        <v/>
      </c>
      <c r="I17" s="7"/>
      <c r="J17" s="17"/>
    </row>
    <row r="18" spans="1:12" x14ac:dyDescent="0.35">
      <c r="A18" s="30" t="str">
        <f>IF(NOT(ISBLANK('Curs, Seminar'!B22)),'Curs, Seminar'!B22,"")</f>
        <v/>
      </c>
      <c r="B18" s="31" t="str">
        <f>IF(NOT(ISBLANK('Curs, Seminar'!C22)),'Curs, Seminar'!C22,"")</f>
        <v/>
      </c>
      <c r="C18" s="40"/>
      <c r="D18" s="43"/>
      <c r="E18" s="43"/>
      <c r="F18" s="43"/>
      <c r="G18" s="43"/>
      <c r="H18" s="32" t="str">
        <f>IF(NOT(ISBLANK('Curs, Seminar'!C22)),IF(AND(NOT(ISBLANK(D18)),NOT(ISBLANK(G18)),D18&gt;=5,G18&gt;=5),ROUND(AVERAGE(D18:G18),0),"n/p"),"")</f>
        <v/>
      </c>
      <c r="I18" s="7"/>
      <c r="J18" s="17"/>
    </row>
    <row r="19" spans="1:12" x14ac:dyDescent="0.35">
      <c r="A19" s="30" t="str">
        <f>IF(NOT(ISBLANK('Curs, Seminar'!B23)),'Curs, Seminar'!B23,"")</f>
        <v/>
      </c>
      <c r="B19" s="31" t="str">
        <f>IF(NOT(ISBLANK('Curs, Seminar'!C23)),'Curs, Seminar'!C23,"")</f>
        <v/>
      </c>
      <c r="C19" s="40"/>
      <c r="D19" s="43"/>
      <c r="E19" s="43"/>
      <c r="F19" s="43"/>
      <c r="G19" s="43"/>
      <c r="H19" s="32" t="str">
        <f>IF(NOT(ISBLANK('Curs, Seminar'!C23)),IF(AND(NOT(ISBLANK(D19)),NOT(ISBLANK(G19)),D19&gt;=5,G19&gt;=5),ROUND(AVERAGE(D19:G19),0),"n/p"),"")</f>
        <v/>
      </c>
      <c r="I19" s="7"/>
      <c r="J19" s="17"/>
    </row>
    <row r="20" spans="1:12" x14ac:dyDescent="0.35">
      <c r="A20" s="30" t="str">
        <f>IF(NOT(ISBLANK('Curs, Seminar'!B24)),'Curs, Seminar'!B24,"")</f>
        <v/>
      </c>
      <c r="B20" s="31" t="str">
        <f>IF(NOT(ISBLANK('Curs, Seminar'!C24)),'Curs, Seminar'!C24,"")</f>
        <v/>
      </c>
      <c r="C20" s="40"/>
      <c r="D20" s="43"/>
      <c r="E20" s="43"/>
      <c r="F20" s="43"/>
      <c r="G20" s="43"/>
      <c r="H20" s="32" t="str">
        <f>IF(NOT(ISBLANK('Curs, Seminar'!C24)),IF(AND(NOT(ISBLANK(D20)),NOT(ISBLANK(G20)),D20&gt;=5,G20&gt;=5),ROUND(AVERAGE(D20:G20),0),"n/p"),"")</f>
        <v/>
      </c>
      <c r="I20" s="7"/>
      <c r="J20" s="17"/>
    </row>
    <row r="21" spans="1:12" x14ac:dyDescent="0.35">
      <c r="A21" s="30" t="str">
        <f>IF(NOT(ISBLANK('Curs, Seminar'!B25)),'Curs, Seminar'!B25,"")</f>
        <v/>
      </c>
      <c r="B21" s="31" t="str">
        <f>IF(NOT(ISBLANK('Curs, Seminar'!C25)),'Curs, Seminar'!C25,"")</f>
        <v/>
      </c>
      <c r="C21" s="40"/>
      <c r="D21" s="43"/>
      <c r="E21" s="43"/>
      <c r="F21" s="43"/>
      <c r="G21" s="43"/>
      <c r="H21" s="32" t="str">
        <f>IF(NOT(ISBLANK('Curs, Seminar'!C25)),IF(AND(NOT(ISBLANK(D21)),NOT(ISBLANK(G21)),D21&gt;=5,G21&gt;=5),ROUND(AVERAGE(D21:G21),0),"n/p"),"")</f>
        <v/>
      </c>
      <c r="I21" s="7"/>
      <c r="J21" s="17"/>
    </row>
    <row r="22" spans="1:12" x14ac:dyDescent="0.35">
      <c r="A22" s="30" t="str">
        <f>IF(NOT(ISBLANK('Curs, Seminar'!B26)),'Curs, Seminar'!B26,"")</f>
        <v/>
      </c>
      <c r="B22" s="31" t="str">
        <f>IF(NOT(ISBLANK('Curs, Seminar'!C26)),'Curs, Seminar'!C26,"")</f>
        <v/>
      </c>
      <c r="C22" s="40"/>
      <c r="D22" s="43"/>
      <c r="E22" s="43"/>
      <c r="F22" s="43"/>
      <c r="G22" s="43"/>
      <c r="H22" s="32" t="str">
        <f>IF(NOT(ISBLANK('Curs, Seminar'!C26)),IF(AND(NOT(ISBLANK(D22)),NOT(ISBLANK(G22)),D22&gt;=5,G22&gt;=5),ROUND(AVERAGE(D22:G22),0),"n/p"),"")</f>
        <v/>
      </c>
      <c r="I22" s="7"/>
      <c r="J22" s="17"/>
    </row>
    <row r="23" spans="1:12" x14ac:dyDescent="0.35">
      <c r="A23" s="30" t="str">
        <f>IF(NOT(ISBLANK('Curs, Seminar'!B27)),'Curs, Seminar'!B27,"")</f>
        <v/>
      </c>
      <c r="B23" s="31" t="str">
        <f>IF(NOT(ISBLANK('Curs, Seminar'!C27)),'Curs, Seminar'!C27,"")</f>
        <v/>
      </c>
      <c r="C23" s="40"/>
      <c r="D23" s="43"/>
      <c r="E23" s="43"/>
      <c r="F23" s="43"/>
      <c r="G23" s="43"/>
      <c r="H23" s="32" t="str">
        <f>IF(NOT(ISBLANK('Curs, Seminar'!C27)),IF(AND(NOT(ISBLANK(D23)),NOT(ISBLANK(G23)),D23&gt;=5,G23&gt;=5),ROUND(AVERAGE(D23:G23),0),"n/p"),"")</f>
        <v/>
      </c>
      <c r="I23" s="7"/>
      <c r="J23" s="17"/>
    </row>
    <row r="24" spans="1:12" x14ac:dyDescent="0.35">
      <c r="A24" s="30" t="str">
        <f>IF(NOT(ISBLANK('Curs, Seminar'!B28)),'Curs, Seminar'!B28,"")</f>
        <v/>
      </c>
      <c r="B24" s="31" t="str">
        <f>IF(NOT(ISBLANK('Curs, Seminar'!C28)),'Curs, Seminar'!C28,"")</f>
        <v/>
      </c>
      <c r="C24" s="41"/>
      <c r="D24" s="13"/>
      <c r="E24" s="13"/>
      <c r="F24" s="13"/>
      <c r="G24" s="13"/>
      <c r="H24" s="32" t="str">
        <f>IF(NOT(ISBLANK('Curs, Seminar'!C28)),IF(AND(NOT(ISBLANK(D24)),NOT(ISBLANK(G24)),D24&gt;=5,G24&gt;=5),ROUND(AVERAGE(D24:G24),0),"n/p"),"")</f>
        <v/>
      </c>
      <c r="I24" s="7"/>
      <c r="J24" s="17"/>
    </row>
    <row r="25" spans="1:12" x14ac:dyDescent="0.35">
      <c r="A25" s="30" t="str">
        <f>IF(NOT(ISBLANK('Curs, Seminar'!B29)),'Curs, Seminar'!B29,"")</f>
        <v/>
      </c>
      <c r="B25" s="31" t="str">
        <f>IF(NOT(ISBLANK('Curs, Seminar'!C29)),'Curs, Seminar'!C29,"")</f>
        <v/>
      </c>
      <c r="C25" s="40"/>
      <c r="D25" s="43"/>
      <c r="E25" s="43"/>
      <c r="F25" s="43"/>
      <c r="G25" s="43"/>
      <c r="H25" s="32" t="str">
        <f>IF(NOT(ISBLANK('Curs, Seminar'!C29)),IF(AND(NOT(ISBLANK(D25)),NOT(ISBLANK(G25)),D25&gt;=5,G25&gt;=5),ROUND(AVERAGE(D25:G25),0),"n/p"),"")</f>
        <v/>
      </c>
      <c r="I25" s="7"/>
      <c r="J25" s="17"/>
    </row>
    <row r="26" spans="1:12" x14ac:dyDescent="0.35">
      <c r="A26" s="30" t="str">
        <f>IF(NOT(ISBLANK('Curs, Seminar'!B30)),'Curs, Seminar'!B30,"")</f>
        <v/>
      </c>
      <c r="B26" s="31" t="str">
        <f>IF(NOT(ISBLANK('Curs, Seminar'!C30)),'Curs, Seminar'!C30,"")</f>
        <v/>
      </c>
      <c r="C26" s="40"/>
      <c r="D26" s="43"/>
      <c r="E26" s="43"/>
      <c r="F26" s="43"/>
      <c r="G26" s="43"/>
      <c r="H26" s="32" t="str">
        <f>IF(NOT(ISBLANK('Curs, Seminar'!C30)),IF(AND(NOT(ISBLANK(D26)),NOT(ISBLANK(G26)),D26&gt;=5,G26&gt;=5),ROUND(AVERAGE(D26:G26),0),"n/p"),"")</f>
        <v/>
      </c>
      <c r="I26" s="7"/>
      <c r="J26" s="17"/>
    </row>
    <row r="27" spans="1:12" x14ac:dyDescent="0.35">
      <c r="A27" s="30" t="str">
        <f>IF(NOT(ISBLANK('Curs, Seminar'!B31)),'Curs, Seminar'!B31,"")</f>
        <v/>
      </c>
      <c r="B27" s="31" t="str">
        <f>IF(NOT(ISBLANK('Curs, Seminar'!C31)),'Curs, Seminar'!C31,"")</f>
        <v/>
      </c>
      <c r="C27" s="40"/>
      <c r="D27" s="43"/>
      <c r="E27" s="43"/>
      <c r="F27" s="43"/>
      <c r="G27" s="43"/>
      <c r="H27" s="32" t="str">
        <f>IF(NOT(ISBLANK('Curs, Seminar'!C31)),IF(AND(NOT(ISBLANK(D27)),NOT(ISBLANK(G27)),D27&gt;=5,G27&gt;=5),ROUND(AVERAGE(D27:G27),0),"n/p"),"")</f>
        <v/>
      </c>
      <c r="I27" s="10"/>
      <c r="J27" s="14"/>
      <c r="K27" s="7"/>
      <c r="L27" s="1"/>
    </row>
    <row r="28" spans="1:12" x14ac:dyDescent="0.35">
      <c r="A28" s="30" t="str">
        <f>IF(NOT(ISBLANK('Curs, Seminar'!B32)),'Curs, Seminar'!B32,"")</f>
        <v/>
      </c>
      <c r="B28" s="31" t="str">
        <f>IF(NOT(ISBLANK('Curs, Seminar'!C32)),'Curs, Seminar'!C32,"")</f>
        <v/>
      </c>
      <c r="C28" s="40"/>
      <c r="D28" s="43"/>
      <c r="E28" s="43"/>
      <c r="F28" s="43"/>
      <c r="G28" s="43"/>
      <c r="H28" s="32" t="str">
        <f>IF(NOT(ISBLANK('Curs, Seminar'!C32)),IF(AND(NOT(ISBLANK(D28)),NOT(ISBLANK(G28)),D28&gt;=5,G28&gt;=5),ROUND(AVERAGE(D28:G28),0),"n/p"),"")</f>
        <v/>
      </c>
    </row>
    <row r="29" spans="1:12" x14ac:dyDescent="0.35">
      <c r="A29" s="30" t="str">
        <f>IF(NOT(ISBLANK('Curs, Seminar'!B33)),'Curs, Seminar'!B33,"")</f>
        <v/>
      </c>
      <c r="B29" s="31" t="str">
        <f>IF(NOT(ISBLANK('Curs, Seminar'!C33)),'Curs, Seminar'!C33,"")</f>
        <v/>
      </c>
      <c r="C29" s="40"/>
      <c r="D29" s="43"/>
      <c r="E29" s="43"/>
      <c r="F29" s="43"/>
      <c r="G29" s="43"/>
      <c r="H29" s="32" t="str">
        <f>IF(NOT(ISBLANK('Curs, Seminar'!C33)),IF(AND(NOT(ISBLANK(D29)),NOT(ISBLANK(G29)),D29&gt;=5,G29&gt;=5),ROUND(AVERAGE(D29:G29),0),"n/p"),"")</f>
        <v/>
      </c>
    </row>
    <row r="30" spans="1:12" x14ac:dyDescent="0.35">
      <c r="A30" s="30" t="str">
        <f>IF(NOT(ISBLANK('Curs, Seminar'!B34)),'Curs, Seminar'!B34,"")</f>
        <v/>
      </c>
      <c r="B30" s="31" t="str">
        <f>IF(NOT(ISBLANK('Curs, Seminar'!C34)),'Curs, Seminar'!C34,"")</f>
        <v/>
      </c>
      <c r="C30" s="40"/>
      <c r="D30" s="43"/>
      <c r="E30" s="43"/>
      <c r="F30" s="43"/>
      <c r="G30" s="43"/>
      <c r="H30" s="32" t="str">
        <f>IF(NOT(ISBLANK('Curs, Seminar'!C34)),IF(AND(NOT(ISBLANK(D30)),NOT(ISBLANK(G30)),D30&gt;=5,G30&gt;=5),ROUND(AVERAGE(D30:G30),0),"n/p"),"")</f>
        <v/>
      </c>
    </row>
    <row r="31" spans="1:12" x14ac:dyDescent="0.35">
      <c r="A31" s="30" t="str">
        <f>IF(NOT(ISBLANK('Curs, Seminar'!B35)),'Curs, Seminar'!B35,"")</f>
        <v/>
      </c>
      <c r="B31" s="31" t="str">
        <f>IF(NOT(ISBLANK('Curs, Seminar'!C35)),'Curs, Seminar'!C35,"")</f>
        <v/>
      </c>
      <c r="C31" s="40"/>
      <c r="D31" s="43"/>
      <c r="E31" s="43"/>
      <c r="F31" s="43"/>
      <c r="G31" s="43"/>
      <c r="H31" s="32" t="str">
        <f>IF(NOT(ISBLANK('Curs, Seminar'!C35)),IF(AND(NOT(ISBLANK(D31)),NOT(ISBLANK(G31)),D31&gt;=5,G31&gt;=5),ROUND(AVERAGE(D31:G31),0),"n/p"),"")</f>
        <v/>
      </c>
    </row>
    <row r="32" spans="1:12" x14ac:dyDescent="0.35">
      <c r="A32" s="30" t="str">
        <f>IF(NOT(ISBLANK('Curs, Seminar'!B36)),'Curs, Seminar'!B36,"")</f>
        <v/>
      </c>
      <c r="B32" s="31" t="str">
        <f>IF(NOT(ISBLANK('Curs, Seminar'!C36)),'Curs, Seminar'!C36,"")</f>
        <v/>
      </c>
      <c r="C32" s="40"/>
      <c r="D32" s="43"/>
      <c r="E32" s="43"/>
      <c r="F32" s="43"/>
      <c r="G32" s="43"/>
      <c r="H32" s="32" t="str">
        <f>IF(NOT(ISBLANK('Curs, Seminar'!C36)),IF(AND(NOT(ISBLANK(D32)),NOT(ISBLANK(G32)),D32&gt;=5,G32&gt;=5),ROUND(AVERAGE(D32:G32),0),"n/p"),"")</f>
        <v/>
      </c>
    </row>
    <row r="33" spans="1:8" x14ac:dyDescent="0.35">
      <c r="A33" s="30" t="str">
        <f>IF(NOT(ISBLANK('Curs, Seminar'!B37)),'Curs, Seminar'!B37,"")</f>
        <v/>
      </c>
      <c r="B33" s="31" t="str">
        <f>IF(NOT(ISBLANK('Curs, Seminar'!C37)),'Curs, Seminar'!C37,"")</f>
        <v/>
      </c>
      <c r="C33" s="40"/>
      <c r="D33" s="43"/>
      <c r="E33" s="43"/>
      <c r="F33" s="43"/>
      <c r="G33" s="43"/>
      <c r="H33" s="32" t="str">
        <f>IF(NOT(ISBLANK('Curs, Seminar'!C37)),IF(AND(NOT(ISBLANK(D33)),NOT(ISBLANK(G33)),D33&gt;=5,G33&gt;=5),ROUND(AVERAGE(D33:G33),0),"n/p"),"")</f>
        <v/>
      </c>
    </row>
    <row r="34" spans="1:8" x14ac:dyDescent="0.35">
      <c r="A34" s="30" t="str">
        <f>IF(NOT(ISBLANK('Curs, Seminar'!B38)),'Curs, Seminar'!B38,"")</f>
        <v/>
      </c>
      <c r="B34" s="31" t="str">
        <f>IF(NOT(ISBLANK('Curs, Seminar'!C38)),'Curs, Seminar'!C38,"")</f>
        <v/>
      </c>
      <c r="C34" s="40"/>
      <c r="D34" s="43"/>
      <c r="E34" s="43"/>
      <c r="F34" s="43"/>
      <c r="G34" s="43"/>
      <c r="H34" s="32" t="str">
        <f>IF(NOT(ISBLANK('Curs, Seminar'!C38)),IF(AND(NOT(ISBLANK(D34)),NOT(ISBLANK(G34)),D34&gt;=5,G34&gt;=5),ROUND(AVERAGE(D34:G34),0),"n/p"),"")</f>
        <v/>
      </c>
    </row>
    <row r="35" spans="1:8" x14ac:dyDescent="0.35">
      <c r="A35" s="30" t="str">
        <f>IF(NOT(ISBLANK('Curs, Seminar'!B39)),'Curs, Seminar'!B39,"")</f>
        <v/>
      </c>
      <c r="B35" s="31" t="str">
        <f>IF(NOT(ISBLANK('Curs, Seminar'!C39)),'Curs, Seminar'!C39,"")</f>
        <v/>
      </c>
      <c r="C35" s="40"/>
      <c r="D35" s="43"/>
      <c r="E35" s="43"/>
      <c r="F35" s="43"/>
      <c r="G35" s="43"/>
      <c r="H35" s="32" t="str">
        <f>IF(NOT(ISBLANK('Curs, Seminar'!C39)),IF(AND(NOT(ISBLANK(D35)),NOT(ISBLANK(G35)),D35&gt;=5,G35&gt;=5),ROUND(AVERAGE(D35:G35),0),"n/p"),"")</f>
        <v/>
      </c>
    </row>
    <row r="36" spans="1:8" x14ac:dyDescent="0.35">
      <c r="A36" s="30" t="str">
        <f>IF(NOT(ISBLANK('Curs, Seminar'!B40)),'Curs, Seminar'!B40,"")</f>
        <v/>
      </c>
      <c r="B36" s="31" t="str">
        <f>IF(NOT(ISBLANK('Curs, Seminar'!C40)),'Curs, Seminar'!C40,"")</f>
        <v/>
      </c>
      <c r="C36" s="40"/>
      <c r="D36" s="43"/>
      <c r="E36" s="43"/>
      <c r="F36" s="43"/>
      <c r="G36" s="43"/>
      <c r="H36" s="32" t="str">
        <f>IF(NOT(ISBLANK('Curs, Seminar'!C40)),IF(AND(NOT(ISBLANK(D36)),NOT(ISBLANK(G36)),D36&gt;=5,G36&gt;=5),ROUND(AVERAGE(D36:G36),0),"n/p"),"")</f>
        <v/>
      </c>
    </row>
    <row r="37" spans="1:8" x14ac:dyDescent="0.35">
      <c r="A37" s="30" t="str">
        <f>IF(NOT(ISBLANK('Curs, Seminar'!B41)),'Curs, Seminar'!B41,"")</f>
        <v/>
      </c>
      <c r="B37" s="31" t="str">
        <f>IF(NOT(ISBLANK('Curs, Seminar'!C41)),'Curs, Seminar'!C41,"")</f>
        <v/>
      </c>
      <c r="C37" s="40"/>
      <c r="D37" s="43"/>
      <c r="E37" s="43"/>
      <c r="F37" s="43"/>
      <c r="G37" s="43"/>
      <c r="H37" s="32" t="str">
        <f>IF(NOT(ISBLANK('Curs, Seminar'!C41)),IF(AND(NOT(ISBLANK(D37)),NOT(ISBLANK(G37)),D37&gt;=5,G37&gt;=5),ROUND(AVERAGE(D37:G37),0),"n/p"),"")</f>
        <v/>
      </c>
    </row>
    <row r="38" spans="1:8" x14ac:dyDescent="0.35">
      <c r="A38" s="30" t="str">
        <f>IF(NOT(ISBLANK('Curs, Seminar'!B42)),'Curs, Seminar'!B42,"")</f>
        <v/>
      </c>
      <c r="B38" s="31" t="str">
        <f>IF(NOT(ISBLANK('Curs, Seminar'!C42)),'Curs, Seminar'!C42,"")</f>
        <v/>
      </c>
      <c r="C38" s="40"/>
      <c r="D38" s="43"/>
      <c r="E38" s="43"/>
      <c r="F38" s="43"/>
      <c r="G38" s="43"/>
      <c r="H38" s="32" t="str">
        <f>IF(NOT(ISBLANK('Curs, Seminar'!C42)),IF(AND(NOT(ISBLANK(D38)),NOT(ISBLANK(G38)),D38&gt;=5,G38&gt;=5),ROUND(AVERAGE(D38:G38),0),"n/p"),"")</f>
        <v/>
      </c>
    </row>
    <row r="39" spans="1:8" x14ac:dyDescent="0.35">
      <c r="A39" s="30" t="str">
        <f>IF(NOT(ISBLANK('Curs, Seminar'!B43)),'Curs, Seminar'!B43,"")</f>
        <v/>
      </c>
      <c r="B39" s="31" t="str">
        <f>IF(NOT(ISBLANK('Curs, Seminar'!C43)),'Curs, Seminar'!C43,"")</f>
        <v/>
      </c>
      <c r="C39" s="40"/>
      <c r="D39" s="43"/>
      <c r="E39" s="43"/>
      <c r="F39" s="43"/>
      <c r="G39" s="43"/>
      <c r="H39" s="32" t="str">
        <f>IF(NOT(ISBLANK('Curs, Seminar'!C43)),IF(AND(NOT(ISBLANK(D39)),NOT(ISBLANK(G39)),D39&gt;=5,G39&gt;=5),ROUND(AVERAGE(D39:G39),0),"n/p"),"")</f>
        <v/>
      </c>
    </row>
    <row r="40" spans="1:8" x14ac:dyDescent="0.35">
      <c r="A40" s="30" t="str">
        <f>IF(NOT(ISBLANK('Curs, Seminar'!B44)),'Curs, Seminar'!B44,"")</f>
        <v/>
      </c>
      <c r="B40" s="31" t="str">
        <f>IF(NOT(ISBLANK('Curs, Seminar'!C44)),'Curs, Seminar'!C44,"")</f>
        <v/>
      </c>
      <c r="C40" s="40"/>
      <c r="D40" s="43"/>
      <c r="E40" s="43"/>
      <c r="F40" s="43"/>
      <c r="G40" s="43"/>
      <c r="H40" s="32" t="str">
        <f>IF(NOT(ISBLANK('Curs, Seminar'!C44)),IF(AND(NOT(ISBLANK(D40)),NOT(ISBLANK(G40)),D40&gt;=5,G40&gt;=5),ROUND(AVERAGE(D40:G40),0),"n/p"),"")</f>
        <v/>
      </c>
    </row>
    <row r="41" spans="1:8" x14ac:dyDescent="0.35">
      <c r="A41" s="30" t="str">
        <f>IF(NOT(ISBLANK('Curs, Seminar'!B45)),'Curs, Seminar'!B45,"")</f>
        <v/>
      </c>
      <c r="B41" s="31" t="str">
        <f>IF(NOT(ISBLANK('Curs, Seminar'!C45)),'Curs, Seminar'!C45,"")</f>
        <v/>
      </c>
      <c r="C41" s="40"/>
      <c r="D41" s="43"/>
      <c r="E41" s="43"/>
      <c r="F41" s="43"/>
      <c r="G41" s="43"/>
      <c r="H41" s="32" t="str">
        <f>IF(NOT(ISBLANK('Curs, Seminar'!C45)),IF(AND(NOT(ISBLANK(D41)),NOT(ISBLANK(G41)),D41&gt;=5,G41&gt;=5),ROUND(AVERAGE(D41:G41),0),"n/p"),"")</f>
        <v/>
      </c>
    </row>
    <row r="42" spans="1:8" x14ac:dyDescent="0.35">
      <c r="A42" s="30" t="str">
        <f>IF(NOT(ISBLANK('Curs, Seminar'!B46)),'Curs, Seminar'!B46,"")</f>
        <v/>
      </c>
      <c r="B42" s="31" t="str">
        <f>IF(NOT(ISBLANK('Curs, Seminar'!C46)),'Curs, Seminar'!C46,"")</f>
        <v/>
      </c>
      <c r="C42" s="40"/>
      <c r="D42" s="43"/>
      <c r="E42" s="43"/>
      <c r="F42" s="43"/>
      <c r="G42" s="43"/>
      <c r="H42" s="32" t="str">
        <f>IF(NOT(ISBLANK('Curs, Seminar'!C46)),IF(AND(NOT(ISBLANK(D42)),NOT(ISBLANK(G42)),D42&gt;=5,G42&gt;=5),ROUND(AVERAGE(D42:G42),0),"n/p"),"")</f>
        <v/>
      </c>
    </row>
    <row r="43" spans="1:8" x14ac:dyDescent="0.35">
      <c r="A43" s="30" t="str">
        <f>IF(NOT(ISBLANK('Curs, Seminar'!B47)),'Curs, Seminar'!B47,"")</f>
        <v/>
      </c>
      <c r="B43" s="31" t="str">
        <f>IF(NOT(ISBLANK('Curs, Seminar'!C47)),'Curs, Seminar'!C47,"")</f>
        <v/>
      </c>
      <c r="C43" s="40"/>
      <c r="D43" s="43"/>
      <c r="E43" s="43"/>
      <c r="F43" s="43"/>
      <c r="G43" s="43"/>
      <c r="H43" s="32" t="str">
        <f>IF(NOT(ISBLANK('Curs, Seminar'!C47)),IF(AND(NOT(ISBLANK(D43)),NOT(ISBLANK(G43)),D43&gt;=5,G43&gt;=5),ROUND(AVERAGE(D43:G43),0),"n/p"),"")</f>
        <v/>
      </c>
    </row>
    <row r="44" spans="1:8" x14ac:dyDescent="0.35">
      <c r="A44" s="30" t="str">
        <f>IF(NOT(ISBLANK('Curs, Seminar'!B48)),'Curs, Seminar'!B48,"")</f>
        <v/>
      </c>
      <c r="B44" s="31" t="str">
        <f>IF(NOT(ISBLANK('Curs, Seminar'!C48)),'Curs, Seminar'!C48,"")</f>
        <v/>
      </c>
      <c r="C44" s="40"/>
      <c r="D44" s="43"/>
      <c r="E44" s="43"/>
      <c r="F44" s="43"/>
      <c r="G44" s="43"/>
      <c r="H44" s="32" t="str">
        <f>IF(NOT(ISBLANK('Curs, Seminar'!C48)),IF(AND(NOT(ISBLANK(D44)),NOT(ISBLANK(G44)),D44&gt;=5,G44&gt;=5),ROUND(AVERAGE(D44:G44),0),"n/p"),"")</f>
        <v/>
      </c>
    </row>
    <row r="45" spans="1:8" x14ac:dyDescent="0.35">
      <c r="A45" s="30" t="str">
        <f>IF(NOT(ISBLANK('Curs, Seminar'!B49)),'Curs, Seminar'!B49,"")</f>
        <v/>
      </c>
      <c r="B45" s="31" t="str">
        <f>IF(NOT(ISBLANK('Curs, Seminar'!C49)),'Curs, Seminar'!C49,"")</f>
        <v/>
      </c>
      <c r="C45" s="40"/>
      <c r="D45" s="43"/>
      <c r="E45" s="43"/>
      <c r="F45" s="43"/>
      <c r="G45" s="43"/>
      <c r="H45" s="32" t="str">
        <f>IF(NOT(ISBLANK('Curs, Seminar'!C49)),IF(AND(NOT(ISBLANK(D45)),NOT(ISBLANK(G45)),D45&gt;=5,G45&gt;=5),ROUND(AVERAGE(D45:G45),0),"n/p"),"")</f>
        <v/>
      </c>
    </row>
    <row r="46" spans="1:8" x14ac:dyDescent="0.35">
      <c r="A46" s="30" t="str">
        <f>IF(NOT(ISBLANK('Curs, Seminar'!B50)),'Curs, Seminar'!B50,"")</f>
        <v/>
      </c>
      <c r="B46" s="31" t="str">
        <f>IF(NOT(ISBLANK('Curs, Seminar'!C50)),'Curs, Seminar'!C50,"")</f>
        <v/>
      </c>
      <c r="C46" s="40"/>
      <c r="D46" s="43"/>
      <c r="E46" s="43"/>
      <c r="F46" s="43"/>
      <c r="G46" s="43"/>
      <c r="H46" s="32" t="str">
        <f>IF(NOT(ISBLANK('Curs, Seminar'!C50)),IF(AND(NOT(ISBLANK(D46)),NOT(ISBLANK(G46)),D46&gt;=5,G46&gt;=5),ROUND(AVERAGE(D46:G46),0),"n/p"),"")</f>
        <v/>
      </c>
    </row>
    <row r="47" spans="1:8" x14ac:dyDescent="0.35">
      <c r="A47" s="30" t="str">
        <f>IF(NOT(ISBLANK('Curs, Seminar'!B51)),'Curs, Seminar'!B51,"")</f>
        <v/>
      </c>
      <c r="B47" s="31" t="str">
        <f>IF(NOT(ISBLANK('Curs, Seminar'!C51)),'Curs, Seminar'!C51,"")</f>
        <v/>
      </c>
      <c r="C47" s="40"/>
      <c r="D47" s="43"/>
      <c r="E47" s="43"/>
      <c r="F47" s="43"/>
      <c r="G47" s="43"/>
      <c r="H47" s="32" t="str">
        <f>IF(NOT(ISBLANK('Curs, Seminar'!C51)),IF(AND(NOT(ISBLANK(D47)),NOT(ISBLANK(G47)),D47&gt;=5,G47&gt;=5),ROUND(AVERAGE(D47:G47),0),"n/p"),"")</f>
        <v/>
      </c>
    </row>
    <row r="48" spans="1:8" x14ac:dyDescent="0.35">
      <c r="A48" s="30" t="str">
        <f>IF(NOT(ISBLANK('Curs, Seminar'!B52)),'Curs, Seminar'!B52,"")</f>
        <v/>
      </c>
      <c r="B48" s="31" t="str">
        <f>IF(NOT(ISBLANK('Curs, Seminar'!C52)),'Curs, Seminar'!C52,"")</f>
        <v/>
      </c>
      <c r="C48" s="40"/>
      <c r="D48" s="43"/>
      <c r="E48" s="43"/>
      <c r="F48" s="43"/>
      <c r="G48" s="43"/>
      <c r="H48" s="32" t="str">
        <f>IF(NOT(ISBLANK('Curs, Seminar'!C52)),IF(AND(NOT(ISBLANK(D48)),NOT(ISBLANK(G48)),D48&gt;=5,G48&gt;=5),ROUND(AVERAGE(D48:G48),0),"n/p"),"")</f>
        <v/>
      </c>
    </row>
    <row r="49" spans="1:8" x14ac:dyDescent="0.35">
      <c r="A49" s="30" t="str">
        <f>IF(NOT(ISBLANK('Curs, Seminar'!B53)),'Curs, Seminar'!B53,"")</f>
        <v/>
      </c>
      <c r="B49" s="31" t="str">
        <f>IF(NOT(ISBLANK('Curs, Seminar'!C53)),'Curs, Seminar'!C53,"")</f>
        <v/>
      </c>
      <c r="C49" s="40"/>
      <c r="D49" s="43"/>
      <c r="E49" s="43"/>
      <c r="F49" s="43"/>
      <c r="G49" s="43"/>
      <c r="H49" s="32" t="str">
        <f>IF(NOT(ISBLANK('Curs, Seminar'!C53)),IF(AND(NOT(ISBLANK(D49)),NOT(ISBLANK(G49)),D49&gt;=5,G49&gt;=5),ROUND(AVERAGE(D49:G49),0),"n/p"),"")</f>
        <v/>
      </c>
    </row>
    <row r="50" spans="1:8" x14ac:dyDescent="0.35">
      <c r="A50" s="30" t="str">
        <f>IF(NOT(ISBLANK('Curs, Seminar'!B54)),'Curs, Seminar'!B54,"")</f>
        <v/>
      </c>
      <c r="B50" s="31" t="str">
        <f>IF(NOT(ISBLANK('Curs, Seminar'!C54)),'Curs, Seminar'!C54,"")</f>
        <v/>
      </c>
      <c r="C50" s="40"/>
      <c r="D50" s="43"/>
      <c r="E50" s="43"/>
      <c r="F50" s="43"/>
      <c r="G50" s="43"/>
      <c r="H50" s="32" t="str">
        <f>IF(NOT(ISBLANK('Curs, Seminar'!C54)),IF(AND(NOT(ISBLANK(D50)),NOT(ISBLANK(G50)),D50&gt;=5,G50&gt;=5),ROUND(AVERAGE(D50:G50),0),"n/p"),"")</f>
        <v/>
      </c>
    </row>
    <row r="51" spans="1:8" x14ac:dyDescent="0.35">
      <c r="A51" s="30" t="str">
        <f>IF(NOT(ISBLANK('Curs, Seminar'!B55)),'Curs, Seminar'!B55,"")</f>
        <v/>
      </c>
      <c r="B51" s="31" t="str">
        <f>IF(NOT(ISBLANK('Curs, Seminar'!C55)),'Curs, Seminar'!C55,"")</f>
        <v/>
      </c>
      <c r="C51" s="40"/>
      <c r="D51" s="43"/>
      <c r="E51" s="43"/>
      <c r="F51" s="43"/>
      <c r="G51" s="43"/>
      <c r="H51" s="32" t="str">
        <f>IF(NOT(ISBLANK('Curs, Seminar'!C55)),IF(AND(NOT(ISBLANK(D51)),NOT(ISBLANK(G51)),D51&gt;=5,G51&gt;=5),ROUND(AVERAGE(D51:G51),0),"n/p"),"")</f>
        <v/>
      </c>
    </row>
    <row r="52" spans="1:8" x14ac:dyDescent="0.35">
      <c r="A52" s="30" t="str">
        <f>IF(NOT(ISBLANK('Curs, Seminar'!B56)),'Curs, Seminar'!B56,"")</f>
        <v/>
      </c>
      <c r="B52" s="31" t="str">
        <f>IF(NOT(ISBLANK('Curs, Seminar'!C56)),'Curs, Seminar'!C56,"")</f>
        <v/>
      </c>
      <c r="C52" s="40"/>
      <c r="D52" s="43"/>
      <c r="E52" s="43"/>
      <c r="F52" s="43"/>
      <c r="G52" s="43"/>
      <c r="H52" s="32" t="str">
        <f>IF(NOT(ISBLANK('Curs, Seminar'!C56)),IF(AND(NOT(ISBLANK(D52)),NOT(ISBLANK(G52)),D52&gt;=5,G52&gt;=5),ROUND(AVERAGE(D52:G52),0),"n/p"),"")</f>
        <v/>
      </c>
    </row>
    <row r="53" spans="1:8" x14ac:dyDescent="0.35">
      <c r="A53" s="30" t="str">
        <f>IF(NOT(ISBLANK('Curs, Seminar'!B57)),'Curs, Seminar'!B57,"")</f>
        <v/>
      </c>
      <c r="B53" s="31" t="str">
        <f>IF(NOT(ISBLANK('Curs, Seminar'!C57)),'Curs, Seminar'!C57,"")</f>
        <v/>
      </c>
      <c r="C53" s="40"/>
      <c r="D53" s="43"/>
      <c r="E53" s="43"/>
      <c r="F53" s="43"/>
      <c r="G53" s="43"/>
      <c r="H53" s="32" t="str">
        <f>IF(NOT(ISBLANK('Curs, Seminar'!C57)),IF(AND(NOT(ISBLANK(D53)),NOT(ISBLANK(G53)),D53&gt;=5,G53&gt;=5),ROUND(AVERAGE(D53:G53),0),"n/p"),"")</f>
        <v/>
      </c>
    </row>
    <row r="54" spans="1:8" x14ac:dyDescent="0.35">
      <c r="A54" s="30" t="str">
        <f>IF(NOT(ISBLANK('Curs, Seminar'!B58)),'Curs, Seminar'!B58,"")</f>
        <v/>
      </c>
      <c r="B54" s="31" t="str">
        <f>IF(NOT(ISBLANK('Curs, Seminar'!C58)),'Curs, Seminar'!C58,"")</f>
        <v/>
      </c>
      <c r="C54" s="40"/>
      <c r="D54" s="43"/>
      <c r="E54" s="43"/>
      <c r="F54" s="43"/>
      <c r="G54" s="43"/>
      <c r="H54" s="32" t="str">
        <f>IF(NOT(ISBLANK('Curs, Seminar'!C58)),IF(AND(NOT(ISBLANK(D54)),NOT(ISBLANK(G54)),D54&gt;=5,G54&gt;=5),ROUND(AVERAGE(D54:G54),0),"n/p"),"")</f>
        <v/>
      </c>
    </row>
    <row r="55" spans="1:8" x14ac:dyDescent="0.35">
      <c r="A55" s="30" t="str">
        <f>IF(NOT(ISBLANK('Curs, Seminar'!B59)),'Curs, Seminar'!B59,"")</f>
        <v/>
      </c>
      <c r="B55" s="31" t="str">
        <f>IF(NOT(ISBLANK('Curs, Seminar'!C59)),'Curs, Seminar'!C59,"")</f>
        <v/>
      </c>
      <c r="C55" s="40"/>
      <c r="D55" s="43"/>
      <c r="E55" s="43"/>
      <c r="F55" s="43"/>
      <c r="G55" s="43"/>
      <c r="H55" s="32" t="str">
        <f>IF(NOT(ISBLANK('Curs, Seminar'!C59)),IF(AND(NOT(ISBLANK(D55)),NOT(ISBLANK(G55)),D55&gt;=5,G55&gt;=5),ROUND(AVERAGE(D55:G55),0),"n/p"),"")</f>
        <v/>
      </c>
    </row>
    <row r="56" spans="1:8" x14ac:dyDescent="0.35">
      <c r="A56" s="30" t="str">
        <f>IF(NOT(ISBLANK('Curs, Seminar'!B60)),'Curs, Seminar'!B60,"")</f>
        <v/>
      </c>
      <c r="B56" s="31" t="str">
        <f>IF(NOT(ISBLANK('Curs, Seminar'!C60)),'Curs, Seminar'!C60,"")</f>
        <v/>
      </c>
      <c r="C56" s="40"/>
      <c r="D56" s="43"/>
      <c r="E56" s="43"/>
      <c r="F56" s="43"/>
      <c r="G56" s="43"/>
      <c r="H56" s="32" t="str">
        <f>IF(NOT(ISBLANK('Curs, Seminar'!C60)),IF(AND(NOT(ISBLANK(D56)),NOT(ISBLANK(G56)),D56&gt;=5,G56&gt;=5),ROUND(AVERAGE(D56:G56),0),"n/p"),"")</f>
        <v/>
      </c>
    </row>
    <row r="57" spans="1:8" x14ac:dyDescent="0.35">
      <c r="A57" s="30" t="str">
        <f>IF(NOT(ISBLANK('Curs, Seminar'!B61)),'Curs, Seminar'!B61,"")</f>
        <v/>
      </c>
      <c r="B57" s="31" t="str">
        <f>IF(NOT(ISBLANK('Curs, Seminar'!C61)),'Curs, Seminar'!C61,"")</f>
        <v/>
      </c>
      <c r="C57" s="40"/>
      <c r="D57" s="43"/>
      <c r="E57" s="43"/>
      <c r="F57" s="43"/>
      <c r="G57" s="43"/>
      <c r="H57" s="32" t="str">
        <f>IF(NOT(ISBLANK('Curs, Seminar'!C61)),IF(AND(NOT(ISBLANK(D57)),NOT(ISBLANK(G57)),D57&gt;=5,G57&gt;=5),ROUND(AVERAGE(D57:G57),0),"n/p"),"")</f>
        <v/>
      </c>
    </row>
    <row r="58" spans="1:8" x14ac:dyDescent="0.35">
      <c r="A58" s="30" t="str">
        <f>IF(NOT(ISBLANK('Curs, Seminar'!B62)),'Curs, Seminar'!B62,"")</f>
        <v/>
      </c>
      <c r="B58" s="31" t="str">
        <f>IF(NOT(ISBLANK('Curs, Seminar'!C62)),'Curs, Seminar'!C62,"")</f>
        <v/>
      </c>
      <c r="C58" s="40"/>
      <c r="D58" s="43"/>
      <c r="E58" s="43"/>
      <c r="F58" s="43"/>
      <c r="G58" s="43"/>
      <c r="H58" s="32" t="str">
        <f>IF(NOT(ISBLANK('Curs, Seminar'!C62)),IF(AND(NOT(ISBLANK(D58)),NOT(ISBLANK(G58)),D58&gt;=5,G58&gt;=5),ROUND(AVERAGE(D58:G58),0),"n/p"),"")</f>
        <v/>
      </c>
    </row>
    <row r="59" spans="1:8" x14ac:dyDescent="0.35">
      <c r="A59" s="30" t="str">
        <f>IF(NOT(ISBLANK('Curs, Seminar'!B63)),'Curs, Seminar'!B63,"")</f>
        <v/>
      </c>
      <c r="B59" s="31" t="str">
        <f>IF(NOT(ISBLANK('Curs, Seminar'!C63)),'Curs, Seminar'!C63,"")</f>
        <v/>
      </c>
      <c r="C59" s="40"/>
      <c r="D59" s="43"/>
      <c r="E59" s="43"/>
      <c r="F59" s="43"/>
      <c r="G59" s="43"/>
      <c r="H59" s="32" t="str">
        <f>IF(NOT(ISBLANK('Curs, Seminar'!C63)),IF(AND(NOT(ISBLANK(D59)),NOT(ISBLANK(G59)),D59&gt;=5,G59&gt;=5),ROUND(AVERAGE(D59:G59),0),"n/p"),"")</f>
        <v/>
      </c>
    </row>
    <row r="60" spans="1:8" x14ac:dyDescent="0.35">
      <c r="A60" s="30" t="str">
        <f>IF(NOT(ISBLANK('Curs, Seminar'!B64)),'Curs, Seminar'!B64,"")</f>
        <v/>
      </c>
      <c r="B60" s="31" t="str">
        <f>IF(NOT(ISBLANK('Curs, Seminar'!C64)),'Curs, Seminar'!C64,"")</f>
        <v/>
      </c>
      <c r="C60" s="40"/>
      <c r="D60" s="43"/>
      <c r="E60" s="43"/>
      <c r="F60" s="43"/>
      <c r="G60" s="43"/>
      <c r="H60" s="32" t="str">
        <f>IF(NOT(ISBLANK('Curs, Seminar'!C64)),IF(AND(NOT(ISBLANK(D60)),NOT(ISBLANK(G60)),D60&gt;=5,G60&gt;=5),ROUND(AVERAGE(D60:G60),0),"n/p"),"")</f>
        <v/>
      </c>
    </row>
    <row r="61" spans="1:8" x14ac:dyDescent="0.35">
      <c r="A61" s="30" t="str">
        <f>IF(NOT(ISBLANK('Curs, Seminar'!B65)),'Curs, Seminar'!B65,"")</f>
        <v/>
      </c>
      <c r="B61" s="31" t="str">
        <f>IF(NOT(ISBLANK('Curs, Seminar'!C65)),'Curs, Seminar'!C65,"")</f>
        <v/>
      </c>
      <c r="C61" s="40"/>
      <c r="D61" s="43"/>
      <c r="E61" s="43"/>
      <c r="F61" s="43"/>
      <c r="G61" s="43"/>
      <c r="H61" s="32" t="str">
        <f>IF(NOT(ISBLANK('Curs, Seminar'!C65)),IF(AND(NOT(ISBLANK(D61)),NOT(ISBLANK(G61)),D61&gt;=5,G61&gt;=5),ROUND(AVERAGE(D61:G61),0),"n/p"),"")</f>
        <v/>
      </c>
    </row>
    <row r="62" spans="1:8" x14ac:dyDescent="0.35">
      <c r="A62" s="30" t="str">
        <f>IF(NOT(ISBLANK('Curs, Seminar'!B66)),'Curs, Seminar'!B66,"")</f>
        <v/>
      </c>
      <c r="B62" s="31" t="str">
        <f>IF(NOT(ISBLANK('Curs, Seminar'!C66)),'Curs, Seminar'!C66,"")</f>
        <v/>
      </c>
      <c r="C62" s="40"/>
      <c r="D62" s="43"/>
      <c r="E62" s="43"/>
      <c r="F62" s="43"/>
      <c r="G62" s="43"/>
      <c r="H62" s="32" t="str">
        <f>IF(NOT(ISBLANK('Curs, Seminar'!C66)),IF(AND(NOT(ISBLANK(D62)),NOT(ISBLANK(G62)),D62&gt;=5,G62&gt;=5),ROUND(AVERAGE(D62:G62),0),"n/p"),"")</f>
        <v/>
      </c>
    </row>
    <row r="63" spans="1:8" x14ac:dyDescent="0.35">
      <c r="A63" s="30" t="str">
        <f>IF(NOT(ISBLANK('Curs, Seminar'!B67)),'Curs, Seminar'!B67,"")</f>
        <v/>
      </c>
      <c r="B63" s="31" t="str">
        <f>IF(NOT(ISBLANK('Curs, Seminar'!C67)),'Curs, Seminar'!C67,"")</f>
        <v/>
      </c>
      <c r="C63" s="40"/>
      <c r="D63" s="43"/>
      <c r="E63" s="43"/>
      <c r="F63" s="43"/>
      <c r="G63" s="43"/>
      <c r="H63" s="32" t="str">
        <f>IF(NOT(ISBLANK('Curs, Seminar'!C67)),IF(AND(NOT(ISBLANK(D63)),NOT(ISBLANK(G63)),D63&gt;=5,G63&gt;=5),ROUND(AVERAGE(D63:G63),0),"n/p"),"")</f>
        <v/>
      </c>
    </row>
    <row r="64" spans="1:8" x14ac:dyDescent="0.35">
      <c r="A64" s="30" t="str">
        <f>IF(NOT(ISBLANK('Curs, Seminar'!B68)),'Curs, Seminar'!B68,"")</f>
        <v/>
      </c>
      <c r="B64" s="31" t="str">
        <f>IF(NOT(ISBLANK('Curs, Seminar'!C68)),'Curs, Seminar'!C68,"")</f>
        <v/>
      </c>
      <c r="C64" s="40"/>
      <c r="D64" s="43"/>
      <c r="E64" s="43"/>
      <c r="F64" s="43"/>
      <c r="G64" s="43"/>
      <c r="H64" s="32" t="str">
        <f>IF(NOT(ISBLANK('Curs, Seminar'!C68)),IF(AND(NOT(ISBLANK(D64)),NOT(ISBLANK(G64)),D64&gt;=5,G64&gt;=5),ROUND(AVERAGE(D64:G64),0),"n/p"),"")</f>
        <v/>
      </c>
    </row>
    <row r="65" spans="1:8" x14ac:dyDescent="0.35">
      <c r="A65" s="30" t="str">
        <f>IF(NOT(ISBLANK('Curs, Seminar'!B69)),'Curs, Seminar'!B69,"")</f>
        <v/>
      </c>
      <c r="B65" s="31" t="str">
        <f>IF(NOT(ISBLANK('Curs, Seminar'!C69)),'Curs, Seminar'!C69,"")</f>
        <v/>
      </c>
      <c r="C65" s="40"/>
      <c r="D65" s="43"/>
      <c r="E65" s="43"/>
      <c r="F65" s="43"/>
      <c r="G65" s="43"/>
      <c r="H65" s="32" t="str">
        <f>IF(NOT(ISBLANK('Curs, Seminar'!C69)),IF(AND(NOT(ISBLANK(D65)),NOT(ISBLANK(G65)),D65&gt;=5,G65&gt;=5),ROUND(AVERAGE(D65:G65),0),"n/p"),"")</f>
        <v/>
      </c>
    </row>
    <row r="66" spans="1:8" x14ac:dyDescent="0.35">
      <c r="A66" s="30" t="str">
        <f>IF(NOT(ISBLANK('Curs, Seminar'!B70)),'Curs, Seminar'!B70,"")</f>
        <v/>
      </c>
      <c r="B66" s="31" t="str">
        <f>IF(NOT(ISBLANK('Curs, Seminar'!C70)),'Curs, Seminar'!C70,"")</f>
        <v/>
      </c>
      <c r="C66" s="40"/>
      <c r="D66" s="43"/>
      <c r="E66" s="43"/>
      <c r="F66" s="43"/>
      <c r="G66" s="43"/>
      <c r="H66" s="32" t="str">
        <f>IF(NOT(ISBLANK('Curs, Seminar'!C70)),IF(AND(NOT(ISBLANK(D66)),NOT(ISBLANK(G66)),D66&gt;=5,G66&gt;=5),ROUND(AVERAGE(D66:G66),0),"n/p"),"")</f>
        <v/>
      </c>
    </row>
    <row r="67" spans="1:8" x14ac:dyDescent="0.35">
      <c r="A67" s="30" t="str">
        <f>IF(NOT(ISBLANK('Curs, Seminar'!B71)),'Curs, Seminar'!B71,"")</f>
        <v/>
      </c>
      <c r="B67" s="31" t="str">
        <f>IF(NOT(ISBLANK('Curs, Seminar'!C71)),'Curs, Seminar'!C71,"")</f>
        <v/>
      </c>
      <c r="C67" s="40"/>
      <c r="D67" s="43"/>
      <c r="E67" s="43"/>
      <c r="F67" s="43"/>
      <c r="G67" s="43"/>
      <c r="H67" s="32" t="str">
        <f>IF(NOT(ISBLANK('Curs, Seminar'!C71)),IF(AND(NOT(ISBLANK(D67)),NOT(ISBLANK(G67)),D67&gt;=5,G67&gt;=5),ROUND(AVERAGE(D67:G67),0),"n/p"),"")</f>
        <v/>
      </c>
    </row>
    <row r="68" spans="1:8" x14ac:dyDescent="0.35">
      <c r="A68" s="30" t="str">
        <f>IF(NOT(ISBLANK('Curs, Seminar'!B72)),'Curs, Seminar'!B72,"")</f>
        <v/>
      </c>
      <c r="B68" s="31" t="str">
        <f>IF(NOT(ISBLANK('Curs, Seminar'!C72)),'Curs, Seminar'!C72,"")</f>
        <v/>
      </c>
      <c r="C68" s="40"/>
      <c r="D68" s="43"/>
      <c r="E68" s="43"/>
      <c r="F68" s="43"/>
      <c r="G68" s="43"/>
      <c r="H68" s="32" t="str">
        <f>IF(NOT(ISBLANK('Curs, Seminar'!C72)),IF(AND(NOT(ISBLANK(D68)),NOT(ISBLANK(G68)),D68&gt;=5,G68&gt;=5),ROUND(AVERAGE(D68:G68),0),"n/p"),"")</f>
        <v/>
      </c>
    </row>
    <row r="69" spans="1:8" x14ac:dyDescent="0.35">
      <c r="A69" s="30" t="str">
        <f>IF(NOT(ISBLANK('Curs, Seminar'!B73)),'Curs, Seminar'!B73,"")</f>
        <v/>
      </c>
      <c r="B69" s="31" t="str">
        <f>IF(NOT(ISBLANK('Curs, Seminar'!C73)),'Curs, Seminar'!C73,"")</f>
        <v/>
      </c>
      <c r="C69" s="40"/>
      <c r="D69" s="43"/>
      <c r="E69" s="43"/>
      <c r="F69" s="43"/>
      <c r="G69" s="43"/>
      <c r="H69" s="32" t="str">
        <f>IF(NOT(ISBLANK('Curs, Seminar'!C73)),IF(AND(NOT(ISBLANK(D69)),NOT(ISBLANK(G69)),D69&gt;=5,G69&gt;=5),ROUND(AVERAGE(D69:G69),0),"n/p"),"")</f>
        <v/>
      </c>
    </row>
    <row r="70" spans="1:8" x14ac:dyDescent="0.35">
      <c r="A70" s="30" t="str">
        <f>IF(NOT(ISBLANK('Curs, Seminar'!B74)),'Curs, Seminar'!B74,"")</f>
        <v/>
      </c>
      <c r="B70" s="31" t="str">
        <f>IF(NOT(ISBLANK('Curs, Seminar'!C74)),'Curs, Seminar'!C74,"")</f>
        <v/>
      </c>
      <c r="C70" s="40"/>
      <c r="D70" s="43"/>
      <c r="E70" s="43"/>
      <c r="F70" s="43"/>
      <c r="G70" s="43"/>
      <c r="H70" s="32" t="str">
        <f>IF(NOT(ISBLANK('Curs, Seminar'!C74)),IF(AND(NOT(ISBLANK(D70)),NOT(ISBLANK(G70)),D70&gt;=5,G70&gt;=5),ROUND(AVERAGE(D70:G70),0),"n/p"),"")</f>
        <v/>
      </c>
    </row>
    <row r="71" spans="1:8" x14ac:dyDescent="0.35">
      <c r="A71" s="30" t="str">
        <f>IF(NOT(ISBLANK('Curs, Seminar'!B75)),'Curs, Seminar'!B75,"")</f>
        <v/>
      </c>
      <c r="B71" s="31" t="str">
        <f>IF(NOT(ISBLANK('Curs, Seminar'!C75)),'Curs, Seminar'!C75,"")</f>
        <v/>
      </c>
      <c r="C71" s="40"/>
      <c r="D71" s="43"/>
      <c r="E71" s="43"/>
      <c r="F71" s="43"/>
      <c r="G71" s="43"/>
      <c r="H71" s="32" t="str">
        <f>IF(NOT(ISBLANK('Curs, Seminar'!C75)),IF(AND(NOT(ISBLANK(D71)),NOT(ISBLANK(G71)),D71&gt;=5,G71&gt;=5),ROUND(AVERAGE(D71:G71),0),"n/p"),"")</f>
        <v/>
      </c>
    </row>
    <row r="72" spans="1:8" x14ac:dyDescent="0.35">
      <c r="A72" s="30" t="str">
        <f>IF(NOT(ISBLANK('Curs, Seminar'!B76)),'Curs, Seminar'!B76,"")</f>
        <v/>
      </c>
      <c r="B72" s="31" t="str">
        <f>IF(NOT(ISBLANK('Curs, Seminar'!C76)),'Curs, Seminar'!C76,"")</f>
        <v/>
      </c>
      <c r="C72" s="40"/>
      <c r="D72" s="43"/>
      <c r="E72" s="43"/>
      <c r="F72" s="43"/>
      <c r="G72" s="43"/>
      <c r="H72" s="32" t="str">
        <f>IF(NOT(ISBLANK('Curs, Seminar'!C76)),IF(AND(NOT(ISBLANK(D72)),NOT(ISBLANK(G72)),D72&gt;=5,G72&gt;=5),ROUND(AVERAGE(D72:G72),0),"n/p"),"")</f>
        <v/>
      </c>
    </row>
    <row r="73" spans="1:8" x14ac:dyDescent="0.35">
      <c r="A73" s="30" t="str">
        <f>IF(NOT(ISBLANK('Curs, Seminar'!B77)),'Curs, Seminar'!B77,"")</f>
        <v/>
      </c>
      <c r="B73" s="31" t="str">
        <f>IF(NOT(ISBLANK('Curs, Seminar'!C77)),'Curs, Seminar'!C77,"")</f>
        <v/>
      </c>
      <c r="C73" s="40"/>
      <c r="D73" s="43"/>
      <c r="E73" s="43"/>
      <c r="F73" s="43"/>
      <c r="G73" s="43"/>
      <c r="H73" s="32" t="str">
        <f>IF(NOT(ISBLANK('Curs, Seminar'!C77)),IF(AND(NOT(ISBLANK(D73)),NOT(ISBLANK(G73)),D73&gt;=5,G73&gt;=5),ROUND(AVERAGE(D73:G73),0),"n/p"),"")</f>
        <v/>
      </c>
    </row>
    <row r="74" spans="1:8" x14ac:dyDescent="0.35">
      <c r="A74" s="30" t="str">
        <f>IF(NOT(ISBLANK('Curs, Seminar'!B78)),'Curs, Seminar'!B78,"")</f>
        <v/>
      </c>
      <c r="B74" s="31" t="str">
        <f>IF(NOT(ISBLANK('Curs, Seminar'!C78)),'Curs, Seminar'!C78,"")</f>
        <v/>
      </c>
      <c r="C74" s="40"/>
      <c r="D74" s="43"/>
      <c r="E74" s="43"/>
      <c r="F74" s="43"/>
      <c r="G74" s="43"/>
      <c r="H74" s="32" t="str">
        <f>IF(NOT(ISBLANK('Curs, Seminar'!C78)),IF(AND(NOT(ISBLANK(D74)),NOT(ISBLANK(G74)),D74&gt;=5,G74&gt;=5),ROUND(AVERAGE(D74:G74),0),"n/p"),"")</f>
        <v/>
      </c>
    </row>
    <row r="75" spans="1:8" x14ac:dyDescent="0.35">
      <c r="A75" s="30" t="str">
        <f>IF(NOT(ISBLANK('Curs, Seminar'!B79)),'Curs, Seminar'!B79,"")</f>
        <v/>
      </c>
      <c r="B75" s="31" t="str">
        <f>IF(NOT(ISBLANK('Curs, Seminar'!C79)),'Curs, Seminar'!C79,"")</f>
        <v/>
      </c>
      <c r="C75" s="40"/>
      <c r="D75" s="43"/>
      <c r="E75" s="43"/>
      <c r="F75" s="43"/>
      <c r="G75" s="43"/>
      <c r="H75" s="32" t="str">
        <f>IF(NOT(ISBLANK('Curs, Seminar'!C79)),IF(AND(NOT(ISBLANK(D75)),NOT(ISBLANK(G75)),D75&gt;=5,G75&gt;=5),ROUND(AVERAGE(D75:G75),0),"n/p"),"")</f>
        <v/>
      </c>
    </row>
    <row r="76" spans="1:8" x14ac:dyDescent="0.35">
      <c r="A76" s="30" t="str">
        <f>IF(NOT(ISBLANK('Curs, Seminar'!B80)),'Curs, Seminar'!B80,"")</f>
        <v/>
      </c>
      <c r="B76" s="31" t="str">
        <f>IF(NOT(ISBLANK('Curs, Seminar'!C80)),'Curs, Seminar'!C80,"")</f>
        <v/>
      </c>
      <c r="C76" s="40"/>
      <c r="D76" s="43"/>
      <c r="E76" s="43"/>
      <c r="F76" s="43"/>
      <c r="G76" s="43"/>
      <c r="H76" s="32" t="str">
        <f>IF(NOT(ISBLANK('Curs, Seminar'!C80)),IF(AND(NOT(ISBLANK(D76)),NOT(ISBLANK(G76)),D76&gt;=5,G76&gt;=5),ROUND(AVERAGE(D76:G76),0),"n/p"),"")</f>
        <v/>
      </c>
    </row>
    <row r="77" spans="1:8" x14ac:dyDescent="0.35">
      <c r="A77" s="30" t="str">
        <f>IF(NOT(ISBLANK('Curs, Seminar'!B81)),'Curs, Seminar'!B81,"")</f>
        <v/>
      </c>
      <c r="B77" s="31" t="str">
        <f>IF(NOT(ISBLANK('Curs, Seminar'!C81)),'Curs, Seminar'!C81,"")</f>
        <v/>
      </c>
      <c r="C77" s="40"/>
      <c r="D77" s="43"/>
      <c r="E77" s="43"/>
      <c r="F77" s="43"/>
      <c r="G77" s="43"/>
      <c r="H77" s="32" t="str">
        <f>IF(NOT(ISBLANK('Curs, Seminar'!C81)),IF(AND(NOT(ISBLANK(D77)),NOT(ISBLANK(G77)),D77&gt;=5,G77&gt;=5),ROUND(AVERAGE(D77:G77),0),"n/p"),"")</f>
        <v/>
      </c>
    </row>
    <row r="78" spans="1:8" x14ac:dyDescent="0.35">
      <c r="A78" s="30" t="str">
        <f>IF(NOT(ISBLANK('Curs, Seminar'!B82)),'Curs, Seminar'!B82,"")</f>
        <v/>
      </c>
      <c r="B78" s="31" t="str">
        <f>IF(NOT(ISBLANK('Curs, Seminar'!C82)),'Curs, Seminar'!C82,"")</f>
        <v/>
      </c>
      <c r="C78" s="40"/>
      <c r="D78" s="43"/>
      <c r="E78" s="43"/>
      <c r="F78" s="43"/>
      <c r="G78" s="43"/>
      <c r="H78" s="32" t="str">
        <f>IF(NOT(ISBLANK('Curs, Seminar'!C82)),IF(AND(NOT(ISBLANK(D78)),NOT(ISBLANK(G78)),D78&gt;=5,G78&gt;=5),ROUND(AVERAGE(D78:G78),0),"n/p"),"")</f>
        <v/>
      </c>
    </row>
    <row r="79" spans="1:8" x14ac:dyDescent="0.35">
      <c r="A79" s="30" t="str">
        <f>IF(NOT(ISBLANK('Curs, Seminar'!B83)),'Curs, Seminar'!B83,"")</f>
        <v/>
      </c>
      <c r="B79" s="31" t="str">
        <f>IF(NOT(ISBLANK('Curs, Seminar'!C83)),'Curs, Seminar'!C83,"")</f>
        <v/>
      </c>
      <c r="C79" s="40"/>
      <c r="D79" s="43"/>
      <c r="E79" s="43"/>
      <c r="F79" s="43"/>
      <c r="G79" s="43"/>
      <c r="H79" s="32" t="str">
        <f>IF(NOT(ISBLANK('Curs, Seminar'!C83)),IF(AND(NOT(ISBLANK(D79)),NOT(ISBLANK(G79)),D79&gt;=5,G79&gt;=5),ROUND(AVERAGE(D79:G79),0),"n/p"),"")</f>
        <v/>
      </c>
    </row>
    <row r="80" spans="1:8" x14ac:dyDescent="0.35">
      <c r="A80" s="30" t="str">
        <f>IF(NOT(ISBLANK('Curs, Seminar'!B84)),'Curs, Seminar'!B84,"")</f>
        <v/>
      </c>
      <c r="B80" s="31" t="str">
        <f>IF(NOT(ISBLANK('Curs, Seminar'!C84)),'Curs, Seminar'!C84,"")</f>
        <v/>
      </c>
      <c r="C80" s="40"/>
      <c r="D80" s="43"/>
      <c r="E80" s="43"/>
      <c r="F80" s="43"/>
      <c r="G80" s="43"/>
      <c r="H80" s="32" t="str">
        <f>IF(NOT(ISBLANK('Curs, Seminar'!C84)),IF(AND(NOT(ISBLANK(D80)),NOT(ISBLANK(G80)),D80&gt;=5,G80&gt;=5),ROUND(AVERAGE(D80:G80),0),"n/p"),"")</f>
        <v/>
      </c>
    </row>
    <row r="81" spans="1:8" x14ac:dyDescent="0.35">
      <c r="A81" s="30" t="str">
        <f>IF(NOT(ISBLANK('Curs, Seminar'!B85)),'Curs, Seminar'!B85,"")</f>
        <v/>
      </c>
      <c r="B81" s="31" t="str">
        <f>IF(NOT(ISBLANK('Curs, Seminar'!C85)),'Curs, Seminar'!C85,"")</f>
        <v/>
      </c>
      <c r="C81" s="40"/>
      <c r="D81" s="43"/>
      <c r="E81" s="43"/>
      <c r="F81" s="43"/>
      <c r="G81" s="43"/>
      <c r="H81" s="32" t="str">
        <f>IF(NOT(ISBLANK('Curs, Seminar'!C85)),IF(AND(NOT(ISBLANK(D81)),NOT(ISBLANK(G81)),D81&gt;=5,G81&gt;=5),ROUND(AVERAGE(D81:G81),0),"n/p"),"")</f>
        <v/>
      </c>
    </row>
    <row r="82" spans="1:8" x14ac:dyDescent="0.35">
      <c r="A82" s="30" t="str">
        <f>IF(NOT(ISBLANK('Curs, Seminar'!B86)),'Curs, Seminar'!B86,"")</f>
        <v/>
      </c>
      <c r="B82" s="31" t="str">
        <f>IF(NOT(ISBLANK('Curs, Seminar'!C86)),'Curs, Seminar'!C86,"")</f>
        <v/>
      </c>
      <c r="C82" s="40"/>
      <c r="D82" s="43"/>
      <c r="E82" s="43"/>
      <c r="F82" s="43"/>
      <c r="G82" s="43"/>
      <c r="H82" s="32" t="str">
        <f>IF(NOT(ISBLANK('Curs, Seminar'!C86)),IF(AND(NOT(ISBLANK(D82)),NOT(ISBLANK(G82)),D82&gt;=5,G82&gt;=5),ROUND(AVERAGE(D82:G82),0),"n/p"),"")</f>
        <v/>
      </c>
    </row>
    <row r="83" spans="1:8" x14ac:dyDescent="0.35">
      <c r="A83" s="30" t="str">
        <f>IF(NOT(ISBLANK('Curs, Seminar'!B87)),'Curs, Seminar'!B87,"")</f>
        <v/>
      </c>
      <c r="B83" s="31" t="str">
        <f>IF(NOT(ISBLANK('Curs, Seminar'!C87)),'Curs, Seminar'!C87,"")</f>
        <v/>
      </c>
      <c r="C83" s="40"/>
      <c r="D83" s="43"/>
      <c r="E83" s="43"/>
      <c r="F83" s="43"/>
      <c r="G83" s="43"/>
      <c r="H83" s="32" t="str">
        <f>IF(NOT(ISBLANK('Curs, Seminar'!C87)),IF(AND(NOT(ISBLANK(D83)),NOT(ISBLANK(G83)),D83&gt;=5,G83&gt;=5),ROUND(AVERAGE(D83:G83),0),"n/p"),"")</f>
        <v/>
      </c>
    </row>
    <row r="84" spans="1:8" x14ac:dyDescent="0.35">
      <c r="A84" s="30" t="str">
        <f>IF(NOT(ISBLANK('Curs, Seminar'!B88)),'Curs, Seminar'!B88,"")</f>
        <v/>
      </c>
      <c r="B84" s="31" t="str">
        <f>IF(NOT(ISBLANK('Curs, Seminar'!C88)),'Curs, Seminar'!C88,"")</f>
        <v/>
      </c>
      <c r="C84" s="40"/>
      <c r="D84" s="43"/>
      <c r="E84" s="43"/>
      <c r="F84" s="43"/>
      <c r="G84" s="43"/>
      <c r="H84" s="32" t="str">
        <f>IF(NOT(ISBLANK('Curs, Seminar'!C88)),IF(AND(NOT(ISBLANK(D84)),NOT(ISBLANK(G84)),D84&gt;=5,G84&gt;=5),ROUND(AVERAGE(D84:G84),0),"n/p"),"")</f>
        <v/>
      </c>
    </row>
    <row r="85" spans="1:8" x14ac:dyDescent="0.35">
      <c r="A85" s="30" t="str">
        <f>IF(NOT(ISBLANK('Curs, Seminar'!B89)),'Curs, Seminar'!B89,"")</f>
        <v/>
      </c>
      <c r="B85" s="31" t="str">
        <f>IF(NOT(ISBLANK('Curs, Seminar'!C89)),'Curs, Seminar'!C89,"")</f>
        <v/>
      </c>
      <c r="C85" s="40"/>
      <c r="D85" s="43"/>
      <c r="E85" s="43"/>
      <c r="F85" s="43"/>
      <c r="G85" s="43"/>
      <c r="H85" s="32" t="str">
        <f>IF(NOT(ISBLANK('Curs, Seminar'!C89)),IF(AND(NOT(ISBLANK(D85)),NOT(ISBLANK(G85)),D85&gt;=5,G85&gt;=5),ROUND(AVERAGE(D85:G85),0),"n/p"),"")</f>
        <v/>
      </c>
    </row>
    <row r="86" spans="1:8" x14ac:dyDescent="0.35">
      <c r="A86" s="30" t="str">
        <f>IF(NOT(ISBLANK('Curs, Seminar'!B90)),'Curs, Seminar'!B90,"")</f>
        <v/>
      </c>
      <c r="B86" s="31" t="str">
        <f>IF(NOT(ISBLANK('Curs, Seminar'!C90)),'Curs, Seminar'!C90,"")</f>
        <v/>
      </c>
      <c r="C86" s="40"/>
      <c r="D86" s="43"/>
      <c r="E86" s="43"/>
      <c r="F86" s="43"/>
      <c r="G86" s="43"/>
      <c r="H86" s="32" t="str">
        <f>IF(NOT(ISBLANK('Curs, Seminar'!C90)),IF(AND(NOT(ISBLANK(D86)),NOT(ISBLANK(G86)),D86&gt;=5,G86&gt;=5),ROUND(AVERAGE(D86:G86),0),"n/p"),"")</f>
        <v/>
      </c>
    </row>
    <row r="87" spans="1:8" x14ac:dyDescent="0.35">
      <c r="A87" s="30" t="str">
        <f>IF(NOT(ISBLANK('Curs, Seminar'!B91)),'Curs, Seminar'!B91,"")</f>
        <v/>
      </c>
      <c r="B87" s="31" t="str">
        <f>IF(NOT(ISBLANK('Curs, Seminar'!C91)),'Curs, Seminar'!C91,"")</f>
        <v/>
      </c>
      <c r="C87" s="40"/>
      <c r="D87" s="43"/>
      <c r="E87" s="43"/>
      <c r="F87" s="43"/>
      <c r="G87" s="43"/>
      <c r="H87" s="32" t="str">
        <f>IF(NOT(ISBLANK('Curs, Seminar'!C91)),IF(AND(NOT(ISBLANK(D87)),NOT(ISBLANK(G87)),D87&gt;=5,G87&gt;=5),ROUND(AVERAGE(D87:G87),0),"n/p"),"")</f>
        <v/>
      </c>
    </row>
    <row r="88" spans="1:8" x14ac:dyDescent="0.35">
      <c r="A88" s="30" t="str">
        <f>IF(NOT(ISBLANK('Curs, Seminar'!B92)),'Curs, Seminar'!B92,"")</f>
        <v/>
      </c>
      <c r="B88" s="31" t="str">
        <f>IF(NOT(ISBLANK('Curs, Seminar'!C92)),'Curs, Seminar'!C92,"")</f>
        <v/>
      </c>
      <c r="C88" s="40"/>
      <c r="D88" s="43"/>
      <c r="E88" s="43"/>
      <c r="F88" s="43"/>
      <c r="G88" s="43"/>
      <c r="H88" s="32" t="str">
        <f>IF(NOT(ISBLANK('Curs, Seminar'!C92)),IF(AND(NOT(ISBLANK(D88)),NOT(ISBLANK(G88)),D88&gt;=5,G88&gt;=5),ROUND(AVERAGE(D88:G88),0),"n/p"),"")</f>
        <v/>
      </c>
    </row>
    <row r="89" spans="1:8" x14ac:dyDescent="0.35">
      <c r="A89" s="30" t="str">
        <f>IF(NOT(ISBLANK('Curs, Seminar'!B93)),'Curs, Seminar'!B93,"")</f>
        <v/>
      </c>
      <c r="B89" s="31" t="str">
        <f>IF(NOT(ISBLANK('Curs, Seminar'!C93)),'Curs, Seminar'!C93,"")</f>
        <v/>
      </c>
      <c r="C89" s="40"/>
      <c r="D89" s="43"/>
      <c r="E89" s="43"/>
      <c r="F89" s="43"/>
      <c r="G89" s="43"/>
      <c r="H89" s="32" t="str">
        <f>IF(NOT(ISBLANK('Curs, Seminar'!C93)),IF(AND(NOT(ISBLANK(D89)),NOT(ISBLANK(G89)),D89&gt;=5,G89&gt;=5),ROUND(AVERAGE(D89:G89),0),"n/p"),"")</f>
        <v/>
      </c>
    </row>
    <row r="90" spans="1:8" x14ac:dyDescent="0.35">
      <c r="A90" s="30" t="str">
        <f>IF(NOT(ISBLANK('Curs, Seminar'!B94)),'Curs, Seminar'!B94,"")</f>
        <v/>
      </c>
      <c r="B90" s="31" t="str">
        <f>IF(NOT(ISBLANK('Curs, Seminar'!C94)),'Curs, Seminar'!C94,"")</f>
        <v/>
      </c>
      <c r="C90" s="40"/>
      <c r="D90" s="43"/>
      <c r="E90" s="43"/>
      <c r="F90" s="43"/>
      <c r="G90" s="43"/>
      <c r="H90" s="32" t="str">
        <f>IF(NOT(ISBLANK('Curs, Seminar'!C94)),IF(AND(NOT(ISBLANK(D90)),NOT(ISBLANK(G90)),D90&gt;=5,G90&gt;=5),ROUND(AVERAGE(D90:G90),0),"n/p"),"")</f>
        <v/>
      </c>
    </row>
    <row r="91" spans="1:8" x14ac:dyDescent="0.35">
      <c r="A91" s="30" t="str">
        <f>IF(NOT(ISBLANK('Curs, Seminar'!B95)),'Curs, Seminar'!B95,"")</f>
        <v/>
      </c>
      <c r="B91" s="31" t="str">
        <f>IF(NOT(ISBLANK('Curs, Seminar'!C95)),'Curs, Seminar'!C95,"")</f>
        <v/>
      </c>
      <c r="C91" s="40"/>
      <c r="D91" s="43"/>
      <c r="E91" s="43"/>
      <c r="F91" s="43"/>
      <c r="G91" s="43"/>
      <c r="H91" s="32" t="str">
        <f>IF(NOT(ISBLANK('Curs, Seminar'!C95)),IF(AND(NOT(ISBLANK(D91)),NOT(ISBLANK(G91)),D91&gt;=5,G91&gt;=5),ROUND(AVERAGE(D91:G91),0),"n/p"),"")</f>
        <v/>
      </c>
    </row>
    <row r="92" spans="1:8" x14ac:dyDescent="0.35">
      <c r="A92" s="30" t="str">
        <f>IF(NOT(ISBLANK('Curs, Seminar'!B96)),'Curs, Seminar'!B96,"")</f>
        <v/>
      </c>
      <c r="B92" s="31" t="str">
        <f>IF(NOT(ISBLANK('Curs, Seminar'!C96)),'Curs, Seminar'!C96,"")</f>
        <v/>
      </c>
      <c r="C92" s="40"/>
      <c r="D92" s="43"/>
      <c r="E92" s="43"/>
      <c r="F92" s="43"/>
      <c r="G92" s="43"/>
      <c r="H92" s="32" t="str">
        <f>IF(NOT(ISBLANK('Curs, Seminar'!C96)),IF(AND(NOT(ISBLANK(D92)),NOT(ISBLANK(G92)),D92&gt;=5,G92&gt;=5),ROUND(AVERAGE(D92:G92),0),"n/p"),"")</f>
        <v/>
      </c>
    </row>
    <row r="93" spans="1:8" x14ac:dyDescent="0.35">
      <c r="A93" s="30" t="str">
        <f>IF(NOT(ISBLANK('Curs, Seminar'!B97)),'Curs, Seminar'!B97,"")</f>
        <v/>
      </c>
      <c r="B93" s="31" t="str">
        <f>IF(NOT(ISBLANK('Curs, Seminar'!C97)),'Curs, Seminar'!C97,"")</f>
        <v/>
      </c>
      <c r="C93" s="40"/>
      <c r="D93" s="43"/>
      <c r="E93" s="43"/>
      <c r="F93" s="43"/>
      <c r="G93" s="43"/>
      <c r="H93" s="32" t="str">
        <f>IF(NOT(ISBLANK('Curs, Seminar'!C97)),IF(AND(NOT(ISBLANK(D93)),NOT(ISBLANK(G93)),D93&gt;=5,G93&gt;=5),ROUND(AVERAGE(D93:G93),0),"n/p"),"")</f>
        <v/>
      </c>
    </row>
    <row r="94" spans="1:8" x14ac:dyDescent="0.35">
      <c r="A94" s="30" t="str">
        <f>IF(NOT(ISBLANK('Curs, Seminar'!B98)),'Curs, Seminar'!B98,"")</f>
        <v/>
      </c>
      <c r="B94" s="31" t="str">
        <f>IF(NOT(ISBLANK('Curs, Seminar'!C98)),'Curs, Seminar'!C98,"")</f>
        <v/>
      </c>
      <c r="C94" s="40"/>
      <c r="D94" s="43"/>
      <c r="E94" s="43"/>
      <c r="F94" s="43"/>
      <c r="G94" s="43"/>
      <c r="H94" s="32" t="str">
        <f>IF(NOT(ISBLANK('Curs, Seminar'!C98)),IF(AND(NOT(ISBLANK(D94)),NOT(ISBLANK(G94)),D94&gt;=5,G94&gt;=5),ROUND(AVERAGE(D94:G94),0),"n/p"),"")</f>
        <v/>
      </c>
    </row>
    <row r="95" spans="1:8" x14ac:dyDescent="0.35">
      <c r="A95" s="30" t="str">
        <f>IF(NOT(ISBLANK('Curs, Seminar'!B99)),'Curs, Seminar'!B99,"")</f>
        <v/>
      </c>
      <c r="B95" s="31" t="str">
        <f>IF(NOT(ISBLANK('Curs, Seminar'!C99)),'Curs, Seminar'!C99,"")</f>
        <v/>
      </c>
      <c r="C95" s="40"/>
      <c r="D95" s="43"/>
      <c r="E95" s="43"/>
      <c r="F95" s="43"/>
      <c r="G95" s="43"/>
      <c r="H95" s="32" t="str">
        <f>IF(NOT(ISBLANK('Curs, Seminar'!C99)),IF(AND(NOT(ISBLANK(D95)),NOT(ISBLANK(G95)),D95&gt;=5,G95&gt;=5),ROUND(AVERAGE(D95:G95),0),"n/p"),"")</f>
        <v/>
      </c>
    </row>
    <row r="96" spans="1:8" x14ac:dyDescent="0.35">
      <c r="A96" s="30" t="str">
        <f>IF(NOT(ISBLANK('Curs, Seminar'!B100)),'Curs, Seminar'!B100,"")</f>
        <v/>
      </c>
      <c r="B96" s="31" t="str">
        <f>IF(NOT(ISBLANK('Curs, Seminar'!C100)),'Curs, Seminar'!C100,"")</f>
        <v/>
      </c>
      <c r="C96" s="40"/>
      <c r="D96" s="43"/>
      <c r="E96" s="43"/>
      <c r="F96" s="43"/>
      <c r="G96" s="43"/>
      <c r="H96" s="32" t="str">
        <f>IF(NOT(ISBLANK('Curs, Seminar'!C100)),IF(AND(NOT(ISBLANK(D96)),NOT(ISBLANK(G96)),D96&gt;=5,G96&gt;=5),ROUND(AVERAGE(D96:G96),0),"n/p"),"")</f>
        <v/>
      </c>
    </row>
    <row r="97" spans="1:8" x14ac:dyDescent="0.35">
      <c r="A97" s="30" t="str">
        <f>IF(NOT(ISBLANK('Curs, Seminar'!B101)),'Curs, Seminar'!B101,"")</f>
        <v/>
      </c>
      <c r="B97" s="31" t="str">
        <f>IF(NOT(ISBLANK('Curs, Seminar'!C101)),'Curs, Seminar'!C101,"")</f>
        <v/>
      </c>
      <c r="C97" s="40"/>
      <c r="D97" s="43"/>
      <c r="E97" s="43"/>
      <c r="F97" s="43"/>
      <c r="G97" s="43"/>
      <c r="H97" s="32" t="str">
        <f>IF(NOT(ISBLANK('Curs, Seminar'!C101)),IF(AND(NOT(ISBLANK(D97)),NOT(ISBLANK(G97)),D97&gt;=5,G97&gt;=5),ROUND(AVERAGE(D97:G97),0),"n/p"),"")</f>
        <v/>
      </c>
    </row>
    <row r="98" spans="1:8" x14ac:dyDescent="0.35">
      <c r="A98" s="30" t="str">
        <f>IF(NOT(ISBLANK('Curs, Seminar'!B102)),'Curs, Seminar'!B102,"")</f>
        <v/>
      </c>
      <c r="B98" s="31" t="str">
        <f>IF(NOT(ISBLANK('Curs, Seminar'!C102)),'Curs, Seminar'!C102,"")</f>
        <v/>
      </c>
      <c r="C98" s="40"/>
      <c r="D98" s="43"/>
      <c r="E98" s="43"/>
      <c r="F98" s="43"/>
      <c r="G98" s="43"/>
      <c r="H98" s="32" t="str">
        <f>IF(NOT(ISBLANK('Curs, Seminar'!C102)),IF(AND(NOT(ISBLANK(D98)),NOT(ISBLANK(G98)),D98&gt;=5,G98&gt;=5),ROUND(AVERAGE(D98:G98),0),"n/p"),"")</f>
        <v/>
      </c>
    </row>
    <row r="99" spans="1:8" x14ac:dyDescent="0.35">
      <c r="A99" s="30" t="str">
        <f>IF(NOT(ISBLANK('Curs, Seminar'!B103)),'Curs, Seminar'!B103,"")</f>
        <v/>
      </c>
      <c r="B99" s="31" t="str">
        <f>IF(NOT(ISBLANK('Curs, Seminar'!C103)),'Curs, Seminar'!C103,"")</f>
        <v/>
      </c>
      <c r="C99" s="40"/>
      <c r="D99" s="43"/>
      <c r="E99" s="43"/>
      <c r="F99" s="43"/>
      <c r="G99" s="43"/>
      <c r="H99" s="32" t="str">
        <f>IF(NOT(ISBLANK('Curs, Seminar'!C103)),IF(AND(NOT(ISBLANK(D99)),NOT(ISBLANK(G99)),D99&gt;=5,G99&gt;=5),ROUND(AVERAGE(D99:G99),0),"n/p"),"")</f>
        <v/>
      </c>
    </row>
    <row r="100" spans="1:8" x14ac:dyDescent="0.35">
      <c r="A100" s="30" t="str">
        <f>IF(NOT(ISBLANK('Curs, Seminar'!B104)),'Curs, Seminar'!B104,"")</f>
        <v/>
      </c>
      <c r="B100" s="31" t="str">
        <f>IF(NOT(ISBLANK('Curs, Seminar'!C104)),'Curs, Seminar'!C104,"")</f>
        <v/>
      </c>
      <c r="C100" s="40"/>
      <c r="D100" s="43"/>
      <c r="E100" s="43"/>
      <c r="F100" s="43"/>
      <c r="G100" s="43"/>
      <c r="H100" s="32" t="str">
        <f>IF(NOT(ISBLANK('Curs, Seminar'!C104)),IF(AND(NOT(ISBLANK(D100)),NOT(ISBLANK(G100)),D100&gt;=5,G100&gt;=5),ROUND(AVERAGE(D100:G100),0),"n/p"),"")</f>
        <v/>
      </c>
    </row>
    <row r="101" spans="1:8" x14ac:dyDescent="0.35">
      <c r="A101" s="30" t="str">
        <f>IF(NOT(ISBLANK('Curs, Seminar'!B105)),'Curs, Seminar'!B105,"")</f>
        <v/>
      </c>
      <c r="B101" s="31" t="str">
        <f>IF(NOT(ISBLANK('Curs, Seminar'!C105)),'Curs, Seminar'!C105,"")</f>
        <v/>
      </c>
      <c r="C101" s="40"/>
      <c r="D101" s="43"/>
      <c r="E101" s="43"/>
      <c r="F101" s="43"/>
      <c r="G101" s="43"/>
      <c r="H101" s="32" t="str">
        <f>IF(NOT(ISBLANK('Curs, Seminar'!C105)),IF(AND(NOT(ISBLANK(D101)),NOT(ISBLANK(G101)),D101&gt;=5,G101&gt;=5),ROUND(AVERAGE(D101:G101),0),"n/p"),"")</f>
        <v/>
      </c>
    </row>
    <row r="102" spans="1:8" x14ac:dyDescent="0.35">
      <c r="H102" s="32" t="str">
        <f>IF(NOT(ISBLANK('Curs, Seminar'!C106)),IF(AND(NOT(ISBLANK(D102)),NOT(ISBLANK(G102))),ROUND(AVERAGE(D102:G102),0),"n/p"),"")</f>
        <v/>
      </c>
    </row>
    <row r="103" spans="1:8" x14ac:dyDescent="0.35">
      <c r="H103" s="32" t="str">
        <f>IF(NOT(ISBLANK('Curs, Seminar'!C107)),IF(AND(NOT(ISBLANK(D103)),NOT(ISBLANK(G103))),ROUND(AVERAGE(D103:G103),0),"n/p"),"")</f>
        <v/>
      </c>
    </row>
    <row r="104" spans="1:8" x14ac:dyDescent="0.35">
      <c r="H104" s="32" t="str">
        <f>IF(NOT(ISBLANK('Curs, Seminar'!C108)),IF(AND(NOT(ISBLANK(D104)),NOT(ISBLANK(G104))),ROUND(AVERAGE(D104:G104),0),"n/p"),"")</f>
        <v/>
      </c>
    </row>
  </sheetData>
  <mergeCells count="1">
    <mergeCell ref="J1:K1"/>
  </mergeCells>
  <pageMargins left="0.7" right="0.7" top="0.75" bottom="0.75" header="0.3" footer="0.3"/>
  <ignoredErrors>
    <ignoredError sqref="C2:C105" numberStoredAsText="1"/>
  </ignoredError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01"/>
  <sheetViews>
    <sheetView zoomScale="85" zoomScaleNormal="85" workbookViewId="0">
      <selection activeCell="E2" sqref="E2"/>
    </sheetView>
  </sheetViews>
  <sheetFormatPr defaultRowHeight="14.4" x14ac:dyDescent="0.3"/>
  <cols>
    <col min="1" max="1" width="4.44140625" customWidth="1"/>
    <col min="2" max="2" width="26" customWidth="1"/>
    <col min="3" max="3" width="7.33203125" customWidth="1"/>
    <col min="4" max="5" width="8.6640625" customWidth="1"/>
    <col min="6" max="6" width="10.109375" customWidth="1"/>
    <col min="7" max="8" width="8.6640625" customWidth="1"/>
    <col min="9" max="9" width="10.109375" customWidth="1"/>
    <col min="10" max="10" width="8.6640625" customWidth="1"/>
    <col min="11" max="11" width="11.109375" bestFit="1" customWidth="1"/>
    <col min="12" max="12" width="11.5546875" customWidth="1"/>
    <col min="16" max="16" width="8.6640625" customWidth="1"/>
  </cols>
  <sheetData>
    <row r="1" spans="1:16" ht="36" x14ac:dyDescent="0.35">
      <c r="A1" s="3" t="s">
        <v>0</v>
      </c>
      <c r="B1" s="4" t="s">
        <v>1</v>
      </c>
      <c r="C1" s="20" t="s">
        <v>27</v>
      </c>
      <c r="D1" s="20" t="s">
        <v>29</v>
      </c>
      <c r="E1" s="20" t="s">
        <v>28</v>
      </c>
      <c r="F1" s="24" t="s">
        <v>25</v>
      </c>
      <c r="G1" s="5" t="s">
        <v>20</v>
      </c>
      <c r="H1" s="6" t="s">
        <v>21</v>
      </c>
      <c r="I1" s="7"/>
      <c r="J1" s="6"/>
      <c r="K1" s="150" t="s">
        <v>45</v>
      </c>
      <c r="L1" s="150"/>
      <c r="M1" s="8"/>
      <c r="N1" s="9"/>
      <c r="O1" s="9"/>
      <c r="P1" s="9"/>
    </row>
    <row r="2" spans="1:16" ht="18" x14ac:dyDescent="0.35">
      <c r="A2" s="30">
        <f>IF(NOT(ISBLANK('Curs, Seminar'!B6)),'Curs, Seminar'!B6,"")</f>
        <v>1</v>
      </c>
      <c r="B2" s="31" t="str">
        <f>IF(NOT(ISBLANK('Curs, Seminar'!C6)),'Curs, Seminar'!C6,"")</f>
        <v>Nume, Prenume</v>
      </c>
      <c r="C2" s="10"/>
      <c r="D2" s="10"/>
      <c r="E2" s="10"/>
      <c r="F2" s="23">
        <f>IF(NOT(ISBLANK('Curs, Seminar'!C6)),
IF('Curs, Seminar'!Z6,"Eliberat",
ROUND(SUM(C2:E2),0)),
"")</f>
        <v>0</v>
      </c>
      <c r="G2" s="22" t="str">
        <f>IF(NOT(ISBLANK('Curs, Seminar'!C6)),
IF('Curs, Seminar'!Z6,'Curs, Seminar'!Z6,
IF(F2=0,"n/p",
IF(AND(F2&gt;=$H$3,F2&lt;=$I$3),$J$3,
IF(AND(F2&gt;=$H$4,F2&lt;=$I$4),$J$4,
IF(AND(F2&gt;=$H$5,F2&lt;=$I$5),$J$5,
IF(AND(F2&gt;=$H$6,F2&lt;=$I$6),$J$6,
IF(AND(F2&gt;=$H$7,F2&lt;=$I$7),$J$7,
IF(AND(F2&gt;=$H$8,F2&lt;=$I$8),$J$8,
IF(AND(F2&gt;=$H$9,F2&lt;=$I$9),$J$9,
IF(AND(F2&gt;=$H$10,F2&lt;=$I$10),$J$10,
IF(AND(F2&gt;=$H$11,F2&lt;=$I$11),$J$11))))))))))),
"")</f>
        <v>n/p</v>
      </c>
      <c r="H2" s="6" t="s">
        <v>23</v>
      </c>
      <c r="I2" s="6"/>
      <c r="J2" s="12" t="s">
        <v>20</v>
      </c>
      <c r="K2" s="27" t="s">
        <v>20</v>
      </c>
      <c r="L2" s="27" t="s">
        <v>22</v>
      </c>
      <c r="M2" s="8"/>
      <c r="N2" s="13"/>
      <c r="O2" s="13"/>
      <c r="P2" s="13"/>
    </row>
    <row r="3" spans="1:16" ht="18" x14ac:dyDescent="0.35">
      <c r="A3" s="30" t="str">
        <f>IF(NOT(ISBLANK('Curs, Seminar'!B7)),'Curs, Seminar'!B7,"")</f>
        <v/>
      </c>
      <c r="B3" s="31" t="str">
        <f>IF(NOT(ISBLANK('Curs, Seminar'!C7)),'Curs, Seminar'!C7,"")</f>
        <v/>
      </c>
      <c r="C3" s="10"/>
      <c r="D3" s="10"/>
      <c r="E3" s="10"/>
      <c r="F3" s="23" t="str">
        <f>IF(NOT(ISBLANK('Curs, Seminar'!C7)),
IF('Curs, Seminar'!Z7,"Eliberat",
ROUND(SUM(C3:E3),0)),
"")</f>
        <v/>
      </c>
      <c r="G3" s="22" t="str">
        <f>IF(NOT(ISBLANK('Curs, Seminar'!C7)),
IF('Curs, Seminar'!Z7,'Curs, Seminar'!Z7,
IF(F3=0,"n/p",
IF(AND(F3&gt;=$H$3,F3&lt;=$I$3),$J$3,
IF(AND(F3&gt;=$H$4,F3&lt;=$I$4),$J$4,
IF(AND(F3&gt;=$H$5,F3&lt;=$I$5),$J$5,
IF(AND(F3&gt;=$H$6,F3&lt;=$I$6),$J$6,
IF(AND(F3&gt;=$H$7,F3&lt;=$I$7),$J$7,
IF(AND(F3&gt;=$H$8,F3&lt;=$I$8),$J$8,
IF(AND(F3&gt;=$H$9,F3&lt;=$I$9),$J$9,
IF(AND(F3&gt;=$H$10,F3&lt;=$I$10),$J$10,
IF(AND(F3&gt;=$H$11,F3&lt;=$I$11),$J$11))))))))))),
"")</f>
        <v/>
      </c>
      <c r="H3" s="21">
        <v>0</v>
      </c>
      <c r="I3" s="21">
        <v>3</v>
      </c>
      <c r="J3" s="12">
        <v>2</v>
      </c>
      <c r="K3" s="29">
        <v>1</v>
      </c>
      <c r="L3" s="27">
        <f>COUNTIF($G$2:$G101,K3)</f>
        <v>0</v>
      </c>
      <c r="M3" s="8"/>
      <c r="N3" s="13"/>
      <c r="O3" s="13"/>
      <c r="P3" s="13"/>
    </row>
    <row r="4" spans="1:16" ht="18" x14ac:dyDescent="0.35">
      <c r="A4" s="30" t="str">
        <f>IF(NOT(ISBLANK('Curs, Seminar'!B8)),'Curs, Seminar'!B8,"")</f>
        <v/>
      </c>
      <c r="B4" s="31" t="str">
        <f>IF(NOT(ISBLANK('Curs, Seminar'!C8)),'Curs, Seminar'!C8,"")</f>
        <v/>
      </c>
      <c r="C4" s="10"/>
      <c r="D4" s="10"/>
      <c r="E4" s="10"/>
      <c r="F4" s="23" t="str">
        <f>IF(NOT(ISBLANK('Curs, Seminar'!C8)),
IF('Curs, Seminar'!Z8,"Eliberat",
ROUND(SUM(C4:E4),0)),
"")</f>
        <v/>
      </c>
      <c r="G4" s="22" t="str">
        <f>IF(NOT(ISBLANK('Curs, Seminar'!C8)),
IF('Curs, Seminar'!Z8,'Curs, Seminar'!Z8,
IF(F4=0,"n/p",
IF(AND(F4&gt;=$H$3,F4&lt;=$I$3),$J$3,
IF(AND(F4&gt;=$H$4,F4&lt;=$I$4),$J$4,
IF(AND(F4&gt;=$H$5,F4&lt;=$I$5),$J$5,
IF(AND(F4&gt;=$H$6,F4&lt;=$I$6),$J$6,
IF(AND(F4&gt;=$H$7,F4&lt;=$I$7),$J$7,
IF(AND(F4&gt;=$H$8,F4&lt;=$I$8),$J$8,
IF(AND(F4&gt;=$H$9,F4&lt;=$I$9),$J$9,
IF(AND(F4&gt;=$H$10,F4&lt;=$I$10),$J$10,
IF(AND(F4&gt;=$H$11,F4&lt;=$I$11),$J$11))))))))))),
"")</f>
        <v/>
      </c>
      <c r="H4" s="21">
        <v>4</v>
      </c>
      <c r="I4" s="21">
        <v>7</v>
      </c>
      <c r="J4" s="12">
        <v>3</v>
      </c>
      <c r="K4" s="28">
        <v>2</v>
      </c>
      <c r="L4" s="27">
        <f>COUNTIF($G$2:$G102,K4)</f>
        <v>0</v>
      </c>
      <c r="M4" s="8"/>
      <c r="N4" s="13"/>
      <c r="O4" s="13"/>
      <c r="P4" s="13"/>
    </row>
    <row r="5" spans="1:16" ht="18" x14ac:dyDescent="0.35">
      <c r="A5" s="30" t="str">
        <f>IF(NOT(ISBLANK('Curs, Seminar'!B9)),'Curs, Seminar'!B9,"")</f>
        <v/>
      </c>
      <c r="B5" s="31" t="str">
        <f>IF(NOT(ISBLANK('Curs, Seminar'!C9)),'Curs, Seminar'!C9,"")</f>
        <v/>
      </c>
      <c r="C5" s="10"/>
      <c r="D5" s="10"/>
      <c r="E5" s="10"/>
      <c r="F5" s="23" t="str">
        <f>IF(NOT(ISBLANK('Curs, Seminar'!C9)),
IF('Curs, Seminar'!Z9,"Eliberat",
ROUND(SUM(C5:E5),0)),
"")</f>
        <v/>
      </c>
      <c r="G5" s="22" t="str">
        <f>IF(NOT(ISBLANK('Curs, Seminar'!C9)),
IF('Curs, Seminar'!Z9,'Curs, Seminar'!Z9,
IF(F5=0,"n/p",
IF(AND(F5&gt;=$H$3,F5&lt;=$I$3),$J$3,
IF(AND(F5&gt;=$H$4,F5&lt;=$I$4),$J$4,
IF(AND(F5&gt;=$H$5,F5&lt;=$I$5),$J$5,
IF(AND(F5&gt;=$H$6,F5&lt;=$I$6),$J$6,
IF(AND(F5&gt;=$H$7,F5&lt;=$I$7),$J$7,
IF(AND(F5&gt;=$H$8,F5&lt;=$I$8),$J$8,
IF(AND(F5&gt;=$H$9,F5&lt;=$I$9),$J$9,
IF(AND(F5&gt;=$H$10,F5&lt;=$I$10),$J$10,
IF(AND(F5&gt;=$H$11,F5&lt;=$I$11),$J$11))))))))))),
"")</f>
        <v/>
      </c>
      <c r="H5" s="21">
        <v>8</v>
      </c>
      <c r="I5" s="21">
        <v>12</v>
      </c>
      <c r="J5" s="12">
        <v>4</v>
      </c>
      <c r="K5" s="28">
        <v>3</v>
      </c>
      <c r="L5" s="27">
        <f>COUNTIF($G$2:$G103,K5)</f>
        <v>0</v>
      </c>
      <c r="M5" s="8"/>
      <c r="N5" s="13"/>
      <c r="O5" s="13"/>
      <c r="P5" s="13"/>
    </row>
    <row r="6" spans="1:16" ht="18" x14ac:dyDescent="0.35">
      <c r="A6" s="30" t="str">
        <f>IF(NOT(ISBLANK('Curs, Seminar'!B10)),'Curs, Seminar'!B10,"")</f>
        <v/>
      </c>
      <c r="B6" s="31" t="str">
        <f>IF(NOT(ISBLANK('Curs, Seminar'!C10)),'Curs, Seminar'!C10,"")</f>
        <v/>
      </c>
      <c r="C6" s="10"/>
      <c r="D6" s="10"/>
      <c r="E6" s="10"/>
      <c r="F6" s="23" t="str">
        <f>IF(NOT(ISBLANK('Curs, Seminar'!C10)),
IF('Curs, Seminar'!Z10,"Eliberat",
ROUND(SUM(C6:E6),0)),
"")</f>
        <v/>
      </c>
      <c r="G6" s="22" t="str">
        <f>IF(NOT(ISBLANK('Curs, Seminar'!C10)),
IF('Curs, Seminar'!Z10,'Curs, Seminar'!Z10,
IF(F6=0,"n/p",
IF(AND(F6&gt;=$H$3,F6&lt;=$I$3),$J$3,
IF(AND(F6&gt;=$H$4,F6&lt;=$I$4),$J$4,
IF(AND(F6&gt;=$H$5,F6&lt;=$I$5),$J$5,
IF(AND(F6&gt;=$H$6,F6&lt;=$I$6),$J$6,
IF(AND(F6&gt;=$H$7,F6&lt;=$I$7),$J$7,
IF(AND(F6&gt;=$H$8,F6&lt;=$I$8),$J$8,
IF(AND(F6&gt;=$H$9,F6&lt;=$I$9),$J$9,
IF(AND(F6&gt;=$H$10,F6&lt;=$I$10),$J$10,
IF(AND(F6&gt;=$H$11,F6&lt;=$I$11),$J$11))))))))))),
"")</f>
        <v/>
      </c>
      <c r="H6" s="21">
        <v>13</v>
      </c>
      <c r="I6" s="21">
        <v>15</v>
      </c>
      <c r="J6" s="12">
        <v>5</v>
      </c>
      <c r="K6" s="29">
        <v>4</v>
      </c>
      <c r="L6" s="27">
        <f>COUNTIF($G$2:$G104,K6)</f>
        <v>0</v>
      </c>
      <c r="M6" s="8"/>
      <c r="N6" s="13"/>
      <c r="O6" s="13"/>
      <c r="P6" s="13"/>
    </row>
    <row r="7" spans="1:16" ht="18" x14ac:dyDescent="0.35">
      <c r="A7" s="30" t="str">
        <f>IF(NOT(ISBLANK('Curs, Seminar'!B11)),'Curs, Seminar'!B11,"")</f>
        <v/>
      </c>
      <c r="B7" s="31" t="str">
        <f>IF(NOT(ISBLANK('Curs, Seminar'!C11)),'Curs, Seminar'!C11,"")</f>
        <v/>
      </c>
      <c r="C7" s="10"/>
      <c r="D7" s="10"/>
      <c r="E7" s="10"/>
      <c r="F7" s="23" t="str">
        <f>IF(NOT(ISBLANK('Curs, Seminar'!C11)),
IF('Curs, Seminar'!Z11,"Eliberat",
ROUND(SUM(C7:E7),0)),
"")</f>
        <v/>
      </c>
      <c r="G7" s="22" t="str">
        <f>IF(NOT(ISBLANK('Curs, Seminar'!C11)),
IF('Curs, Seminar'!Z11,'Curs, Seminar'!Z11,
IF(F7=0,"n/p",
IF(AND(F7&gt;=$H$3,F7&lt;=$I$3),$J$3,
IF(AND(F7&gt;=$H$4,F7&lt;=$I$4),$J$4,
IF(AND(F7&gt;=$H$5,F7&lt;=$I$5),$J$5,
IF(AND(F7&gt;=$H$6,F7&lt;=$I$6),$J$6,
IF(AND(F7&gt;=$H$7,F7&lt;=$I$7),$J$7,
IF(AND(F7&gt;=$H$8,F7&lt;=$I$8),$J$8,
IF(AND(F7&gt;=$H$9,F7&lt;=$I$9),$J$9,
IF(AND(F7&gt;=$H$10,F7&lt;=$I$10),$J$10,
IF(AND(F7&gt;=$H$11,F7&lt;=$I$11),$J$11))))))))))),
"")</f>
        <v/>
      </c>
      <c r="H7" s="21">
        <v>16</v>
      </c>
      <c r="I7" s="21">
        <v>18</v>
      </c>
      <c r="J7" s="12">
        <v>6</v>
      </c>
      <c r="K7" s="29">
        <v>5</v>
      </c>
      <c r="L7" s="27">
        <f>COUNTIF($G$2:$G105,K7)</f>
        <v>0</v>
      </c>
      <c r="M7" s="8"/>
      <c r="N7" s="13"/>
      <c r="O7" s="13"/>
      <c r="P7" s="13"/>
    </row>
    <row r="8" spans="1:16" ht="18" x14ac:dyDescent="0.35">
      <c r="A8" s="30" t="str">
        <f>IF(NOT(ISBLANK('Curs, Seminar'!B12)),'Curs, Seminar'!B12,"")</f>
        <v/>
      </c>
      <c r="B8" s="31" t="str">
        <f>IF(NOT(ISBLANK('Curs, Seminar'!C12)),'Curs, Seminar'!C12,"")</f>
        <v/>
      </c>
      <c r="C8" s="10"/>
      <c r="D8" s="10"/>
      <c r="E8" s="10"/>
      <c r="F8" s="23" t="str">
        <f>IF(NOT(ISBLANK('Curs, Seminar'!C12)),
IF('Curs, Seminar'!Z12,"Eliberat",
ROUND(SUM(C8:E8),0)),
"")</f>
        <v/>
      </c>
      <c r="G8" s="22" t="str">
        <f>IF(NOT(ISBLANK('Curs, Seminar'!C12)),
IF('Curs, Seminar'!Z12,'Curs, Seminar'!Z12,
IF(F8=0,"n/p",
IF(AND(F8&gt;=$H$3,F8&lt;=$I$3),$J$3,
IF(AND(F8&gt;=$H$4,F8&lt;=$I$4),$J$4,
IF(AND(F8&gt;=$H$5,F8&lt;=$I$5),$J$5,
IF(AND(F8&gt;=$H$6,F8&lt;=$I$6),$J$6,
IF(AND(F8&gt;=$H$7,F8&lt;=$I$7),$J$7,
IF(AND(F8&gt;=$H$8,F8&lt;=$I$8),$J$8,
IF(AND(F8&gt;=$H$9,F8&lt;=$I$9),$J$9,
IF(AND(F8&gt;=$H$10,F8&lt;=$I$10),$J$10,
IF(AND(F8&gt;=$H$11,F8&lt;=$I$11),$J$11))))))))))),
"")</f>
        <v/>
      </c>
      <c r="H8" s="21">
        <v>19</v>
      </c>
      <c r="I8" s="21">
        <v>21</v>
      </c>
      <c r="J8" s="12">
        <v>7</v>
      </c>
      <c r="K8" s="29">
        <v>6</v>
      </c>
      <c r="L8" s="27">
        <f>COUNTIF($G$2:$G106,K8)</f>
        <v>0</v>
      </c>
      <c r="M8" s="8"/>
      <c r="N8" s="13"/>
      <c r="O8" s="13"/>
      <c r="P8" s="13"/>
    </row>
    <row r="9" spans="1:16" ht="18" x14ac:dyDescent="0.35">
      <c r="A9" s="30" t="str">
        <f>IF(NOT(ISBLANK('Curs, Seminar'!B13)),'Curs, Seminar'!B13,"")</f>
        <v/>
      </c>
      <c r="B9" s="31" t="str">
        <f>IF(NOT(ISBLANK('Curs, Seminar'!C13)),'Curs, Seminar'!C13,"")</f>
        <v/>
      </c>
      <c r="C9" s="10"/>
      <c r="D9" s="10"/>
      <c r="E9" s="10"/>
      <c r="F9" s="23" t="str">
        <f>IF(NOT(ISBLANK('Curs, Seminar'!C13)),
IF('Curs, Seminar'!Z13,"Eliberat",
ROUND(SUM(C9:E9),0)),
"")</f>
        <v/>
      </c>
      <c r="G9" s="22" t="str">
        <f>IF(NOT(ISBLANK('Curs, Seminar'!C13)),
IF('Curs, Seminar'!Z13,'Curs, Seminar'!Z13,
IF(F9=0,"n/p",
IF(AND(F9&gt;=$H$3,F9&lt;=$I$3),$J$3,
IF(AND(F9&gt;=$H$4,F9&lt;=$I$4),$J$4,
IF(AND(F9&gt;=$H$5,F9&lt;=$I$5),$J$5,
IF(AND(F9&gt;=$H$6,F9&lt;=$I$6),$J$6,
IF(AND(F9&gt;=$H$7,F9&lt;=$I$7),$J$7,
IF(AND(F9&gt;=$H$8,F9&lt;=$I$8),$J$8,
IF(AND(F9&gt;=$H$9,F9&lt;=$I$9),$J$9,
IF(AND(F9&gt;=$H$10,F9&lt;=$I$10),$J$10,
IF(AND(F9&gt;=$H$11,F9&lt;=$I$11),$J$11))))))))))),
"")</f>
        <v/>
      </c>
      <c r="H9" s="21">
        <v>22</v>
      </c>
      <c r="I9" s="21">
        <v>24</v>
      </c>
      <c r="J9" s="12">
        <v>8</v>
      </c>
      <c r="K9" s="29">
        <v>7</v>
      </c>
      <c r="L9" s="27">
        <f>COUNTIF($G$2:$G107,K9)</f>
        <v>0</v>
      </c>
      <c r="M9" s="8"/>
      <c r="N9" s="13"/>
      <c r="O9" s="13"/>
      <c r="P9" s="13"/>
    </row>
    <row r="10" spans="1:16" ht="18" x14ac:dyDescent="0.35">
      <c r="A10" s="30" t="str">
        <f>IF(NOT(ISBLANK('Curs, Seminar'!B14)),'Curs, Seminar'!B14,"")</f>
        <v/>
      </c>
      <c r="B10" s="31" t="str">
        <f>IF(NOT(ISBLANK('Curs, Seminar'!C14)),'Curs, Seminar'!C14,"")</f>
        <v/>
      </c>
      <c r="C10" s="10"/>
      <c r="D10" s="10"/>
      <c r="E10" s="10"/>
      <c r="F10" s="23" t="str">
        <f>IF(NOT(ISBLANK('Curs, Seminar'!C14)),
IF('Curs, Seminar'!Z14,"Eliberat",
ROUND(SUM(C10:E10),0)),
"")</f>
        <v/>
      </c>
      <c r="G10" s="22" t="str">
        <f>IF(NOT(ISBLANK('Curs, Seminar'!C14)),
IF('Curs, Seminar'!Z14,'Curs, Seminar'!Z14,
IF(F10=0,"n/p",
IF(AND(F10&gt;=$H$3,F10&lt;=$I$3),$J$3,
IF(AND(F10&gt;=$H$4,F10&lt;=$I$4),$J$4,
IF(AND(F10&gt;=$H$5,F10&lt;=$I$5),$J$5,
IF(AND(F10&gt;=$H$6,F10&lt;=$I$6),$J$6,
IF(AND(F10&gt;=$H$7,F10&lt;=$I$7),$J$7,
IF(AND(F10&gt;=$H$8,F10&lt;=$I$8),$J$8,
IF(AND(F10&gt;=$H$9,F10&lt;=$I$9),$J$9,
IF(AND(F10&gt;=$H$10,F10&lt;=$I$10),$J$10,
IF(AND(F10&gt;=$H$11,F10&lt;=$I$11),$J$11))))))))))),
"")</f>
        <v/>
      </c>
      <c r="H10" s="21">
        <v>25</v>
      </c>
      <c r="I10" s="21">
        <v>27</v>
      </c>
      <c r="J10" s="12">
        <v>9</v>
      </c>
      <c r="K10" s="29">
        <v>8</v>
      </c>
      <c r="L10" s="27">
        <f>COUNTIF($G$2:$G108,K10)</f>
        <v>0</v>
      </c>
      <c r="M10" s="8"/>
      <c r="N10" s="13"/>
      <c r="O10" s="13"/>
      <c r="P10" s="13"/>
    </row>
    <row r="11" spans="1:16" ht="18" x14ac:dyDescent="0.35">
      <c r="A11" s="30" t="str">
        <f>IF(NOT(ISBLANK('Curs, Seminar'!B15)),'Curs, Seminar'!B15,"")</f>
        <v/>
      </c>
      <c r="B11" s="31" t="str">
        <f>IF(NOT(ISBLANK('Curs, Seminar'!C15)),'Curs, Seminar'!C15,"")</f>
        <v/>
      </c>
      <c r="C11" s="10"/>
      <c r="D11" s="10"/>
      <c r="E11" s="10"/>
      <c r="F11" s="23" t="str">
        <f>IF(NOT(ISBLANK('Curs, Seminar'!C15)),
IF('Curs, Seminar'!Z15,"Eliberat",
ROUND(SUM(C11:E11),0)),
"")</f>
        <v/>
      </c>
      <c r="G11" s="22" t="str">
        <f>IF(NOT(ISBLANK('Curs, Seminar'!C15)),
IF('Curs, Seminar'!Z15,'Curs, Seminar'!Z15,
IF(F11=0,"n/p",
IF(AND(F11&gt;=$H$3,F11&lt;=$I$3),$J$3,
IF(AND(F11&gt;=$H$4,F11&lt;=$I$4),$J$4,
IF(AND(F11&gt;=$H$5,F11&lt;=$I$5),$J$5,
IF(AND(F11&gt;=$H$6,F11&lt;=$I$6),$J$6,
IF(AND(F11&gt;=$H$7,F11&lt;=$I$7),$J$7,
IF(AND(F11&gt;=$H$8,F11&lt;=$I$8),$J$8,
IF(AND(F11&gt;=$H$9,F11&lt;=$I$9),$J$9,
IF(AND(F11&gt;=$H$10,F11&lt;=$I$10),$J$10,
IF(AND(F11&gt;=$H$11,F11&lt;=$I$11),$J$11))))))))))),
"")</f>
        <v/>
      </c>
      <c r="H11" s="21">
        <v>28</v>
      </c>
      <c r="I11" s="21">
        <v>30</v>
      </c>
      <c r="J11" s="12">
        <v>10</v>
      </c>
      <c r="K11" s="29">
        <v>9</v>
      </c>
      <c r="L11" s="27">
        <f>COUNTIF($G$2:$G109,K11)</f>
        <v>0</v>
      </c>
      <c r="M11" s="8"/>
      <c r="N11" s="13"/>
      <c r="O11" s="13"/>
      <c r="P11" s="13"/>
    </row>
    <row r="12" spans="1:16" ht="18" x14ac:dyDescent="0.35">
      <c r="A12" s="30" t="str">
        <f>IF(NOT(ISBLANK('Curs, Seminar'!B16)),'Curs, Seminar'!B16,"")</f>
        <v/>
      </c>
      <c r="B12" s="31" t="str">
        <f>IF(NOT(ISBLANK('Curs, Seminar'!C16)),'Curs, Seminar'!C16,"")</f>
        <v/>
      </c>
      <c r="C12" s="10"/>
      <c r="D12" s="10"/>
      <c r="E12" s="10"/>
      <c r="F12" s="23" t="str">
        <f>IF(NOT(ISBLANK('Curs, Seminar'!C16)),
IF('Curs, Seminar'!Z16,"Eliberat",
ROUND(SUM(C12:E12),0)),
"")</f>
        <v/>
      </c>
      <c r="G12" s="22" t="str">
        <f>IF(NOT(ISBLANK('Curs, Seminar'!C16)),
IF('Curs, Seminar'!Z16,'Curs, Seminar'!Z16,
IF(F12=0,"n/p",
IF(AND(F12&gt;=$H$3,F12&lt;=$I$3),$J$3,
IF(AND(F12&gt;=$H$4,F12&lt;=$I$4),$J$4,
IF(AND(F12&gt;=$H$5,F12&lt;=$I$5),$J$5,
IF(AND(F12&gt;=$H$6,F12&lt;=$I$6),$J$6,
IF(AND(F12&gt;=$H$7,F12&lt;=$I$7),$J$7,
IF(AND(F12&gt;=$H$8,F12&lt;=$I$8),$J$8,
IF(AND(F12&gt;=$H$9,F12&lt;=$I$9),$J$9,
IF(AND(F12&gt;=$H$10,F12&lt;=$I$10),$J$10,
IF(AND(F12&gt;=$H$11,F12&lt;=$I$11),$J$11))))))))))),
"")</f>
        <v/>
      </c>
      <c r="H12" s="21"/>
      <c r="I12" s="21"/>
      <c r="J12" s="12"/>
      <c r="K12" s="29">
        <v>10</v>
      </c>
      <c r="L12" s="27">
        <f>COUNTIF($G$2:$G110,K12)</f>
        <v>0</v>
      </c>
      <c r="M12" s="8"/>
      <c r="N12" s="13"/>
      <c r="O12" s="13"/>
      <c r="P12" s="13"/>
    </row>
    <row r="13" spans="1:16" ht="18" x14ac:dyDescent="0.35">
      <c r="A13" s="30" t="str">
        <f>IF(NOT(ISBLANK('Curs, Seminar'!B17)),'Curs, Seminar'!B17,"")</f>
        <v/>
      </c>
      <c r="B13" s="31" t="str">
        <f>IF(NOT(ISBLANK('Curs, Seminar'!C17)),'Curs, Seminar'!C17,"")</f>
        <v/>
      </c>
      <c r="C13" s="10"/>
      <c r="D13" s="10"/>
      <c r="E13" s="10"/>
      <c r="F13" s="23" t="str">
        <f>IF(NOT(ISBLANK('Curs, Seminar'!C17)),
IF('Curs, Seminar'!Z17,"Eliberat",
ROUND(SUM(C13:E13),0)),
"")</f>
        <v/>
      </c>
      <c r="G13" s="22" t="str">
        <f>IF(NOT(ISBLANK('Curs, Seminar'!C17)),
IF('Curs, Seminar'!Z17,'Curs, Seminar'!Z17,
IF(F13=0,"n/p",
IF(AND(F13&gt;=$H$3,F13&lt;=$I$3),$J$3,
IF(AND(F13&gt;=$H$4,F13&lt;=$I$4),$J$4,
IF(AND(F13&gt;=$H$5,F13&lt;=$I$5),$J$5,
IF(AND(F13&gt;=$H$6,F13&lt;=$I$6),$J$6,
IF(AND(F13&gt;=$H$7,F13&lt;=$I$7),$J$7,
IF(AND(F13&gt;=$H$8,F13&lt;=$I$8),$J$8,
IF(AND(F13&gt;=$H$9,F13&lt;=$I$9),$J$9,
IF(AND(F13&gt;=$H$10,F13&lt;=$I$10),$J$10,
IF(AND(F13&gt;=$H$11,F13&lt;=$I$11),$J$11))))))))))),
"")</f>
        <v/>
      </c>
      <c r="H13" s="21"/>
      <c r="I13" s="21"/>
      <c r="J13" s="12"/>
      <c r="K13" s="29" t="s">
        <v>24</v>
      </c>
      <c r="L13" s="27">
        <f>COUNTIF($G$2:$G111,K13)</f>
        <v>1</v>
      </c>
      <c r="M13" s="8"/>
      <c r="N13" s="13"/>
      <c r="O13" s="16"/>
      <c r="P13" s="13"/>
    </row>
    <row r="14" spans="1:16" ht="18" x14ac:dyDescent="0.35">
      <c r="A14" s="30" t="str">
        <f>IF(NOT(ISBLANK('Curs, Seminar'!B18)),'Curs, Seminar'!B18,"")</f>
        <v/>
      </c>
      <c r="B14" s="31" t="str">
        <f>IF(NOT(ISBLANK('Curs, Seminar'!C18)),'Curs, Seminar'!C18,"")</f>
        <v/>
      </c>
      <c r="C14" s="10"/>
      <c r="D14" s="10"/>
      <c r="E14" s="10"/>
      <c r="F14" s="23" t="str">
        <f>IF(NOT(ISBLANK('Curs, Seminar'!C18)),
IF('Curs, Seminar'!Z18,"Eliberat",
ROUND(SUM(C14:E14),0)),
"")</f>
        <v/>
      </c>
      <c r="G14" s="22" t="str">
        <f>IF(NOT(ISBLANK('Curs, Seminar'!C18)),
IF('Curs, Seminar'!Z18,'Curs, Seminar'!Z18,
IF(F14=0,"n/p",
IF(AND(F14&gt;=$H$3,F14&lt;=$I$3),$J$3,
IF(AND(F14&gt;=$H$4,F14&lt;=$I$4),$J$4,
IF(AND(F14&gt;=$H$5,F14&lt;=$I$5),$J$5,
IF(AND(F14&gt;=$H$6,F14&lt;=$I$6),$J$6,
IF(AND(F14&gt;=$H$7,F14&lt;=$I$7),$J$7,
IF(AND(F14&gt;=$H$8,F14&lt;=$I$8),$J$8,
IF(AND(F14&gt;=$H$9,F14&lt;=$I$9),$J$9,
IF(AND(F14&gt;=$H$10,F14&lt;=$I$10),$J$10,
IF(AND(F14&gt;=$H$11,F14&lt;=$I$11),$J$11))))))))))),
"")</f>
        <v/>
      </c>
      <c r="H14" s="7"/>
      <c r="I14" s="14"/>
      <c r="J14" s="7"/>
      <c r="N14" s="15"/>
      <c r="O14" s="13"/>
      <c r="P14" s="16"/>
    </row>
    <row r="15" spans="1:16" ht="18" x14ac:dyDescent="0.35">
      <c r="A15" s="30" t="str">
        <f>IF(NOT(ISBLANK('Curs, Seminar'!B19)),'Curs, Seminar'!B19,"")</f>
        <v/>
      </c>
      <c r="B15" s="31" t="str">
        <f>IF(NOT(ISBLANK('Curs, Seminar'!C19)),'Curs, Seminar'!C19,"")</f>
        <v/>
      </c>
      <c r="C15" s="10"/>
      <c r="D15" s="10"/>
      <c r="E15" s="10"/>
      <c r="F15" s="23" t="str">
        <f>IF(NOT(ISBLANK('Curs, Seminar'!C19)),
IF('Curs, Seminar'!Z19,"Eliberat",
ROUND(SUM(C15:E15),0)),
"")</f>
        <v/>
      </c>
      <c r="G15" s="22" t="str">
        <f>IF(NOT(ISBLANK('Curs, Seminar'!C19)),
IF('Curs, Seminar'!Z19,'Curs, Seminar'!Z19,
IF(F15=0,"n/p",
IF(AND(F15&gt;=$H$3,F15&lt;=$I$3),$J$3,
IF(AND(F15&gt;=$H$4,F15&lt;=$I$4),$J$4,
IF(AND(F15&gt;=$H$5,F15&lt;=$I$5),$J$5,
IF(AND(F15&gt;=$H$6,F15&lt;=$I$6),$J$6,
IF(AND(F15&gt;=$H$7,F15&lt;=$I$7),$J$7,
IF(AND(F15&gt;=$H$8,F15&lt;=$I$8),$J$8,
IF(AND(F15&gt;=$H$9,F15&lt;=$I$9),$J$9,
IF(AND(F15&gt;=$H$10,F15&lt;=$I$10),$J$10,
IF(AND(F15&gt;=$H$11,F15&lt;=$I$11),$J$11))))))))))),
"")</f>
        <v/>
      </c>
      <c r="H15" s="7"/>
      <c r="I15" s="14"/>
      <c r="J15" s="7"/>
      <c r="K15" s="1"/>
      <c r="N15" s="17"/>
    </row>
    <row r="16" spans="1:16" ht="18" x14ac:dyDescent="0.35">
      <c r="A16" s="30" t="str">
        <f>IF(NOT(ISBLANK('Curs, Seminar'!B20)),'Curs, Seminar'!B20,"")</f>
        <v/>
      </c>
      <c r="B16" s="31" t="str">
        <f>IF(NOT(ISBLANK('Curs, Seminar'!C20)),'Curs, Seminar'!C20,"")</f>
        <v/>
      </c>
      <c r="C16" s="10"/>
      <c r="D16" s="10"/>
      <c r="E16" s="10"/>
      <c r="F16" s="23" t="str">
        <f>IF(NOT(ISBLANK('Curs, Seminar'!C20)),
IF('Curs, Seminar'!Z20,"Eliberat",
ROUND(SUM(C16:E16),0)),
"")</f>
        <v/>
      </c>
      <c r="G16" s="22" t="str">
        <f>IF(NOT(ISBLANK('Curs, Seminar'!C20)),
IF('Curs, Seminar'!Z20,'Curs, Seminar'!Z20,
IF(F16=0,"n/p",
IF(AND(F16&gt;=$H$3,F16&lt;=$I$3),$J$3,
IF(AND(F16&gt;=$H$4,F16&lt;=$I$4),$J$4,
IF(AND(F16&gt;=$H$5,F16&lt;=$I$5),$J$5,
IF(AND(F16&gt;=$H$6,F16&lt;=$I$6),$J$6,
IF(AND(F16&gt;=$H$7,F16&lt;=$I$7),$J$7,
IF(AND(F16&gt;=$H$8,F16&lt;=$I$8),$J$8,
IF(AND(F16&gt;=$H$9,F16&lt;=$I$9),$J$9,
IF(AND(F16&gt;=$H$10,F16&lt;=$I$10),$J$10,
IF(AND(F16&gt;=$H$11,F16&lt;=$I$11),$J$11))))))))))),
"")</f>
        <v/>
      </c>
      <c r="H16" s="7"/>
      <c r="I16" s="14"/>
      <c r="J16" s="7"/>
      <c r="K16" s="1"/>
      <c r="N16" s="17"/>
    </row>
    <row r="17" spans="1:16" ht="18" x14ac:dyDescent="0.35">
      <c r="A17" s="30" t="str">
        <f>IF(NOT(ISBLANK('Curs, Seminar'!B21)),'Curs, Seminar'!B21,"")</f>
        <v/>
      </c>
      <c r="B17" s="31" t="str">
        <f>IF(NOT(ISBLANK('Curs, Seminar'!C21)),'Curs, Seminar'!C21,"")</f>
        <v/>
      </c>
      <c r="C17" s="10"/>
      <c r="D17" s="10"/>
      <c r="E17" s="10"/>
      <c r="F17" s="23" t="str">
        <f>IF(NOT(ISBLANK('Curs, Seminar'!C21)),
IF('Curs, Seminar'!Z21,"Eliberat",
ROUND(SUM(C17:E17),0)),
"")</f>
        <v/>
      </c>
      <c r="G17" s="22" t="str">
        <f>IF(NOT(ISBLANK('Curs, Seminar'!C21)),
IF('Curs, Seminar'!Z21,'Curs, Seminar'!Z21,
IF(F17=0,"n/p",
IF(AND(F17&gt;=$H$3,F17&lt;=$I$3),$J$3,
IF(AND(F17&gt;=$H$4,F17&lt;=$I$4),$J$4,
IF(AND(F17&gt;=$H$5,F17&lt;=$I$5),$J$5,
IF(AND(F17&gt;=$H$6,F17&lt;=$I$6),$J$6,
IF(AND(F17&gt;=$H$7,F17&lt;=$I$7),$J$7,
IF(AND(F17&gt;=$H$8,F17&lt;=$I$8),$J$8,
IF(AND(F17&gt;=$H$9,F17&lt;=$I$9),$J$9,
IF(AND(F17&gt;=$H$10,F17&lt;=$I$10),$J$10,
IF(AND(F17&gt;=$H$11,F17&lt;=$I$11),$J$11))))))))))),
"")</f>
        <v/>
      </c>
      <c r="H17" s="7"/>
      <c r="I17" s="14"/>
      <c r="J17" s="7"/>
      <c r="K17" s="1"/>
      <c r="N17" s="17"/>
    </row>
    <row r="18" spans="1:16" ht="18" x14ac:dyDescent="0.35">
      <c r="A18" s="30" t="str">
        <f>IF(NOT(ISBLANK('Curs, Seminar'!B22)),'Curs, Seminar'!B22,"")</f>
        <v/>
      </c>
      <c r="B18" s="31" t="str">
        <f>IF(NOT(ISBLANK('Curs, Seminar'!C22)),'Curs, Seminar'!C22,"")</f>
        <v/>
      </c>
      <c r="C18" s="10"/>
      <c r="D18" s="10"/>
      <c r="E18" s="10"/>
      <c r="F18" s="23" t="str">
        <f>IF(NOT(ISBLANK('Curs, Seminar'!C22)),
IF('Curs, Seminar'!Z22,"Eliberat",
ROUND(SUM(C18:E18),0)),
"")</f>
        <v/>
      </c>
      <c r="G18" s="22" t="str">
        <f>IF(NOT(ISBLANK('Curs, Seminar'!C22)),
IF('Curs, Seminar'!Z22,'Curs, Seminar'!Z22,
IF(F18=0,"n/p",
IF(AND(F18&gt;=$H$3,F18&lt;=$I$3),$J$3,
IF(AND(F18&gt;=$H$4,F18&lt;=$I$4),$J$4,
IF(AND(F18&gt;=$H$5,F18&lt;=$I$5),$J$5,
IF(AND(F18&gt;=$H$6,F18&lt;=$I$6),$J$6,
IF(AND(F18&gt;=$H$7,F18&lt;=$I$7),$J$7,
IF(AND(F18&gt;=$H$8,F18&lt;=$I$8),$J$8,
IF(AND(F18&gt;=$H$9,F18&lt;=$I$9),$J$9,
IF(AND(F18&gt;=$H$10,F18&lt;=$I$10),$J$10,
IF(AND(F18&gt;=$H$11,F18&lt;=$I$11),$J$11))))))))))),
"")</f>
        <v/>
      </c>
      <c r="H18" s="7"/>
      <c r="I18" s="14"/>
      <c r="J18" s="7"/>
      <c r="K18" s="1"/>
      <c r="N18" s="17"/>
    </row>
    <row r="19" spans="1:16" ht="18" x14ac:dyDescent="0.35">
      <c r="A19" s="30" t="str">
        <f>IF(NOT(ISBLANK('Curs, Seminar'!B23)),'Curs, Seminar'!B23,"")</f>
        <v/>
      </c>
      <c r="B19" s="31" t="str">
        <f>IF(NOT(ISBLANK('Curs, Seminar'!C23)),'Curs, Seminar'!C23,"")</f>
        <v/>
      </c>
      <c r="C19" s="10"/>
      <c r="D19" s="10"/>
      <c r="E19" s="10"/>
      <c r="F19" s="23" t="str">
        <f>IF(NOT(ISBLANK('Curs, Seminar'!C23)),
IF('Curs, Seminar'!Z23,"Eliberat",
ROUND(SUM(C19:E19),0)),
"")</f>
        <v/>
      </c>
      <c r="G19" s="22" t="str">
        <f>IF(NOT(ISBLANK('Curs, Seminar'!C23)),
IF('Curs, Seminar'!Z23,'Curs, Seminar'!Z23,
IF(F19=0,"n/p",
IF(AND(F19&gt;=$H$3,F19&lt;=$I$3),$J$3,
IF(AND(F19&gt;=$H$4,F19&lt;=$I$4),$J$4,
IF(AND(F19&gt;=$H$5,F19&lt;=$I$5),$J$5,
IF(AND(F19&gt;=$H$6,F19&lt;=$I$6),$J$6,
IF(AND(F19&gt;=$H$7,F19&lt;=$I$7),$J$7,
IF(AND(F19&gt;=$H$8,F19&lt;=$I$8),$J$8,
IF(AND(F19&gt;=$H$9,F19&lt;=$I$9),$J$9,
IF(AND(F19&gt;=$H$10,F19&lt;=$I$10),$J$10,
IF(AND(F19&gt;=$H$11,F19&lt;=$I$11),$J$11))))))))))),
"")</f>
        <v/>
      </c>
      <c r="H19" s="7"/>
      <c r="I19" s="14"/>
      <c r="J19" s="7"/>
      <c r="K19" s="1"/>
      <c r="N19" s="17"/>
    </row>
    <row r="20" spans="1:16" ht="18" x14ac:dyDescent="0.35">
      <c r="A20" s="30" t="str">
        <f>IF(NOT(ISBLANK('Curs, Seminar'!B24)),'Curs, Seminar'!B24,"")</f>
        <v/>
      </c>
      <c r="B20" s="31" t="str">
        <f>IF(NOT(ISBLANK('Curs, Seminar'!C24)),'Curs, Seminar'!C24,"")</f>
        <v/>
      </c>
      <c r="C20" s="10"/>
      <c r="D20" s="10"/>
      <c r="E20" s="10"/>
      <c r="F20" s="23" t="str">
        <f>IF(NOT(ISBLANK('Curs, Seminar'!C24)),
IF('Curs, Seminar'!Z24,"Eliberat",
ROUND(SUM(C20:E20),0)),
"")</f>
        <v/>
      </c>
      <c r="G20" s="22" t="str">
        <f>IF(NOT(ISBLANK('Curs, Seminar'!C24)),
IF('Curs, Seminar'!Z24,'Curs, Seminar'!Z24,
IF(F20=0,"n/p",
IF(AND(F20&gt;=$H$3,F20&lt;=$I$3),$J$3,
IF(AND(F20&gt;=$H$4,F20&lt;=$I$4),$J$4,
IF(AND(F20&gt;=$H$5,F20&lt;=$I$5),$J$5,
IF(AND(F20&gt;=$H$6,F20&lt;=$I$6),$J$6,
IF(AND(F20&gt;=$H$7,F20&lt;=$I$7),$J$7,
IF(AND(F20&gt;=$H$8,F20&lt;=$I$8),$J$8,
IF(AND(F20&gt;=$H$9,F20&lt;=$I$9),$J$9,
IF(AND(F20&gt;=$H$10,F20&lt;=$I$10),$J$10,
IF(AND(F20&gt;=$H$11,F20&lt;=$I$11),$J$11))))))))))),
"")</f>
        <v/>
      </c>
      <c r="H20" s="7"/>
      <c r="I20" s="14"/>
      <c r="J20" s="7"/>
      <c r="K20" s="1"/>
      <c r="N20" s="17"/>
    </row>
    <row r="21" spans="1:16" ht="18" x14ac:dyDescent="0.35">
      <c r="A21" s="30" t="str">
        <f>IF(NOT(ISBLANK('Curs, Seminar'!B25)),'Curs, Seminar'!B25,"")</f>
        <v/>
      </c>
      <c r="B21" s="31" t="str">
        <f>IF(NOT(ISBLANK('Curs, Seminar'!C25)),'Curs, Seminar'!C25,"")</f>
        <v/>
      </c>
      <c r="C21" s="10"/>
      <c r="D21" s="10"/>
      <c r="E21" s="10"/>
      <c r="F21" s="23" t="str">
        <f>IF(NOT(ISBLANK('Curs, Seminar'!C25)),
IF('Curs, Seminar'!Z25,"Eliberat",
ROUND(SUM(C21:E21),0)),
"")</f>
        <v/>
      </c>
      <c r="G21" s="22" t="str">
        <f>IF(NOT(ISBLANK('Curs, Seminar'!C25)),
IF('Curs, Seminar'!Z25,'Curs, Seminar'!Z25,
IF(F21=0,"n/p",
IF(AND(F21&gt;=$H$3,F21&lt;=$I$3),$J$3,
IF(AND(F21&gt;=$H$4,F21&lt;=$I$4),$J$4,
IF(AND(F21&gt;=$H$5,F21&lt;=$I$5),$J$5,
IF(AND(F21&gt;=$H$6,F21&lt;=$I$6),$J$6,
IF(AND(F21&gt;=$H$7,F21&lt;=$I$7),$J$7,
IF(AND(F21&gt;=$H$8,F21&lt;=$I$8),$J$8,
IF(AND(F21&gt;=$H$9,F21&lt;=$I$9),$J$9,
IF(AND(F21&gt;=$H$10,F21&lt;=$I$10),$J$10,
IF(AND(F21&gt;=$H$11,F21&lt;=$I$11),$J$11))))))))))),
"")</f>
        <v/>
      </c>
      <c r="H21" s="7"/>
      <c r="I21" s="14"/>
      <c r="J21" s="7"/>
      <c r="K21" s="1"/>
      <c r="N21" s="17"/>
    </row>
    <row r="22" spans="1:16" ht="18" x14ac:dyDescent="0.35">
      <c r="A22" s="30" t="str">
        <f>IF(NOT(ISBLANK('Curs, Seminar'!B26)),'Curs, Seminar'!B26,"")</f>
        <v/>
      </c>
      <c r="B22" s="31" t="str">
        <f>IF(NOT(ISBLANK('Curs, Seminar'!C26)),'Curs, Seminar'!C26,"")</f>
        <v/>
      </c>
      <c r="C22" s="10"/>
      <c r="D22" s="10"/>
      <c r="E22" s="10"/>
      <c r="F22" s="23" t="str">
        <f>IF(NOT(ISBLANK('Curs, Seminar'!C26)),
IF('Curs, Seminar'!Z26,"Eliberat",
ROUND(SUM(C22:E22),0)),
"")</f>
        <v/>
      </c>
      <c r="G22" s="22" t="str">
        <f>IF(NOT(ISBLANK('Curs, Seminar'!C26)),
IF('Curs, Seminar'!Z26,'Curs, Seminar'!Z26,
IF(F22=0,"n/p",
IF(AND(F22&gt;=$H$3,F22&lt;=$I$3),$J$3,
IF(AND(F22&gt;=$H$4,F22&lt;=$I$4),$J$4,
IF(AND(F22&gt;=$H$5,F22&lt;=$I$5),$J$5,
IF(AND(F22&gt;=$H$6,F22&lt;=$I$6),$J$6,
IF(AND(F22&gt;=$H$7,F22&lt;=$I$7),$J$7,
IF(AND(F22&gt;=$H$8,F22&lt;=$I$8),$J$8,
IF(AND(F22&gt;=$H$9,F22&lt;=$I$9),$J$9,
IF(AND(F22&gt;=$H$10,F22&lt;=$I$10),$J$10,
IF(AND(F22&gt;=$H$11,F22&lt;=$I$11),$J$11))))))))))),
"")</f>
        <v/>
      </c>
      <c r="H22" s="7"/>
      <c r="I22" s="14"/>
      <c r="J22" s="7"/>
      <c r="K22" s="1"/>
      <c r="N22" s="17"/>
    </row>
    <row r="23" spans="1:16" ht="18" x14ac:dyDescent="0.35">
      <c r="A23" s="30" t="str">
        <f>IF(NOT(ISBLANK('Curs, Seminar'!B27)),'Curs, Seminar'!B27,"")</f>
        <v/>
      </c>
      <c r="B23" s="31" t="str">
        <f>IF(NOT(ISBLANK('Curs, Seminar'!C27)),'Curs, Seminar'!C27,"")</f>
        <v/>
      </c>
      <c r="C23" s="10"/>
      <c r="D23" s="10"/>
      <c r="E23" s="10"/>
      <c r="F23" s="23" t="str">
        <f>IF(NOT(ISBLANK('Curs, Seminar'!C27)),
IF('Curs, Seminar'!Z27,"Eliberat",
ROUND(SUM(C23:E23),0)),
"")</f>
        <v/>
      </c>
      <c r="G23" s="22" t="str">
        <f>IF(NOT(ISBLANK('Curs, Seminar'!C27)),
IF('Curs, Seminar'!Z27,'Curs, Seminar'!Z27,
IF(F23=0,"n/p",
IF(AND(F23&gt;=$H$3,F23&lt;=$I$3),$J$3,
IF(AND(F23&gt;=$H$4,F23&lt;=$I$4),$J$4,
IF(AND(F23&gt;=$H$5,F23&lt;=$I$5),$J$5,
IF(AND(F23&gt;=$H$6,F23&lt;=$I$6),$J$6,
IF(AND(F23&gt;=$H$7,F23&lt;=$I$7),$J$7,
IF(AND(F23&gt;=$H$8,F23&lt;=$I$8),$J$8,
IF(AND(F23&gt;=$H$9,F23&lt;=$I$9),$J$9,
IF(AND(F23&gt;=$H$10,F23&lt;=$I$10),$J$10,
IF(AND(F23&gt;=$H$11,F23&lt;=$I$11),$J$11))))))))))),
"")</f>
        <v/>
      </c>
      <c r="H23" s="7"/>
      <c r="I23" s="14"/>
      <c r="J23" s="7"/>
      <c r="K23" s="1"/>
      <c r="N23" s="17"/>
    </row>
    <row r="24" spans="1:16" ht="18" x14ac:dyDescent="0.35">
      <c r="A24" s="30" t="str">
        <f>IF(NOT(ISBLANK('Curs, Seminar'!B28)),'Curs, Seminar'!B28,"")</f>
        <v/>
      </c>
      <c r="B24" s="31" t="str">
        <f>IF(NOT(ISBLANK('Curs, Seminar'!C28)),'Curs, Seminar'!C28,"")</f>
        <v/>
      </c>
      <c r="C24" s="10"/>
      <c r="D24" s="10"/>
      <c r="E24" s="10"/>
      <c r="F24" s="23" t="str">
        <f>IF(NOT(ISBLANK('Curs, Seminar'!C28)),
IF('Curs, Seminar'!Z28,"Eliberat",
ROUND(SUM(C24:E24),0)),
"")</f>
        <v/>
      </c>
      <c r="G24" s="22" t="str">
        <f>IF(NOT(ISBLANK('Curs, Seminar'!C28)),
IF('Curs, Seminar'!Z28,'Curs, Seminar'!Z28,
IF(F24=0,"n/p",
IF(AND(F24&gt;=$H$3,F24&lt;=$I$3),$J$3,
IF(AND(F24&gt;=$H$4,F24&lt;=$I$4),$J$4,
IF(AND(F24&gt;=$H$5,F24&lt;=$I$5),$J$5,
IF(AND(F24&gt;=$H$6,F24&lt;=$I$6),$J$6,
IF(AND(F24&gt;=$H$7,F24&lt;=$I$7),$J$7,
IF(AND(F24&gt;=$H$8,F24&lt;=$I$8),$J$8,
IF(AND(F24&gt;=$H$9,F24&lt;=$I$9),$J$9,
IF(AND(F24&gt;=$H$10,F24&lt;=$I$10),$J$10,
IF(AND(F24&gt;=$H$11,F24&lt;=$I$11),$J$11))))))))))),
"")</f>
        <v/>
      </c>
      <c r="H24" s="7"/>
      <c r="I24" s="14"/>
      <c r="J24" s="7"/>
      <c r="K24" s="1"/>
      <c r="N24" s="17"/>
    </row>
    <row r="25" spans="1:16" ht="18" x14ac:dyDescent="0.35">
      <c r="A25" s="30" t="str">
        <f>IF(NOT(ISBLANK('Curs, Seminar'!B29)),'Curs, Seminar'!B29,"")</f>
        <v/>
      </c>
      <c r="B25" s="31" t="str">
        <f>IF(NOT(ISBLANK('Curs, Seminar'!C29)),'Curs, Seminar'!C29,"")</f>
        <v/>
      </c>
      <c r="C25" s="10"/>
      <c r="D25" s="10"/>
      <c r="E25" s="10"/>
      <c r="F25" s="23" t="str">
        <f>IF(NOT(ISBLANK('Curs, Seminar'!C29)),
IF('Curs, Seminar'!Z29,"Eliberat",
ROUND(SUM(C25:E25),0)),
"")</f>
        <v/>
      </c>
      <c r="G25" s="22" t="str">
        <f>IF(NOT(ISBLANK('Curs, Seminar'!C29)),
IF('Curs, Seminar'!Z29,'Curs, Seminar'!Z29,
IF(F25=0,"n/p",
IF(AND(F25&gt;=$H$3,F25&lt;=$I$3),$J$3,
IF(AND(F25&gt;=$H$4,F25&lt;=$I$4),$J$4,
IF(AND(F25&gt;=$H$5,F25&lt;=$I$5),$J$5,
IF(AND(F25&gt;=$H$6,F25&lt;=$I$6),$J$6,
IF(AND(F25&gt;=$H$7,F25&lt;=$I$7),$J$7,
IF(AND(F25&gt;=$H$8,F25&lt;=$I$8),$J$8,
IF(AND(F25&gt;=$H$9,F25&lt;=$I$9),$J$9,
IF(AND(F25&gt;=$H$10,F25&lt;=$I$10),$J$10,
IF(AND(F25&gt;=$H$11,F25&lt;=$I$11),$J$11))))))))))),
"")</f>
        <v/>
      </c>
      <c r="H25" s="7"/>
      <c r="I25" s="14"/>
      <c r="J25" s="7"/>
      <c r="K25" s="1"/>
      <c r="N25" s="17"/>
    </row>
    <row r="26" spans="1:16" ht="18" x14ac:dyDescent="0.35">
      <c r="A26" s="30" t="str">
        <f>IF(NOT(ISBLANK('Curs, Seminar'!B30)),'Curs, Seminar'!B30,"")</f>
        <v/>
      </c>
      <c r="B26" s="31" t="str">
        <f>IF(NOT(ISBLANK('Curs, Seminar'!C30)),'Curs, Seminar'!C30,"")</f>
        <v/>
      </c>
      <c r="C26" s="10"/>
      <c r="D26" s="10"/>
      <c r="E26" s="10"/>
      <c r="F26" s="23" t="str">
        <f>IF(NOT(ISBLANK('Curs, Seminar'!C30)),
IF('Curs, Seminar'!Z30,"Eliberat",
ROUND(SUM(C26:E26),0)),
"")</f>
        <v/>
      </c>
      <c r="G26" s="22" t="str">
        <f>IF(NOT(ISBLANK('Curs, Seminar'!C30)),
IF('Curs, Seminar'!Z30,'Curs, Seminar'!Z30,
IF(F26=0,"n/p",
IF(AND(F26&gt;=$H$3,F26&lt;=$I$3),$J$3,
IF(AND(F26&gt;=$H$4,F26&lt;=$I$4),$J$4,
IF(AND(F26&gt;=$H$5,F26&lt;=$I$5),$J$5,
IF(AND(F26&gt;=$H$6,F26&lt;=$I$6),$J$6,
IF(AND(F26&gt;=$H$7,F26&lt;=$I$7),$J$7,
IF(AND(F26&gt;=$H$8,F26&lt;=$I$8),$J$8,
IF(AND(F26&gt;=$H$9,F26&lt;=$I$9),$J$9,
IF(AND(F26&gt;=$H$10,F26&lt;=$I$10),$J$10,
IF(AND(F26&gt;=$H$11,F26&lt;=$I$11),$J$11))))))))))),
"")</f>
        <v/>
      </c>
      <c r="H26" s="7"/>
      <c r="I26" s="14"/>
      <c r="J26" s="7"/>
      <c r="K26" s="1"/>
      <c r="N26" s="17"/>
    </row>
    <row r="27" spans="1:16" ht="18" x14ac:dyDescent="0.35">
      <c r="A27" s="30" t="str">
        <f>IF(NOT(ISBLANK('Curs, Seminar'!B31)),'Curs, Seminar'!B31,"")</f>
        <v/>
      </c>
      <c r="B27" s="31" t="str">
        <f>IF(NOT(ISBLANK('Curs, Seminar'!C31)),'Curs, Seminar'!C31,"")</f>
        <v/>
      </c>
      <c r="C27" s="10"/>
      <c r="D27" s="10"/>
      <c r="E27" s="10"/>
      <c r="F27" s="23" t="str">
        <f>IF(NOT(ISBLANK('Curs, Seminar'!C31)),
IF('Curs, Seminar'!Z31,"Eliberat",
ROUND(SUM(C27:E27),0)),
"")</f>
        <v/>
      </c>
      <c r="G27" s="22" t="str">
        <f>IF(NOT(ISBLANK('Curs, Seminar'!C31)),
IF('Curs, Seminar'!Z31,'Curs, Seminar'!Z31,
IF(F27=0,"n/p",
IF(AND(F27&gt;=$H$3,F27&lt;=$I$3),$J$3,
IF(AND(F27&gt;=$H$4,F27&lt;=$I$4),$J$4,
IF(AND(F27&gt;=$H$5,F27&lt;=$I$5),$J$5,
IF(AND(F27&gt;=$H$6,F27&lt;=$I$6),$J$6,
IF(AND(F27&gt;=$H$7,F27&lt;=$I$7),$J$7,
IF(AND(F27&gt;=$H$8,F27&lt;=$I$8),$J$8,
IF(AND(F27&gt;=$H$9,F27&lt;=$I$9),$J$9,
IF(AND(F27&gt;=$H$10,F27&lt;=$I$10),$J$10,
IF(AND(F27&gt;=$H$11,F27&lt;=$I$11),$J$11))))))))))),
"")</f>
        <v/>
      </c>
      <c r="H27" s="10"/>
      <c r="I27" s="10"/>
      <c r="J27" s="10"/>
      <c r="K27" s="11"/>
      <c r="L27" s="22"/>
      <c r="M27" s="7"/>
      <c r="N27" s="14"/>
      <c r="O27" s="7"/>
      <c r="P27" s="1"/>
    </row>
    <row r="28" spans="1:16" ht="18" x14ac:dyDescent="0.35">
      <c r="A28" s="30" t="str">
        <f>IF(NOT(ISBLANK('Curs, Seminar'!B32)),'Curs, Seminar'!B32,"")</f>
        <v/>
      </c>
      <c r="B28" s="31" t="str">
        <f>IF(NOT(ISBLANK('Curs, Seminar'!C32)),'Curs, Seminar'!C32,"")</f>
        <v/>
      </c>
      <c r="C28" s="10"/>
      <c r="D28" s="10"/>
      <c r="E28" s="10"/>
      <c r="F28" s="23" t="str">
        <f>IF(NOT(ISBLANK('Curs, Seminar'!C32)),
IF('Curs, Seminar'!Z32,"Eliberat",
ROUND(SUM(C28:E28),0)),
"")</f>
        <v/>
      </c>
      <c r="G28" s="22" t="str">
        <f>IF(NOT(ISBLANK('Curs, Seminar'!C32)),
IF('Curs, Seminar'!Z32,'Curs, Seminar'!Z32,
IF(F28=0,"n/p",
IF(AND(F28&gt;=$H$3,F28&lt;=$I$3),$J$3,
IF(AND(F28&gt;=$H$4,F28&lt;=$I$4),$J$4,
IF(AND(F28&gt;=$H$5,F28&lt;=$I$5),$J$5,
IF(AND(F28&gt;=$H$6,F28&lt;=$I$6),$J$6,
IF(AND(F28&gt;=$H$7,F28&lt;=$I$7),$J$7,
IF(AND(F28&gt;=$H$8,F28&lt;=$I$8),$J$8,
IF(AND(F28&gt;=$H$9,F28&lt;=$I$9),$J$9,
IF(AND(F28&gt;=$H$10,F28&lt;=$I$10),$J$10,
IF(AND(F28&gt;=$H$11,F28&lt;=$I$11),$J$11))))))))))),
"")</f>
        <v/>
      </c>
    </row>
    <row r="29" spans="1:16" ht="18" x14ac:dyDescent="0.35">
      <c r="A29" s="30" t="str">
        <f>IF(NOT(ISBLANK('Curs, Seminar'!B33)),'Curs, Seminar'!B33,"")</f>
        <v/>
      </c>
      <c r="B29" s="31" t="str">
        <f>IF(NOT(ISBLANK('Curs, Seminar'!C33)),'Curs, Seminar'!C33,"")</f>
        <v/>
      </c>
      <c r="C29" s="10"/>
      <c r="D29" s="10"/>
      <c r="E29" s="10"/>
      <c r="F29" s="23" t="str">
        <f>IF(NOT(ISBLANK('Curs, Seminar'!C33)),
IF('Curs, Seminar'!Z33,"Eliberat",
ROUND(SUM(C29:E29),0)),
"")</f>
        <v/>
      </c>
      <c r="G29" s="22" t="str">
        <f>IF(NOT(ISBLANK('Curs, Seminar'!C33)),
IF('Curs, Seminar'!Z33,'Curs, Seminar'!Z33,
IF(F29=0,"n/p",
IF(AND(F29&gt;=$H$3,F29&lt;=$I$3),$J$3,
IF(AND(F29&gt;=$H$4,F29&lt;=$I$4),$J$4,
IF(AND(F29&gt;=$H$5,F29&lt;=$I$5),$J$5,
IF(AND(F29&gt;=$H$6,F29&lt;=$I$6),$J$6,
IF(AND(F29&gt;=$H$7,F29&lt;=$I$7),$J$7,
IF(AND(F29&gt;=$H$8,F29&lt;=$I$8),$J$8,
IF(AND(F29&gt;=$H$9,F29&lt;=$I$9),$J$9,
IF(AND(F29&gt;=$H$10,F29&lt;=$I$10),$J$10,
IF(AND(F29&gt;=$H$11,F29&lt;=$I$11),$J$11))))))))))),
"")</f>
        <v/>
      </c>
    </row>
    <row r="30" spans="1:16" ht="18" x14ac:dyDescent="0.35">
      <c r="A30" s="30" t="str">
        <f>IF(NOT(ISBLANK('Curs, Seminar'!B34)),'Curs, Seminar'!B34,"")</f>
        <v/>
      </c>
      <c r="B30" s="31" t="str">
        <f>IF(NOT(ISBLANK('Curs, Seminar'!C34)),'Curs, Seminar'!C34,"")</f>
        <v/>
      </c>
      <c r="C30" s="10"/>
      <c r="D30" s="10"/>
      <c r="E30" s="10"/>
      <c r="F30" s="23" t="str">
        <f>IF(NOT(ISBLANK('Curs, Seminar'!C34)),
IF('Curs, Seminar'!Z34,"Eliberat",
ROUND(SUM(C30:E30),0)),
"")</f>
        <v/>
      </c>
      <c r="G30" s="22" t="str">
        <f>IF(NOT(ISBLANK('Curs, Seminar'!C34)),
IF('Curs, Seminar'!Z34,'Curs, Seminar'!Z34,
IF(F30=0,"n/p",
IF(AND(F30&gt;=$H$3,F30&lt;=$I$3),$J$3,
IF(AND(F30&gt;=$H$4,F30&lt;=$I$4),$J$4,
IF(AND(F30&gt;=$H$5,F30&lt;=$I$5),$J$5,
IF(AND(F30&gt;=$H$6,F30&lt;=$I$6),$J$6,
IF(AND(F30&gt;=$H$7,F30&lt;=$I$7),$J$7,
IF(AND(F30&gt;=$H$8,F30&lt;=$I$8),$J$8,
IF(AND(F30&gt;=$H$9,F30&lt;=$I$9),$J$9,
IF(AND(F30&gt;=$H$10,F30&lt;=$I$10),$J$10,
IF(AND(F30&gt;=$H$11,F30&lt;=$I$11),$J$11))))))))))),
"")</f>
        <v/>
      </c>
    </row>
    <row r="31" spans="1:16" ht="18" x14ac:dyDescent="0.35">
      <c r="A31" s="30" t="str">
        <f>IF(NOT(ISBLANK('Curs, Seminar'!B35)),'Curs, Seminar'!B35,"")</f>
        <v/>
      </c>
      <c r="B31" s="31" t="str">
        <f>IF(NOT(ISBLANK('Curs, Seminar'!C35)),'Curs, Seminar'!C35,"")</f>
        <v/>
      </c>
      <c r="C31" s="10"/>
      <c r="D31" s="10"/>
      <c r="E31" s="10"/>
      <c r="F31" s="23" t="str">
        <f>IF(NOT(ISBLANK('Curs, Seminar'!C35)),
IF('Curs, Seminar'!Z35,"Eliberat",
ROUND(SUM(C31:E31),0)),
"")</f>
        <v/>
      </c>
      <c r="G31" s="22" t="str">
        <f>IF(NOT(ISBLANK('Curs, Seminar'!C35)),
IF('Curs, Seminar'!Z35,'Curs, Seminar'!Z35,
IF(F31=0,"n/p",
IF(AND(F31&gt;=$H$3,F31&lt;=$I$3),$J$3,
IF(AND(F31&gt;=$H$4,F31&lt;=$I$4),$J$4,
IF(AND(F31&gt;=$H$5,F31&lt;=$I$5),$J$5,
IF(AND(F31&gt;=$H$6,F31&lt;=$I$6),$J$6,
IF(AND(F31&gt;=$H$7,F31&lt;=$I$7),$J$7,
IF(AND(F31&gt;=$H$8,F31&lt;=$I$8),$J$8,
IF(AND(F31&gt;=$H$9,F31&lt;=$I$9),$J$9,
IF(AND(F31&gt;=$H$10,F31&lt;=$I$10),$J$10,
IF(AND(F31&gt;=$H$11,F31&lt;=$I$11),$J$11))))))))))),
"")</f>
        <v/>
      </c>
    </row>
    <row r="32" spans="1:16" ht="18" x14ac:dyDescent="0.35">
      <c r="A32" s="30" t="str">
        <f>IF(NOT(ISBLANK('Curs, Seminar'!B36)),'Curs, Seminar'!B36,"")</f>
        <v/>
      </c>
      <c r="B32" s="31" t="str">
        <f>IF(NOT(ISBLANK('Curs, Seminar'!C36)),'Curs, Seminar'!C36,"")</f>
        <v/>
      </c>
      <c r="C32" s="10"/>
      <c r="D32" s="10"/>
      <c r="E32" s="10"/>
      <c r="F32" s="23" t="str">
        <f>IF(NOT(ISBLANK('Curs, Seminar'!C36)),
IF('Curs, Seminar'!Z36,"Eliberat",
ROUND(SUM(C32:E32),0)),
"")</f>
        <v/>
      </c>
      <c r="G32" s="22" t="str">
        <f>IF(NOT(ISBLANK('Curs, Seminar'!C36)),
IF('Curs, Seminar'!Z36,'Curs, Seminar'!Z36,
IF(F32=0,"n/p",
IF(AND(F32&gt;=$H$3,F32&lt;=$I$3),$J$3,
IF(AND(F32&gt;=$H$4,F32&lt;=$I$4),$J$4,
IF(AND(F32&gt;=$H$5,F32&lt;=$I$5),$J$5,
IF(AND(F32&gt;=$H$6,F32&lt;=$I$6),$J$6,
IF(AND(F32&gt;=$H$7,F32&lt;=$I$7),$J$7,
IF(AND(F32&gt;=$H$8,F32&lt;=$I$8),$J$8,
IF(AND(F32&gt;=$H$9,F32&lt;=$I$9),$J$9,
IF(AND(F32&gt;=$H$10,F32&lt;=$I$10),$J$10,
IF(AND(F32&gt;=$H$11,F32&lt;=$I$11),$J$11))))))))))),
"")</f>
        <v/>
      </c>
    </row>
    <row r="33" spans="1:7" ht="18" x14ac:dyDescent="0.35">
      <c r="A33" s="30" t="str">
        <f>IF(NOT(ISBLANK('Curs, Seminar'!B37)),'Curs, Seminar'!B37,"")</f>
        <v/>
      </c>
      <c r="B33" s="31" t="str">
        <f>IF(NOT(ISBLANK('Curs, Seminar'!C37)),'Curs, Seminar'!C37,"")</f>
        <v/>
      </c>
      <c r="C33" s="10"/>
      <c r="D33" s="10"/>
      <c r="E33" s="10"/>
      <c r="F33" s="23" t="str">
        <f>IF(NOT(ISBLANK('Curs, Seminar'!C37)),
IF('Curs, Seminar'!Z37,"Eliberat",
ROUND(SUM(C33:E33),0)),
"")</f>
        <v/>
      </c>
      <c r="G33" s="22" t="str">
        <f>IF(NOT(ISBLANK('Curs, Seminar'!C37)),
IF('Curs, Seminar'!Z37,'Curs, Seminar'!Z37,
IF(F33=0,"n/p",
IF(AND(F33&gt;=$H$3,F33&lt;=$I$3),$J$3,
IF(AND(F33&gt;=$H$4,F33&lt;=$I$4),$J$4,
IF(AND(F33&gt;=$H$5,F33&lt;=$I$5),$J$5,
IF(AND(F33&gt;=$H$6,F33&lt;=$I$6),$J$6,
IF(AND(F33&gt;=$H$7,F33&lt;=$I$7),$J$7,
IF(AND(F33&gt;=$H$8,F33&lt;=$I$8),$J$8,
IF(AND(F33&gt;=$H$9,F33&lt;=$I$9),$J$9,
IF(AND(F33&gt;=$H$10,F33&lt;=$I$10),$J$10,
IF(AND(F33&gt;=$H$11,F33&lt;=$I$11),$J$11))))))))))),
"")</f>
        <v/>
      </c>
    </row>
    <row r="34" spans="1:7" ht="18" x14ac:dyDescent="0.35">
      <c r="A34" s="30" t="str">
        <f>IF(NOT(ISBLANK('Curs, Seminar'!B38)),'Curs, Seminar'!B38,"")</f>
        <v/>
      </c>
      <c r="B34" s="31" t="str">
        <f>IF(NOT(ISBLANK('Curs, Seminar'!C38)),'Curs, Seminar'!C38,"")</f>
        <v/>
      </c>
      <c r="C34" s="10"/>
      <c r="D34" s="10"/>
      <c r="E34" s="10"/>
      <c r="F34" s="23" t="str">
        <f>IF(NOT(ISBLANK('Curs, Seminar'!C38)),
IF('Curs, Seminar'!Z38,"Eliberat",
ROUND(SUM(C34:E34),0)),
"")</f>
        <v/>
      </c>
      <c r="G34" s="22" t="str">
        <f>IF(NOT(ISBLANK('Curs, Seminar'!C38)),
IF('Curs, Seminar'!Z38,'Curs, Seminar'!Z38,
IF(F34=0,"n/p",
IF(AND(F34&gt;=$H$3,F34&lt;=$I$3),$J$3,
IF(AND(F34&gt;=$H$4,F34&lt;=$I$4),$J$4,
IF(AND(F34&gt;=$H$5,F34&lt;=$I$5),$J$5,
IF(AND(F34&gt;=$H$6,F34&lt;=$I$6),$J$6,
IF(AND(F34&gt;=$H$7,F34&lt;=$I$7),$J$7,
IF(AND(F34&gt;=$H$8,F34&lt;=$I$8),$J$8,
IF(AND(F34&gt;=$H$9,F34&lt;=$I$9),$J$9,
IF(AND(F34&gt;=$H$10,F34&lt;=$I$10),$J$10,
IF(AND(F34&gt;=$H$11,F34&lt;=$I$11),$J$11))))))))))),
"")</f>
        <v/>
      </c>
    </row>
    <row r="35" spans="1:7" ht="18" x14ac:dyDescent="0.35">
      <c r="A35" s="30" t="str">
        <f>IF(NOT(ISBLANK('Curs, Seminar'!B39)),'Curs, Seminar'!B39,"")</f>
        <v/>
      </c>
      <c r="B35" s="31" t="str">
        <f>IF(NOT(ISBLANK('Curs, Seminar'!C39)),'Curs, Seminar'!C39,"")</f>
        <v/>
      </c>
      <c r="C35" s="10"/>
      <c r="D35" s="10"/>
      <c r="E35" s="10"/>
      <c r="F35" s="23" t="str">
        <f>IF(NOT(ISBLANK('Curs, Seminar'!C39)),
IF('Curs, Seminar'!Z39,"Eliberat",
ROUND(SUM(C35:E35),0)),
"")</f>
        <v/>
      </c>
      <c r="G35" s="22" t="str">
        <f>IF(NOT(ISBLANK('Curs, Seminar'!C39)),
IF('Curs, Seminar'!Z39,'Curs, Seminar'!Z39,
IF(F35=0,"n/p",
IF(AND(F35&gt;=$H$3,F35&lt;=$I$3),$J$3,
IF(AND(F35&gt;=$H$4,F35&lt;=$I$4),$J$4,
IF(AND(F35&gt;=$H$5,F35&lt;=$I$5),$J$5,
IF(AND(F35&gt;=$H$6,F35&lt;=$I$6),$J$6,
IF(AND(F35&gt;=$H$7,F35&lt;=$I$7),$J$7,
IF(AND(F35&gt;=$H$8,F35&lt;=$I$8),$J$8,
IF(AND(F35&gt;=$H$9,F35&lt;=$I$9),$J$9,
IF(AND(F35&gt;=$H$10,F35&lt;=$I$10),$J$10,
IF(AND(F35&gt;=$H$11,F35&lt;=$I$11),$J$11))))))))))),
"")</f>
        <v/>
      </c>
    </row>
    <row r="36" spans="1:7" ht="18" x14ac:dyDescent="0.35">
      <c r="A36" s="30" t="str">
        <f>IF(NOT(ISBLANK('Curs, Seminar'!B40)),'Curs, Seminar'!B40,"")</f>
        <v/>
      </c>
      <c r="B36" s="31" t="str">
        <f>IF(NOT(ISBLANK('Curs, Seminar'!C40)),'Curs, Seminar'!C40,"")</f>
        <v/>
      </c>
      <c r="C36" s="10"/>
      <c r="D36" s="10"/>
      <c r="E36" s="10"/>
      <c r="F36" s="23" t="str">
        <f>IF(NOT(ISBLANK('Curs, Seminar'!C40)),
IF('Curs, Seminar'!Z40,"Eliberat",
ROUND(SUM(C36:E36),0)),
"")</f>
        <v/>
      </c>
      <c r="G36" s="22" t="str">
        <f>IF(NOT(ISBLANK('Curs, Seminar'!C40)),
IF('Curs, Seminar'!Z40,'Curs, Seminar'!Z40,
IF(F36=0,"n/p",
IF(AND(F36&gt;=$H$3,F36&lt;=$I$3),$J$3,
IF(AND(F36&gt;=$H$4,F36&lt;=$I$4),$J$4,
IF(AND(F36&gt;=$H$5,F36&lt;=$I$5),$J$5,
IF(AND(F36&gt;=$H$6,F36&lt;=$I$6),$J$6,
IF(AND(F36&gt;=$H$7,F36&lt;=$I$7),$J$7,
IF(AND(F36&gt;=$H$8,F36&lt;=$I$8),$J$8,
IF(AND(F36&gt;=$H$9,F36&lt;=$I$9),$J$9,
IF(AND(F36&gt;=$H$10,F36&lt;=$I$10),$J$10,
IF(AND(F36&gt;=$H$11,F36&lt;=$I$11),$J$11))))))))))),
"")</f>
        <v/>
      </c>
    </row>
    <row r="37" spans="1:7" ht="18" x14ac:dyDescent="0.35">
      <c r="A37" s="30" t="str">
        <f>IF(NOT(ISBLANK('Curs, Seminar'!B41)),'Curs, Seminar'!B41,"")</f>
        <v/>
      </c>
      <c r="B37" s="31" t="str">
        <f>IF(NOT(ISBLANK('Curs, Seminar'!C41)),'Curs, Seminar'!C41,"")</f>
        <v/>
      </c>
      <c r="C37" s="10"/>
      <c r="D37" s="10"/>
      <c r="E37" s="10"/>
      <c r="F37" s="23" t="str">
        <f>IF(NOT(ISBLANK('Curs, Seminar'!C41)),
IF('Curs, Seminar'!Z41,"Eliberat",
ROUND(SUM(C37:E37),0)),
"")</f>
        <v/>
      </c>
      <c r="G37" s="22" t="str">
        <f>IF(NOT(ISBLANK('Curs, Seminar'!C41)),
IF('Curs, Seminar'!Z41,'Curs, Seminar'!Z41,
IF(F37=0,"n/p",
IF(AND(F37&gt;=$H$3,F37&lt;=$I$3),$J$3,
IF(AND(F37&gt;=$H$4,F37&lt;=$I$4),$J$4,
IF(AND(F37&gt;=$H$5,F37&lt;=$I$5),$J$5,
IF(AND(F37&gt;=$H$6,F37&lt;=$I$6),$J$6,
IF(AND(F37&gt;=$H$7,F37&lt;=$I$7),$J$7,
IF(AND(F37&gt;=$H$8,F37&lt;=$I$8),$J$8,
IF(AND(F37&gt;=$H$9,F37&lt;=$I$9),$J$9,
IF(AND(F37&gt;=$H$10,F37&lt;=$I$10),$J$10,
IF(AND(F37&gt;=$H$11,F37&lt;=$I$11),$J$11))))))))))),
"")</f>
        <v/>
      </c>
    </row>
    <row r="38" spans="1:7" ht="18" x14ac:dyDescent="0.35">
      <c r="A38" s="30" t="str">
        <f>IF(NOT(ISBLANK('Curs, Seminar'!B42)),'Curs, Seminar'!B42,"")</f>
        <v/>
      </c>
      <c r="B38" s="31" t="str">
        <f>IF(NOT(ISBLANK('Curs, Seminar'!C42)),'Curs, Seminar'!C42,"")</f>
        <v/>
      </c>
      <c r="C38" s="10"/>
      <c r="D38" s="10"/>
      <c r="E38" s="10"/>
      <c r="F38" s="23" t="str">
        <f>IF(NOT(ISBLANK('Curs, Seminar'!C42)),
IF('Curs, Seminar'!Z42,"Eliberat",
ROUND(SUM(C38:E38),0)),
"")</f>
        <v/>
      </c>
      <c r="G38" s="22" t="str">
        <f>IF(NOT(ISBLANK('Curs, Seminar'!C42)),
IF('Curs, Seminar'!Z42,'Curs, Seminar'!Z42,
IF(F38=0,"n/p",
IF(AND(F38&gt;=$H$3,F38&lt;=$I$3),$J$3,
IF(AND(F38&gt;=$H$4,F38&lt;=$I$4),$J$4,
IF(AND(F38&gt;=$H$5,F38&lt;=$I$5),$J$5,
IF(AND(F38&gt;=$H$6,F38&lt;=$I$6),$J$6,
IF(AND(F38&gt;=$H$7,F38&lt;=$I$7),$J$7,
IF(AND(F38&gt;=$H$8,F38&lt;=$I$8),$J$8,
IF(AND(F38&gt;=$H$9,F38&lt;=$I$9),$J$9,
IF(AND(F38&gt;=$H$10,F38&lt;=$I$10),$J$10,
IF(AND(F38&gt;=$H$11,F38&lt;=$I$11),$J$11))))))))))),
"")</f>
        <v/>
      </c>
    </row>
    <row r="39" spans="1:7" ht="18" x14ac:dyDescent="0.35">
      <c r="A39" s="30" t="str">
        <f>IF(NOT(ISBLANK('Curs, Seminar'!B43)),'Curs, Seminar'!B43,"")</f>
        <v/>
      </c>
      <c r="B39" s="31" t="str">
        <f>IF(NOT(ISBLANK('Curs, Seminar'!C43)),'Curs, Seminar'!C43,"")</f>
        <v/>
      </c>
      <c r="C39" s="10"/>
      <c r="D39" s="10"/>
      <c r="E39" s="10"/>
      <c r="F39" s="23" t="str">
        <f>IF(NOT(ISBLANK('Curs, Seminar'!C43)),
IF('Curs, Seminar'!Z43,"Eliberat",
ROUND(SUM(C39:E39),0)),
"")</f>
        <v/>
      </c>
      <c r="G39" s="22" t="str">
        <f>IF(NOT(ISBLANK('Curs, Seminar'!C43)),
IF('Curs, Seminar'!Z43,'Curs, Seminar'!Z43,
IF(F39=0,"n/p",
IF(AND(F39&gt;=$H$3,F39&lt;=$I$3),$J$3,
IF(AND(F39&gt;=$H$4,F39&lt;=$I$4),$J$4,
IF(AND(F39&gt;=$H$5,F39&lt;=$I$5),$J$5,
IF(AND(F39&gt;=$H$6,F39&lt;=$I$6),$J$6,
IF(AND(F39&gt;=$H$7,F39&lt;=$I$7),$J$7,
IF(AND(F39&gt;=$H$8,F39&lt;=$I$8),$J$8,
IF(AND(F39&gt;=$H$9,F39&lt;=$I$9),$J$9,
IF(AND(F39&gt;=$H$10,F39&lt;=$I$10),$J$10,
IF(AND(F39&gt;=$H$11,F39&lt;=$I$11),$J$11))))))))))),
"")</f>
        <v/>
      </c>
    </row>
    <row r="40" spans="1:7" ht="18" x14ac:dyDescent="0.35">
      <c r="A40" s="30" t="str">
        <f>IF(NOT(ISBLANK('Curs, Seminar'!B44)),'Curs, Seminar'!B44,"")</f>
        <v/>
      </c>
      <c r="B40" s="31" t="str">
        <f>IF(NOT(ISBLANK('Curs, Seminar'!C44)),'Curs, Seminar'!C44,"")</f>
        <v/>
      </c>
      <c r="C40" s="10"/>
      <c r="D40" s="10"/>
      <c r="E40" s="10"/>
      <c r="F40" s="23" t="str">
        <f>IF(NOT(ISBLANK('Curs, Seminar'!C44)),
IF('Curs, Seminar'!Z44,"Eliberat",
ROUND(SUM(C40:E40),0)),
"")</f>
        <v/>
      </c>
      <c r="G40" s="22" t="str">
        <f>IF(NOT(ISBLANK('Curs, Seminar'!C44)),
IF('Curs, Seminar'!Z44,'Curs, Seminar'!Z44,
IF(F40=0,"n/p",
IF(AND(F40&gt;=$H$3,F40&lt;=$I$3),$J$3,
IF(AND(F40&gt;=$H$4,F40&lt;=$I$4),$J$4,
IF(AND(F40&gt;=$H$5,F40&lt;=$I$5),$J$5,
IF(AND(F40&gt;=$H$6,F40&lt;=$I$6),$J$6,
IF(AND(F40&gt;=$H$7,F40&lt;=$I$7),$J$7,
IF(AND(F40&gt;=$H$8,F40&lt;=$I$8),$J$8,
IF(AND(F40&gt;=$H$9,F40&lt;=$I$9),$J$9,
IF(AND(F40&gt;=$H$10,F40&lt;=$I$10),$J$10,
IF(AND(F40&gt;=$H$11,F40&lt;=$I$11),$J$11))))))))))),
"")</f>
        <v/>
      </c>
    </row>
    <row r="41" spans="1:7" ht="18" x14ac:dyDescent="0.35">
      <c r="A41" s="30" t="str">
        <f>IF(NOT(ISBLANK('Curs, Seminar'!B45)),'Curs, Seminar'!B45,"")</f>
        <v/>
      </c>
      <c r="B41" s="31" t="str">
        <f>IF(NOT(ISBLANK('Curs, Seminar'!C45)),'Curs, Seminar'!C45,"")</f>
        <v/>
      </c>
      <c r="C41" s="10"/>
      <c r="D41" s="10"/>
      <c r="E41" s="10"/>
      <c r="F41" s="23" t="str">
        <f>IF(NOT(ISBLANK('Curs, Seminar'!C45)),
IF('Curs, Seminar'!Z45,"Eliberat",
ROUND(SUM(C41:E41),0)),
"")</f>
        <v/>
      </c>
      <c r="G41" s="22" t="str">
        <f>IF(NOT(ISBLANK('Curs, Seminar'!C45)),
IF('Curs, Seminar'!Z45,'Curs, Seminar'!Z45,
IF(F41=0,"n/p",
IF(AND(F41&gt;=$H$3,F41&lt;=$I$3),$J$3,
IF(AND(F41&gt;=$H$4,F41&lt;=$I$4),$J$4,
IF(AND(F41&gt;=$H$5,F41&lt;=$I$5),$J$5,
IF(AND(F41&gt;=$H$6,F41&lt;=$I$6),$J$6,
IF(AND(F41&gt;=$H$7,F41&lt;=$I$7),$J$7,
IF(AND(F41&gt;=$H$8,F41&lt;=$I$8),$J$8,
IF(AND(F41&gt;=$H$9,F41&lt;=$I$9),$J$9,
IF(AND(F41&gt;=$H$10,F41&lt;=$I$10),$J$10,
IF(AND(F41&gt;=$H$11,F41&lt;=$I$11),$J$11))))))))))),
"")</f>
        <v/>
      </c>
    </row>
    <row r="42" spans="1:7" ht="18" x14ac:dyDescent="0.35">
      <c r="A42" s="30" t="str">
        <f>IF(NOT(ISBLANK('Curs, Seminar'!B46)),'Curs, Seminar'!B46,"")</f>
        <v/>
      </c>
      <c r="B42" s="31" t="str">
        <f>IF(NOT(ISBLANK('Curs, Seminar'!C46)),'Curs, Seminar'!C46,"")</f>
        <v/>
      </c>
      <c r="C42" s="10"/>
      <c r="D42" s="10"/>
      <c r="E42" s="10"/>
      <c r="F42" s="23" t="str">
        <f>IF(NOT(ISBLANK('Curs, Seminar'!C46)),
IF('Curs, Seminar'!Z46,"Eliberat",
ROUND(SUM(C42:E42),0)),
"")</f>
        <v/>
      </c>
      <c r="G42" s="22" t="str">
        <f>IF(NOT(ISBLANK('Curs, Seminar'!C46)),
IF('Curs, Seminar'!Z46,'Curs, Seminar'!Z46,
IF(F42=0,"n/p",
IF(AND(F42&gt;=$H$3,F42&lt;=$I$3),$J$3,
IF(AND(F42&gt;=$H$4,F42&lt;=$I$4),$J$4,
IF(AND(F42&gt;=$H$5,F42&lt;=$I$5),$J$5,
IF(AND(F42&gt;=$H$6,F42&lt;=$I$6),$J$6,
IF(AND(F42&gt;=$H$7,F42&lt;=$I$7),$J$7,
IF(AND(F42&gt;=$H$8,F42&lt;=$I$8),$J$8,
IF(AND(F42&gt;=$H$9,F42&lt;=$I$9),$J$9,
IF(AND(F42&gt;=$H$10,F42&lt;=$I$10),$J$10,
IF(AND(F42&gt;=$H$11,F42&lt;=$I$11),$J$11))))))))))),
"")</f>
        <v/>
      </c>
    </row>
    <row r="43" spans="1:7" ht="18" x14ac:dyDescent="0.35">
      <c r="A43" s="30" t="str">
        <f>IF(NOT(ISBLANK('Curs, Seminar'!B47)),'Curs, Seminar'!B47,"")</f>
        <v/>
      </c>
      <c r="B43" s="31" t="str">
        <f>IF(NOT(ISBLANK('Curs, Seminar'!C47)),'Curs, Seminar'!C47,"")</f>
        <v/>
      </c>
      <c r="C43" s="10"/>
      <c r="D43" s="10"/>
      <c r="E43" s="10"/>
      <c r="F43" s="23" t="str">
        <f>IF(NOT(ISBLANK('Curs, Seminar'!C47)),
IF('Curs, Seminar'!Z47,"Eliberat",
ROUND(SUM(C43:E43),0)),
"")</f>
        <v/>
      </c>
      <c r="G43" s="22" t="str">
        <f>IF(NOT(ISBLANK('Curs, Seminar'!C47)),
IF('Curs, Seminar'!Z47,'Curs, Seminar'!Z47,
IF(F43=0,"n/p",
IF(AND(F43&gt;=$H$3,F43&lt;=$I$3),$J$3,
IF(AND(F43&gt;=$H$4,F43&lt;=$I$4),$J$4,
IF(AND(F43&gt;=$H$5,F43&lt;=$I$5),$J$5,
IF(AND(F43&gt;=$H$6,F43&lt;=$I$6),$J$6,
IF(AND(F43&gt;=$H$7,F43&lt;=$I$7),$J$7,
IF(AND(F43&gt;=$H$8,F43&lt;=$I$8),$J$8,
IF(AND(F43&gt;=$H$9,F43&lt;=$I$9),$J$9,
IF(AND(F43&gt;=$H$10,F43&lt;=$I$10),$J$10,
IF(AND(F43&gt;=$H$11,F43&lt;=$I$11),$J$11))))))))))),
"")</f>
        <v/>
      </c>
    </row>
    <row r="44" spans="1:7" ht="18" x14ac:dyDescent="0.35">
      <c r="A44" s="30" t="str">
        <f>IF(NOT(ISBLANK('Curs, Seminar'!B48)),'Curs, Seminar'!B48,"")</f>
        <v/>
      </c>
      <c r="B44" s="31" t="str">
        <f>IF(NOT(ISBLANK('Curs, Seminar'!C48)),'Curs, Seminar'!C48,"")</f>
        <v/>
      </c>
      <c r="C44" s="10"/>
      <c r="D44" s="10"/>
      <c r="E44" s="10"/>
      <c r="F44" s="23" t="str">
        <f>IF(NOT(ISBLANK('Curs, Seminar'!C48)),
IF('Curs, Seminar'!Z48,"Eliberat",
ROUND(SUM(C44:E44),0)),
"")</f>
        <v/>
      </c>
      <c r="G44" s="22" t="str">
        <f>IF(NOT(ISBLANK('Curs, Seminar'!C48)),
IF('Curs, Seminar'!Z48,'Curs, Seminar'!Z48,
IF(F44=0,"n/p",
IF(AND(F44&gt;=$H$3,F44&lt;=$I$3),$J$3,
IF(AND(F44&gt;=$H$4,F44&lt;=$I$4),$J$4,
IF(AND(F44&gt;=$H$5,F44&lt;=$I$5),$J$5,
IF(AND(F44&gt;=$H$6,F44&lt;=$I$6),$J$6,
IF(AND(F44&gt;=$H$7,F44&lt;=$I$7),$J$7,
IF(AND(F44&gt;=$H$8,F44&lt;=$I$8),$J$8,
IF(AND(F44&gt;=$H$9,F44&lt;=$I$9),$J$9,
IF(AND(F44&gt;=$H$10,F44&lt;=$I$10),$J$10,
IF(AND(F44&gt;=$H$11,F44&lt;=$I$11),$J$11))))))))))),
"")</f>
        <v/>
      </c>
    </row>
    <row r="45" spans="1:7" ht="18" x14ac:dyDescent="0.35">
      <c r="A45" s="30" t="str">
        <f>IF(NOT(ISBLANK('Curs, Seminar'!B49)),'Curs, Seminar'!B49,"")</f>
        <v/>
      </c>
      <c r="B45" s="31" t="str">
        <f>IF(NOT(ISBLANK('Curs, Seminar'!C49)),'Curs, Seminar'!C49,"")</f>
        <v/>
      </c>
      <c r="C45" s="10"/>
      <c r="D45" s="10"/>
      <c r="E45" s="10"/>
      <c r="F45" s="23" t="str">
        <f>IF(NOT(ISBLANK('Curs, Seminar'!C49)),
IF('Curs, Seminar'!Z49,"Eliberat",
ROUND(SUM(C45:E45),0)),
"")</f>
        <v/>
      </c>
      <c r="G45" s="22" t="str">
        <f>IF(NOT(ISBLANK('Curs, Seminar'!C49)),
IF('Curs, Seminar'!Z49,'Curs, Seminar'!Z49,
IF(F45=0,"n/p",
IF(AND(F45&gt;=$H$3,F45&lt;=$I$3),$J$3,
IF(AND(F45&gt;=$H$4,F45&lt;=$I$4),$J$4,
IF(AND(F45&gt;=$H$5,F45&lt;=$I$5),$J$5,
IF(AND(F45&gt;=$H$6,F45&lt;=$I$6),$J$6,
IF(AND(F45&gt;=$H$7,F45&lt;=$I$7),$J$7,
IF(AND(F45&gt;=$H$8,F45&lt;=$I$8),$J$8,
IF(AND(F45&gt;=$H$9,F45&lt;=$I$9),$J$9,
IF(AND(F45&gt;=$H$10,F45&lt;=$I$10),$J$10,
IF(AND(F45&gt;=$H$11,F45&lt;=$I$11),$J$11))))))))))),
"")</f>
        <v/>
      </c>
    </row>
    <row r="46" spans="1:7" ht="18" x14ac:dyDescent="0.35">
      <c r="A46" s="30" t="str">
        <f>IF(NOT(ISBLANK('Curs, Seminar'!B50)),'Curs, Seminar'!B50,"")</f>
        <v/>
      </c>
      <c r="B46" s="31" t="str">
        <f>IF(NOT(ISBLANK('Curs, Seminar'!C50)),'Curs, Seminar'!C50,"")</f>
        <v/>
      </c>
      <c r="C46" s="10"/>
      <c r="D46" s="10"/>
      <c r="E46" s="10"/>
      <c r="F46" s="23" t="str">
        <f>IF(NOT(ISBLANK('Curs, Seminar'!C50)),
IF('Curs, Seminar'!Z50,"Eliberat",
ROUND(SUM(C46:E46),0)),
"")</f>
        <v/>
      </c>
      <c r="G46" s="22" t="str">
        <f>IF(NOT(ISBLANK('Curs, Seminar'!C50)),
IF('Curs, Seminar'!Z50,'Curs, Seminar'!Z50,
IF(F46=0,"n/p",
IF(AND(F46&gt;=$H$3,F46&lt;=$I$3),$J$3,
IF(AND(F46&gt;=$H$4,F46&lt;=$I$4),$J$4,
IF(AND(F46&gt;=$H$5,F46&lt;=$I$5),$J$5,
IF(AND(F46&gt;=$H$6,F46&lt;=$I$6),$J$6,
IF(AND(F46&gt;=$H$7,F46&lt;=$I$7),$J$7,
IF(AND(F46&gt;=$H$8,F46&lt;=$I$8),$J$8,
IF(AND(F46&gt;=$H$9,F46&lt;=$I$9),$J$9,
IF(AND(F46&gt;=$H$10,F46&lt;=$I$10),$J$10,
IF(AND(F46&gt;=$H$11,F46&lt;=$I$11),$J$11))))))))))),
"")</f>
        <v/>
      </c>
    </row>
    <row r="47" spans="1:7" ht="18" x14ac:dyDescent="0.35">
      <c r="A47" s="30" t="str">
        <f>IF(NOT(ISBLANK('Curs, Seminar'!B51)),'Curs, Seminar'!B51,"")</f>
        <v/>
      </c>
      <c r="B47" s="31" t="str">
        <f>IF(NOT(ISBLANK('Curs, Seminar'!C51)),'Curs, Seminar'!C51,"")</f>
        <v/>
      </c>
      <c r="C47" s="10"/>
      <c r="D47" s="10"/>
      <c r="E47" s="10"/>
      <c r="F47" s="23" t="str">
        <f>IF(NOT(ISBLANK('Curs, Seminar'!C51)),
IF('Curs, Seminar'!Z51,"Eliberat",
ROUND(SUM(C47:E47),0)),
"")</f>
        <v/>
      </c>
      <c r="G47" s="22" t="str">
        <f>IF(NOT(ISBLANK('Curs, Seminar'!C51)),
IF('Curs, Seminar'!Z51,'Curs, Seminar'!Z51,
IF(F47=0,"n/p",
IF(AND(F47&gt;=$H$3,F47&lt;=$I$3),$J$3,
IF(AND(F47&gt;=$H$4,F47&lt;=$I$4),$J$4,
IF(AND(F47&gt;=$H$5,F47&lt;=$I$5),$J$5,
IF(AND(F47&gt;=$H$6,F47&lt;=$I$6),$J$6,
IF(AND(F47&gt;=$H$7,F47&lt;=$I$7),$J$7,
IF(AND(F47&gt;=$H$8,F47&lt;=$I$8),$J$8,
IF(AND(F47&gt;=$H$9,F47&lt;=$I$9),$J$9,
IF(AND(F47&gt;=$H$10,F47&lt;=$I$10),$J$10,
IF(AND(F47&gt;=$H$11,F47&lt;=$I$11),$J$11))))))))))),
"")</f>
        <v/>
      </c>
    </row>
    <row r="48" spans="1:7" ht="18" x14ac:dyDescent="0.35">
      <c r="A48" s="30" t="str">
        <f>IF(NOT(ISBLANK('Curs, Seminar'!B52)),'Curs, Seminar'!B52,"")</f>
        <v/>
      </c>
      <c r="B48" s="31" t="str">
        <f>IF(NOT(ISBLANK('Curs, Seminar'!C52)),'Curs, Seminar'!C52,"")</f>
        <v/>
      </c>
      <c r="C48" s="10"/>
      <c r="D48" s="10"/>
      <c r="E48" s="10"/>
      <c r="F48" s="23" t="str">
        <f>IF(NOT(ISBLANK('Curs, Seminar'!C52)),
IF('Curs, Seminar'!Z52,"Eliberat",
ROUND(SUM(C48:E48),0)),
"")</f>
        <v/>
      </c>
      <c r="G48" s="22" t="str">
        <f>IF(NOT(ISBLANK('Curs, Seminar'!C52)),
IF('Curs, Seminar'!Z52,'Curs, Seminar'!Z52,
IF(F48=0,"n/p",
IF(AND(F48&gt;=$H$3,F48&lt;=$I$3),$J$3,
IF(AND(F48&gt;=$H$4,F48&lt;=$I$4),$J$4,
IF(AND(F48&gt;=$H$5,F48&lt;=$I$5),$J$5,
IF(AND(F48&gt;=$H$6,F48&lt;=$I$6),$J$6,
IF(AND(F48&gt;=$H$7,F48&lt;=$I$7),$J$7,
IF(AND(F48&gt;=$H$8,F48&lt;=$I$8),$J$8,
IF(AND(F48&gt;=$H$9,F48&lt;=$I$9),$J$9,
IF(AND(F48&gt;=$H$10,F48&lt;=$I$10),$J$10,
IF(AND(F48&gt;=$H$11,F48&lt;=$I$11),$J$11))))))))))),
"")</f>
        <v/>
      </c>
    </row>
    <row r="49" spans="1:7" ht="18" x14ac:dyDescent="0.35">
      <c r="A49" s="30" t="str">
        <f>IF(NOT(ISBLANK('Curs, Seminar'!B53)),'Curs, Seminar'!B53,"")</f>
        <v/>
      </c>
      <c r="B49" s="31" t="str">
        <f>IF(NOT(ISBLANK('Curs, Seminar'!C53)),'Curs, Seminar'!C53,"")</f>
        <v/>
      </c>
      <c r="C49" s="10"/>
      <c r="D49" s="10"/>
      <c r="E49" s="10"/>
      <c r="F49" s="23" t="str">
        <f>IF(NOT(ISBLANK('Curs, Seminar'!C53)),
IF('Curs, Seminar'!Z53,"Eliberat",
ROUND(SUM(C49:E49),0)),
"")</f>
        <v/>
      </c>
      <c r="G49" s="22" t="str">
        <f>IF(NOT(ISBLANK('Curs, Seminar'!C53)),
IF('Curs, Seminar'!Z53,'Curs, Seminar'!Z53,
IF(F49=0,"n/p",
IF(AND(F49&gt;=$H$3,F49&lt;=$I$3),$J$3,
IF(AND(F49&gt;=$H$4,F49&lt;=$I$4),$J$4,
IF(AND(F49&gt;=$H$5,F49&lt;=$I$5),$J$5,
IF(AND(F49&gt;=$H$6,F49&lt;=$I$6),$J$6,
IF(AND(F49&gt;=$H$7,F49&lt;=$I$7),$J$7,
IF(AND(F49&gt;=$H$8,F49&lt;=$I$8),$J$8,
IF(AND(F49&gt;=$H$9,F49&lt;=$I$9),$J$9,
IF(AND(F49&gt;=$H$10,F49&lt;=$I$10),$J$10,
IF(AND(F49&gt;=$H$11,F49&lt;=$I$11),$J$11))))))))))),
"")</f>
        <v/>
      </c>
    </row>
    <row r="50" spans="1:7" ht="18" x14ac:dyDescent="0.35">
      <c r="A50" s="30" t="str">
        <f>IF(NOT(ISBLANK('Curs, Seminar'!B54)),'Curs, Seminar'!B54,"")</f>
        <v/>
      </c>
      <c r="B50" s="31" t="str">
        <f>IF(NOT(ISBLANK('Curs, Seminar'!C54)),'Curs, Seminar'!C54,"")</f>
        <v/>
      </c>
      <c r="C50" s="10"/>
      <c r="D50" s="10"/>
      <c r="E50" s="10"/>
      <c r="F50" s="23" t="str">
        <f>IF(NOT(ISBLANK('Curs, Seminar'!C54)),
IF('Curs, Seminar'!Z54,"Eliberat",
ROUND(SUM(C50:E50),0)),
"")</f>
        <v/>
      </c>
      <c r="G50" s="22" t="str">
        <f>IF(NOT(ISBLANK('Curs, Seminar'!C54)),
IF('Curs, Seminar'!Z54,'Curs, Seminar'!Z54,
IF(F50=0,"n/p",
IF(AND(F50&gt;=$H$3,F50&lt;=$I$3),$J$3,
IF(AND(F50&gt;=$H$4,F50&lt;=$I$4),$J$4,
IF(AND(F50&gt;=$H$5,F50&lt;=$I$5),$J$5,
IF(AND(F50&gt;=$H$6,F50&lt;=$I$6),$J$6,
IF(AND(F50&gt;=$H$7,F50&lt;=$I$7),$J$7,
IF(AND(F50&gt;=$H$8,F50&lt;=$I$8),$J$8,
IF(AND(F50&gt;=$H$9,F50&lt;=$I$9),$J$9,
IF(AND(F50&gt;=$H$10,F50&lt;=$I$10),$J$10,
IF(AND(F50&gt;=$H$11,F50&lt;=$I$11),$J$11))))))))))),
"")</f>
        <v/>
      </c>
    </row>
    <row r="51" spans="1:7" ht="18" x14ac:dyDescent="0.35">
      <c r="A51" s="30" t="str">
        <f>IF(NOT(ISBLANK('Curs, Seminar'!B55)),'Curs, Seminar'!B55,"")</f>
        <v/>
      </c>
      <c r="B51" s="31" t="str">
        <f>IF(NOT(ISBLANK('Curs, Seminar'!C55)),'Curs, Seminar'!C55,"")</f>
        <v/>
      </c>
      <c r="C51" s="10"/>
      <c r="D51" s="10"/>
      <c r="E51" s="10"/>
      <c r="F51" s="23" t="str">
        <f>IF(NOT(ISBLANK('Curs, Seminar'!C55)),
IF('Curs, Seminar'!Z55,"Eliberat",
ROUND(SUM(C51:E51),0)),
"")</f>
        <v/>
      </c>
      <c r="G51" s="22" t="str">
        <f>IF(NOT(ISBLANK('Curs, Seminar'!C55)),
IF('Curs, Seminar'!Z55,'Curs, Seminar'!Z55,
IF(F51=0,"n/p",
IF(AND(F51&gt;=$H$3,F51&lt;=$I$3),$J$3,
IF(AND(F51&gt;=$H$4,F51&lt;=$I$4),$J$4,
IF(AND(F51&gt;=$H$5,F51&lt;=$I$5),$J$5,
IF(AND(F51&gt;=$H$6,F51&lt;=$I$6),$J$6,
IF(AND(F51&gt;=$H$7,F51&lt;=$I$7),$J$7,
IF(AND(F51&gt;=$H$8,F51&lt;=$I$8),$J$8,
IF(AND(F51&gt;=$H$9,F51&lt;=$I$9),$J$9,
IF(AND(F51&gt;=$H$10,F51&lt;=$I$10),$J$10,
IF(AND(F51&gt;=$H$11,F51&lt;=$I$11),$J$11))))))))))),
"")</f>
        <v/>
      </c>
    </row>
    <row r="52" spans="1:7" ht="18" x14ac:dyDescent="0.35">
      <c r="A52" s="30" t="str">
        <f>IF(NOT(ISBLANK('Curs, Seminar'!B56)),'Curs, Seminar'!B56,"")</f>
        <v/>
      </c>
      <c r="B52" s="31" t="str">
        <f>IF(NOT(ISBLANK('Curs, Seminar'!C56)),'Curs, Seminar'!C56,"")</f>
        <v/>
      </c>
      <c r="C52" s="10"/>
      <c r="D52" s="10"/>
      <c r="E52" s="10"/>
      <c r="F52" s="23" t="str">
        <f>IF(NOT(ISBLANK('Curs, Seminar'!C56)),
IF('Curs, Seminar'!Z56,"Eliberat",
ROUND(SUM(C52:E52),0)),
"")</f>
        <v/>
      </c>
      <c r="G52" s="22" t="str">
        <f>IF(NOT(ISBLANK('Curs, Seminar'!C56)),
IF('Curs, Seminar'!Z56,'Curs, Seminar'!Z56,
IF(F52=0,"n/p",
IF(AND(F52&gt;=$H$3,F52&lt;=$I$3),$J$3,
IF(AND(F52&gt;=$H$4,F52&lt;=$I$4),$J$4,
IF(AND(F52&gt;=$H$5,F52&lt;=$I$5),$J$5,
IF(AND(F52&gt;=$H$6,F52&lt;=$I$6),$J$6,
IF(AND(F52&gt;=$H$7,F52&lt;=$I$7),$J$7,
IF(AND(F52&gt;=$H$8,F52&lt;=$I$8),$J$8,
IF(AND(F52&gt;=$H$9,F52&lt;=$I$9),$J$9,
IF(AND(F52&gt;=$H$10,F52&lt;=$I$10),$J$10,
IF(AND(F52&gt;=$H$11,F52&lt;=$I$11),$J$11))))))))))),
"")</f>
        <v/>
      </c>
    </row>
    <row r="53" spans="1:7" ht="18" x14ac:dyDescent="0.35">
      <c r="A53" s="30" t="str">
        <f>IF(NOT(ISBLANK('Curs, Seminar'!B57)),'Curs, Seminar'!B57,"")</f>
        <v/>
      </c>
      <c r="B53" s="31" t="str">
        <f>IF(NOT(ISBLANK('Curs, Seminar'!C57)),'Curs, Seminar'!C57,"")</f>
        <v/>
      </c>
      <c r="C53" s="10"/>
      <c r="D53" s="10"/>
      <c r="E53" s="10"/>
      <c r="F53" s="23" t="str">
        <f>IF(NOT(ISBLANK('Curs, Seminar'!C57)),
IF('Curs, Seminar'!Z57,"Eliberat",
ROUND(SUM(C53:E53),0)),
"")</f>
        <v/>
      </c>
      <c r="G53" s="22" t="str">
        <f>IF(NOT(ISBLANK('Curs, Seminar'!C57)),
IF('Curs, Seminar'!Z57,'Curs, Seminar'!Z57,
IF(F53=0,"n/p",
IF(AND(F53&gt;=$H$3,F53&lt;=$I$3),$J$3,
IF(AND(F53&gt;=$H$4,F53&lt;=$I$4),$J$4,
IF(AND(F53&gt;=$H$5,F53&lt;=$I$5),$J$5,
IF(AND(F53&gt;=$H$6,F53&lt;=$I$6),$J$6,
IF(AND(F53&gt;=$H$7,F53&lt;=$I$7),$J$7,
IF(AND(F53&gt;=$H$8,F53&lt;=$I$8),$J$8,
IF(AND(F53&gt;=$H$9,F53&lt;=$I$9),$J$9,
IF(AND(F53&gt;=$H$10,F53&lt;=$I$10),$J$10,
IF(AND(F53&gt;=$H$11,F53&lt;=$I$11),$J$11))))))))))),
"")</f>
        <v/>
      </c>
    </row>
    <row r="54" spans="1:7" ht="18" x14ac:dyDescent="0.35">
      <c r="A54" s="30" t="str">
        <f>IF(NOT(ISBLANK('Curs, Seminar'!B58)),'Curs, Seminar'!B58,"")</f>
        <v/>
      </c>
      <c r="B54" s="31" t="str">
        <f>IF(NOT(ISBLANK('Curs, Seminar'!C58)),'Curs, Seminar'!C58,"")</f>
        <v/>
      </c>
      <c r="C54" s="10"/>
      <c r="D54" s="10"/>
      <c r="E54" s="10"/>
      <c r="F54" s="23" t="str">
        <f>IF(NOT(ISBLANK('Curs, Seminar'!C58)),
IF('Curs, Seminar'!Z58,"Eliberat",
ROUND(SUM(C54:E54),0)),
"")</f>
        <v/>
      </c>
      <c r="G54" s="22" t="str">
        <f>IF(NOT(ISBLANK('Curs, Seminar'!C58)),
IF('Curs, Seminar'!Z58,'Curs, Seminar'!Z58,
IF(F54=0,"n/p",
IF(AND(F54&gt;=$H$3,F54&lt;=$I$3),$J$3,
IF(AND(F54&gt;=$H$4,F54&lt;=$I$4),$J$4,
IF(AND(F54&gt;=$H$5,F54&lt;=$I$5),$J$5,
IF(AND(F54&gt;=$H$6,F54&lt;=$I$6),$J$6,
IF(AND(F54&gt;=$H$7,F54&lt;=$I$7),$J$7,
IF(AND(F54&gt;=$H$8,F54&lt;=$I$8),$J$8,
IF(AND(F54&gt;=$H$9,F54&lt;=$I$9),$J$9,
IF(AND(F54&gt;=$H$10,F54&lt;=$I$10),$J$10,
IF(AND(F54&gt;=$H$11,F54&lt;=$I$11),$J$11))))))))))),
"")</f>
        <v/>
      </c>
    </row>
    <row r="55" spans="1:7" ht="18" x14ac:dyDescent="0.35">
      <c r="A55" s="30" t="str">
        <f>IF(NOT(ISBLANK('Curs, Seminar'!B59)),'Curs, Seminar'!B59,"")</f>
        <v/>
      </c>
      <c r="B55" s="31" t="str">
        <f>IF(NOT(ISBLANK('Curs, Seminar'!C59)),'Curs, Seminar'!C59,"")</f>
        <v/>
      </c>
      <c r="C55" s="10"/>
      <c r="D55" s="10"/>
      <c r="E55" s="10"/>
      <c r="F55" s="23" t="str">
        <f>IF(NOT(ISBLANK('Curs, Seminar'!C59)),
IF('Curs, Seminar'!Z59,"Eliberat",
ROUND(SUM(C55:E55),0)),
"")</f>
        <v/>
      </c>
      <c r="G55" s="22" t="str">
        <f>IF(NOT(ISBLANK('Curs, Seminar'!C59)),
IF('Curs, Seminar'!Z59,'Curs, Seminar'!Z59,
IF(F55=0,"n/p",
IF(AND(F55&gt;=$H$3,F55&lt;=$I$3),$J$3,
IF(AND(F55&gt;=$H$4,F55&lt;=$I$4),$J$4,
IF(AND(F55&gt;=$H$5,F55&lt;=$I$5),$J$5,
IF(AND(F55&gt;=$H$6,F55&lt;=$I$6),$J$6,
IF(AND(F55&gt;=$H$7,F55&lt;=$I$7),$J$7,
IF(AND(F55&gt;=$H$8,F55&lt;=$I$8),$J$8,
IF(AND(F55&gt;=$H$9,F55&lt;=$I$9),$J$9,
IF(AND(F55&gt;=$H$10,F55&lt;=$I$10),$J$10,
IF(AND(F55&gt;=$H$11,F55&lt;=$I$11),$J$11))))))))))),
"")</f>
        <v/>
      </c>
    </row>
    <row r="56" spans="1:7" ht="18" x14ac:dyDescent="0.35">
      <c r="A56" s="30" t="str">
        <f>IF(NOT(ISBLANK('Curs, Seminar'!B60)),'Curs, Seminar'!B60,"")</f>
        <v/>
      </c>
      <c r="B56" s="31" t="str">
        <f>IF(NOT(ISBLANK('Curs, Seminar'!C60)),'Curs, Seminar'!C60,"")</f>
        <v/>
      </c>
      <c r="C56" s="10"/>
      <c r="D56" s="10"/>
      <c r="E56" s="10"/>
      <c r="F56" s="23" t="str">
        <f>IF(NOT(ISBLANK('Curs, Seminar'!C60)),
IF('Curs, Seminar'!Z60,"Eliberat",
ROUND(SUM(C56:E56),0)),
"")</f>
        <v/>
      </c>
      <c r="G56" s="22" t="str">
        <f>IF(NOT(ISBLANK('Curs, Seminar'!C60)),
IF('Curs, Seminar'!Z60,'Curs, Seminar'!Z60,
IF(F56=0,"n/p",
IF(AND(F56&gt;=$H$3,F56&lt;=$I$3),$J$3,
IF(AND(F56&gt;=$H$4,F56&lt;=$I$4),$J$4,
IF(AND(F56&gt;=$H$5,F56&lt;=$I$5),$J$5,
IF(AND(F56&gt;=$H$6,F56&lt;=$I$6),$J$6,
IF(AND(F56&gt;=$H$7,F56&lt;=$I$7),$J$7,
IF(AND(F56&gt;=$H$8,F56&lt;=$I$8),$J$8,
IF(AND(F56&gt;=$H$9,F56&lt;=$I$9),$J$9,
IF(AND(F56&gt;=$H$10,F56&lt;=$I$10),$J$10,
IF(AND(F56&gt;=$H$11,F56&lt;=$I$11),$J$11))))))))))),
"")</f>
        <v/>
      </c>
    </row>
    <row r="57" spans="1:7" ht="18" x14ac:dyDescent="0.35">
      <c r="A57" s="30" t="str">
        <f>IF(NOT(ISBLANK('Curs, Seminar'!B61)),'Curs, Seminar'!B61,"")</f>
        <v/>
      </c>
      <c r="B57" s="31" t="str">
        <f>IF(NOT(ISBLANK('Curs, Seminar'!C61)),'Curs, Seminar'!C61,"")</f>
        <v/>
      </c>
      <c r="C57" s="10"/>
      <c r="D57" s="10"/>
      <c r="E57" s="10"/>
      <c r="F57" s="23" t="str">
        <f>IF(NOT(ISBLANK('Curs, Seminar'!C61)),
IF('Curs, Seminar'!Z61,"Eliberat",
ROUND(SUM(C57:E57),0)),
"")</f>
        <v/>
      </c>
      <c r="G57" s="22" t="str">
        <f>IF(NOT(ISBLANK('Curs, Seminar'!C61)),
IF('Curs, Seminar'!Z61,'Curs, Seminar'!Z61,
IF(F57=0,"n/p",
IF(AND(F57&gt;=$H$3,F57&lt;=$I$3),$J$3,
IF(AND(F57&gt;=$H$4,F57&lt;=$I$4),$J$4,
IF(AND(F57&gt;=$H$5,F57&lt;=$I$5),$J$5,
IF(AND(F57&gt;=$H$6,F57&lt;=$I$6),$J$6,
IF(AND(F57&gt;=$H$7,F57&lt;=$I$7),$J$7,
IF(AND(F57&gt;=$H$8,F57&lt;=$I$8),$J$8,
IF(AND(F57&gt;=$H$9,F57&lt;=$I$9),$J$9,
IF(AND(F57&gt;=$H$10,F57&lt;=$I$10),$J$10,
IF(AND(F57&gt;=$H$11,F57&lt;=$I$11),$J$11))))))))))),
"")</f>
        <v/>
      </c>
    </row>
    <row r="58" spans="1:7" ht="18" x14ac:dyDescent="0.35">
      <c r="A58" s="30" t="str">
        <f>IF(NOT(ISBLANK('Curs, Seminar'!B62)),'Curs, Seminar'!B62,"")</f>
        <v/>
      </c>
      <c r="B58" s="31" t="str">
        <f>IF(NOT(ISBLANK('Curs, Seminar'!C62)),'Curs, Seminar'!C62,"")</f>
        <v/>
      </c>
      <c r="C58" s="10"/>
      <c r="D58" s="10"/>
      <c r="E58" s="10"/>
      <c r="F58" s="23" t="str">
        <f>IF(NOT(ISBLANK('Curs, Seminar'!C62)),
IF('Curs, Seminar'!Z62,"Eliberat",
ROUND(SUM(C58:E58),0)),
"")</f>
        <v/>
      </c>
      <c r="G58" s="22" t="str">
        <f>IF(NOT(ISBLANK('Curs, Seminar'!C62)),
IF('Curs, Seminar'!Z62,'Curs, Seminar'!Z62,
IF(F58=0,"n/p",
IF(AND(F58&gt;=$H$3,F58&lt;=$I$3),$J$3,
IF(AND(F58&gt;=$H$4,F58&lt;=$I$4),$J$4,
IF(AND(F58&gt;=$H$5,F58&lt;=$I$5),$J$5,
IF(AND(F58&gt;=$H$6,F58&lt;=$I$6),$J$6,
IF(AND(F58&gt;=$H$7,F58&lt;=$I$7),$J$7,
IF(AND(F58&gt;=$H$8,F58&lt;=$I$8),$J$8,
IF(AND(F58&gt;=$H$9,F58&lt;=$I$9),$J$9,
IF(AND(F58&gt;=$H$10,F58&lt;=$I$10),$J$10,
IF(AND(F58&gt;=$H$11,F58&lt;=$I$11),$J$11))))))))))),
"")</f>
        <v/>
      </c>
    </row>
    <row r="59" spans="1:7" ht="18" x14ac:dyDescent="0.35">
      <c r="A59" s="30" t="str">
        <f>IF(NOT(ISBLANK('Curs, Seminar'!B63)),'Curs, Seminar'!B63,"")</f>
        <v/>
      </c>
      <c r="B59" s="31" t="str">
        <f>IF(NOT(ISBLANK('Curs, Seminar'!C63)),'Curs, Seminar'!C63,"")</f>
        <v/>
      </c>
      <c r="C59" s="10"/>
      <c r="D59" s="10"/>
      <c r="E59" s="10"/>
      <c r="F59" s="23" t="str">
        <f>IF(NOT(ISBLANK('Curs, Seminar'!C63)),
IF('Curs, Seminar'!Z63,"Eliberat",
ROUND(SUM(C59:E59),0)),
"")</f>
        <v/>
      </c>
      <c r="G59" s="22" t="str">
        <f>IF(NOT(ISBLANK('Curs, Seminar'!C63)),
IF('Curs, Seminar'!Z63,'Curs, Seminar'!Z63,
IF(F59=0,"n/p",
IF(AND(F59&gt;=$H$3,F59&lt;=$I$3),$J$3,
IF(AND(F59&gt;=$H$4,F59&lt;=$I$4),$J$4,
IF(AND(F59&gt;=$H$5,F59&lt;=$I$5),$J$5,
IF(AND(F59&gt;=$H$6,F59&lt;=$I$6),$J$6,
IF(AND(F59&gt;=$H$7,F59&lt;=$I$7),$J$7,
IF(AND(F59&gt;=$H$8,F59&lt;=$I$8),$J$8,
IF(AND(F59&gt;=$H$9,F59&lt;=$I$9),$J$9,
IF(AND(F59&gt;=$H$10,F59&lt;=$I$10),$J$10,
IF(AND(F59&gt;=$H$11,F59&lt;=$I$11),$J$11))))))))))),
"")</f>
        <v/>
      </c>
    </row>
    <row r="60" spans="1:7" ht="18" x14ac:dyDescent="0.35">
      <c r="A60" s="30" t="str">
        <f>IF(NOT(ISBLANK('Curs, Seminar'!B64)),'Curs, Seminar'!B64,"")</f>
        <v/>
      </c>
      <c r="B60" s="31" t="str">
        <f>IF(NOT(ISBLANK('Curs, Seminar'!C64)),'Curs, Seminar'!C64,"")</f>
        <v/>
      </c>
      <c r="C60" s="10"/>
      <c r="D60" s="10"/>
      <c r="E60" s="10"/>
      <c r="F60" s="23" t="str">
        <f>IF(NOT(ISBLANK('Curs, Seminar'!C64)),
IF('Curs, Seminar'!Z64,"Eliberat",
ROUND(SUM(C60:E60),0)),
"")</f>
        <v/>
      </c>
      <c r="G60" s="22" t="str">
        <f>IF(NOT(ISBLANK('Curs, Seminar'!C64)),
IF('Curs, Seminar'!Z64,'Curs, Seminar'!Z64,
IF(F60=0,"n/p",
IF(AND(F60&gt;=$H$3,F60&lt;=$I$3),$J$3,
IF(AND(F60&gt;=$H$4,F60&lt;=$I$4),$J$4,
IF(AND(F60&gt;=$H$5,F60&lt;=$I$5),$J$5,
IF(AND(F60&gt;=$H$6,F60&lt;=$I$6),$J$6,
IF(AND(F60&gt;=$H$7,F60&lt;=$I$7),$J$7,
IF(AND(F60&gt;=$H$8,F60&lt;=$I$8),$J$8,
IF(AND(F60&gt;=$H$9,F60&lt;=$I$9),$J$9,
IF(AND(F60&gt;=$H$10,F60&lt;=$I$10),$J$10,
IF(AND(F60&gt;=$H$11,F60&lt;=$I$11),$J$11))))))))))),
"")</f>
        <v/>
      </c>
    </row>
    <row r="61" spans="1:7" ht="18" x14ac:dyDescent="0.35">
      <c r="A61" s="30" t="str">
        <f>IF(NOT(ISBLANK('Curs, Seminar'!B65)),'Curs, Seminar'!B65,"")</f>
        <v/>
      </c>
      <c r="B61" s="31" t="str">
        <f>IF(NOT(ISBLANK('Curs, Seminar'!C65)),'Curs, Seminar'!C65,"")</f>
        <v/>
      </c>
      <c r="C61" s="10"/>
      <c r="D61" s="10"/>
      <c r="E61" s="10"/>
      <c r="F61" s="23" t="str">
        <f>IF(NOT(ISBLANK('Curs, Seminar'!C65)),
IF('Curs, Seminar'!Z65,"Eliberat",
ROUND(SUM(C61:E61),0)),
"")</f>
        <v/>
      </c>
      <c r="G61" s="22" t="str">
        <f>IF(NOT(ISBLANK('Curs, Seminar'!C65)),
IF('Curs, Seminar'!Z65,'Curs, Seminar'!Z65,
IF(F61=0,"n/p",
IF(AND(F61&gt;=$H$3,F61&lt;=$I$3),$J$3,
IF(AND(F61&gt;=$H$4,F61&lt;=$I$4),$J$4,
IF(AND(F61&gt;=$H$5,F61&lt;=$I$5),$J$5,
IF(AND(F61&gt;=$H$6,F61&lt;=$I$6),$J$6,
IF(AND(F61&gt;=$H$7,F61&lt;=$I$7),$J$7,
IF(AND(F61&gt;=$H$8,F61&lt;=$I$8),$J$8,
IF(AND(F61&gt;=$H$9,F61&lt;=$I$9),$J$9,
IF(AND(F61&gt;=$H$10,F61&lt;=$I$10),$J$10,
IF(AND(F61&gt;=$H$11,F61&lt;=$I$11),$J$11))))))))))),
"")</f>
        <v/>
      </c>
    </row>
    <row r="62" spans="1:7" ht="18" x14ac:dyDescent="0.35">
      <c r="A62" s="30" t="str">
        <f>IF(NOT(ISBLANK('Curs, Seminar'!B66)),'Curs, Seminar'!B66,"")</f>
        <v/>
      </c>
      <c r="B62" s="31" t="str">
        <f>IF(NOT(ISBLANK('Curs, Seminar'!C66)),'Curs, Seminar'!C66,"")</f>
        <v/>
      </c>
      <c r="C62" s="10"/>
      <c r="D62" s="10"/>
      <c r="E62" s="10"/>
      <c r="F62" s="23" t="str">
        <f>IF(NOT(ISBLANK('Curs, Seminar'!C66)),
IF('Curs, Seminar'!Z66,"Eliberat",
ROUND(SUM(C62:E62),0)),
"")</f>
        <v/>
      </c>
      <c r="G62" s="22" t="str">
        <f>IF(NOT(ISBLANK('Curs, Seminar'!C66)),
IF('Curs, Seminar'!Z66,'Curs, Seminar'!Z66,
IF(F62=0,"n/p",
IF(AND(F62&gt;=$H$3,F62&lt;=$I$3),$J$3,
IF(AND(F62&gt;=$H$4,F62&lt;=$I$4),$J$4,
IF(AND(F62&gt;=$H$5,F62&lt;=$I$5),$J$5,
IF(AND(F62&gt;=$H$6,F62&lt;=$I$6),$J$6,
IF(AND(F62&gt;=$H$7,F62&lt;=$I$7),$J$7,
IF(AND(F62&gt;=$H$8,F62&lt;=$I$8),$J$8,
IF(AND(F62&gt;=$H$9,F62&lt;=$I$9),$J$9,
IF(AND(F62&gt;=$H$10,F62&lt;=$I$10),$J$10,
IF(AND(F62&gt;=$H$11,F62&lt;=$I$11),$J$11))))))))))),
"")</f>
        <v/>
      </c>
    </row>
    <row r="63" spans="1:7" ht="18" x14ac:dyDescent="0.35">
      <c r="A63" s="30" t="str">
        <f>IF(NOT(ISBLANK('Curs, Seminar'!B67)),'Curs, Seminar'!B67,"")</f>
        <v/>
      </c>
      <c r="B63" s="31" t="str">
        <f>IF(NOT(ISBLANK('Curs, Seminar'!C67)),'Curs, Seminar'!C67,"")</f>
        <v/>
      </c>
      <c r="C63" s="10"/>
      <c r="D63" s="10"/>
      <c r="E63" s="10"/>
      <c r="F63" s="23" t="str">
        <f>IF(NOT(ISBLANK('Curs, Seminar'!C67)),
IF('Curs, Seminar'!Z67,"Eliberat",
ROUND(SUM(C63:E63),0)),
"")</f>
        <v/>
      </c>
      <c r="G63" s="22" t="str">
        <f>IF(NOT(ISBLANK('Curs, Seminar'!C67)),
IF('Curs, Seminar'!Z67,'Curs, Seminar'!Z67,
IF(F63=0,"n/p",
IF(AND(F63&gt;=$H$3,F63&lt;=$I$3),$J$3,
IF(AND(F63&gt;=$H$4,F63&lt;=$I$4),$J$4,
IF(AND(F63&gt;=$H$5,F63&lt;=$I$5),$J$5,
IF(AND(F63&gt;=$H$6,F63&lt;=$I$6),$J$6,
IF(AND(F63&gt;=$H$7,F63&lt;=$I$7),$J$7,
IF(AND(F63&gt;=$H$8,F63&lt;=$I$8),$J$8,
IF(AND(F63&gt;=$H$9,F63&lt;=$I$9),$J$9,
IF(AND(F63&gt;=$H$10,F63&lt;=$I$10),$J$10,
IF(AND(F63&gt;=$H$11,F63&lt;=$I$11),$J$11))))))))))),
"")</f>
        <v/>
      </c>
    </row>
    <row r="64" spans="1:7" ht="18" x14ac:dyDescent="0.35">
      <c r="A64" s="30" t="str">
        <f>IF(NOT(ISBLANK('Curs, Seminar'!B68)),'Curs, Seminar'!B68,"")</f>
        <v/>
      </c>
      <c r="B64" s="31" t="str">
        <f>IF(NOT(ISBLANK('Curs, Seminar'!C68)),'Curs, Seminar'!C68,"")</f>
        <v/>
      </c>
      <c r="C64" s="10"/>
      <c r="D64" s="10"/>
      <c r="E64" s="10"/>
      <c r="F64" s="23" t="str">
        <f>IF(NOT(ISBLANK('Curs, Seminar'!C68)),
IF('Curs, Seminar'!Z68,"Eliberat",
ROUND(SUM(C64:E64),0)),
"")</f>
        <v/>
      </c>
      <c r="G64" s="22" t="str">
        <f>IF(NOT(ISBLANK('Curs, Seminar'!C68)),
IF('Curs, Seminar'!Z68,'Curs, Seminar'!Z68,
IF(F64=0,"n/p",
IF(AND(F64&gt;=$H$3,F64&lt;=$I$3),$J$3,
IF(AND(F64&gt;=$H$4,F64&lt;=$I$4),$J$4,
IF(AND(F64&gt;=$H$5,F64&lt;=$I$5),$J$5,
IF(AND(F64&gt;=$H$6,F64&lt;=$I$6),$J$6,
IF(AND(F64&gt;=$H$7,F64&lt;=$I$7),$J$7,
IF(AND(F64&gt;=$H$8,F64&lt;=$I$8),$J$8,
IF(AND(F64&gt;=$H$9,F64&lt;=$I$9),$J$9,
IF(AND(F64&gt;=$H$10,F64&lt;=$I$10),$J$10,
IF(AND(F64&gt;=$H$11,F64&lt;=$I$11),$J$11))))))))))),
"")</f>
        <v/>
      </c>
    </row>
    <row r="65" spans="1:7" ht="18" x14ac:dyDescent="0.35">
      <c r="A65" s="30" t="str">
        <f>IF(NOT(ISBLANK('Curs, Seminar'!B69)),'Curs, Seminar'!B69,"")</f>
        <v/>
      </c>
      <c r="B65" s="31" t="str">
        <f>IF(NOT(ISBLANK('Curs, Seminar'!C69)),'Curs, Seminar'!C69,"")</f>
        <v/>
      </c>
      <c r="C65" s="10"/>
      <c r="D65" s="10"/>
      <c r="E65" s="10"/>
      <c r="F65" s="23" t="str">
        <f>IF(NOT(ISBLANK('Curs, Seminar'!C69)),
IF('Curs, Seminar'!Z69,"Eliberat",
ROUND(SUM(C65:E65),0)),
"")</f>
        <v/>
      </c>
      <c r="G65" s="22" t="str">
        <f>IF(NOT(ISBLANK('Curs, Seminar'!C69)),
IF('Curs, Seminar'!Z69,'Curs, Seminar'!Z69,
IF(F65=0,"n/p",
IF(AND(F65&gt;=$H$3,F65&lt;=$I$3),$J$3,
IF(AND(F65&gt;=$H$4,F65&lt;=$I$4),$J$4,
IF(AND(F65&gt;=$H$5,F65&lt;=$I$5),$J$5,
IF(AND(F65&gt;=$H$6,F65&lt;=$I$6),$J$6,
IF(AND(F65&gt;=$H$7,F65&lt;=$I$7),$J$7,
IF(AND(F65&gt;=$H$8,F65&lt;=$I$8),$J$8,
IF(AND(F65&gt;=$H$9,F65&lt;=$I$9),$J$9,
IF(AND(F65&gt;=$H$10,F65&lt;=$I$10),$J$10,
IF(AND(F65&gt;=$H$11,F65&lt;=$I$11),$J$11))))))))))),
"")</f>
        <v/>
      </c>
    </row>
    <row r="66" spans="1:7" ht="18" x14ac:dyDescent="0.35">
      <c r="A66" s="30" t="str">
        <f>IF(NOT(ISBLANK('Curs, Seminar'!B70)),'Curs, Seminar'!B70,"")</f>
        <v/>
      </c>
      <c r="B66" s="31" t="str">
        <f>IF(NOT(ISBLANK('Curs, Seminar'!C70)),'Curs, Seminar'!C70,"")</f>
        <v/>
      </c>
      <c r="C66" s="10"/>
      <c r="D66" s="10"/>
      <c r="E66" s="10"/>
      <c r="F66" s="23" t="str">
        <f>IF(NOT(ISBLANK('Curs, Seminar'!C70)),
IF('Curs, Seminar'!Z70,"Eliberat",
ROUND(SUM(C66:E66),0)),
"")</f>
        <v/>
      </c>
      <c r="G66" s="22" t="str">
        <f>IF(NOT(ISBLANK('Curs, Seminar'!C70)),
IF('Curs, Seminar'!Z70,'Curs, Seminar'!Z70,
IF(F66=0,"n/p",
IF(AND(F66&gt;=$H$3,F66&lt;=$I$3),$J$3,
IF(AND(F66&gt;=$H$4,F66&lt;=$I$4),$J$4,
IF(AND(F66&gt;=$H$5,F66&lt;=$I$5),$J$5,
IF(AND(F66&gt;=$H$6,F66&lt;=$I$6),$J$6,
IF(AND(F66&gt;=$H$7,F66&lt;=$I$7),$J$7,
IF(AND(F66&gt;=$H$8,F66&lt;=$I$8),$J$8,
IF(AND(F66&gt;=$H$9,F66&lt;=$I$9),$J$9,
IF(AND(F66&gt;=$H$10,F66&lt;=$I$10),$J$10,
IF(AND(F66&gt;=$H$11,F66&lt;=$I$11),$J$11))))))))))),
"")</f>
        <v/>
      </c>
    </row>
    <row r="67" spans="1:7" ht="18" x14ac:dyDescent="0.35">
      <c r="A67" s="30" t="str">
        <f>IF(NOT(ISBLANK('Curs, Seminar'!B71)),'Curs, Seminar'!B71,"")</f>
        <v/>
      </c>
      <c r="B67" s="31" t="str">
        <f>IF(NOT(ISBLANK('Curs, Seminar'!C71)),'Curs, Seminar'!C71,"")</f>
        <v/>
      </c>
      <c r="C67" s="10"/>
      <c r="D67" s="10"/>
      <c r="E67" s="10"/>
      <c r="F67" s="23" t="str">
        <f>IF(NOT(ISBLANK('Curs, Seminar'!C71)),
IF('Curs, Seminar'!Z71,"Eliberat",
ROUND(SUM(C67:E67),0)),
"")</f>
        <v/>
      </c>
      <c r="G67" s="22" t="str">
        <f>IF(NOT(ISBLANK('Curs, Seminar'!C71)),
IF('Curs, Seminar'!Z71,'Curs, Seminar'!Z71,
IF(F67=0,"n/p",
IF(AND(F67&gt;=$H$3,F67&lt;=$I$3),$J$3,
IF(AND(F67&gt;=$H$4,F67&lt;=$I$4),$J$4,
IF(AND(F67&gt;=$H$5,F67&lt;=$I$5),$J$5,
IF(AND(F67&gt;=$H$6,F67&lt;=$I$6),$J$6,
IF(AND(F67&gt;=$H$7,F67&lt;=$I$7),$J$7,
IF(AND(F67&gt;=$H$8,F67&lt;=$I$8),$J$8,
IF(AND(F67&gt;=$H$9,F67&lt;=$I$9),$J$9,
IF(AND(F67&gt;=$H$10,F67&lt;=$I$10),$J$10,
IF(AND(F67&gt;=$H$11,F67&lt;=$I$11),$J$11))))))))))),
"")</f>
        <v/>
      </c>
    </row>
    <row r="68" spans="1:7" ht="18" x14ac:dyDescent="0.35">
      <c r="A68" s="30" t="str">
        <f>IF(NOT(ISBLANK('Curs, Seminar'!B72)),'Curs, Seminar'!B72,"")</f>
        <v/>
      </c>
      <c r="B68" s="31" t="str">
        <f>IF(NOT(ISBLANK('Curs, Seminar'!C72)),'Curs, Seminar'!C72,"")</f>
        <v/>
      </c>
      <c r="C68" s="10"/>
      <c r="D68" s="10"/>
      <c r="E68" s="10"/>
      <c r="F68" s="23" t="str">
        <f>IF(NOT(ISBLANK('Curs, Seminar'!C72)),
IF('Curs, Seminar'!Z72,"Eliberat",
ROUND(SUM(C68:E68),0)),
"")</f>
        <v/>
      </c>
      <c r="G68" s="22" t="str">
        <f>IF(NOT(ISBLANK('Curs, Seminar'!C72)),
IF('Curs, Seminar'!Z72,'Curs, Seminar'!Z72,
IF(F68=0,"n/p",
IF(AND(F68&gt;=$H$3,F68&lt;=$I$3),$J$3,
IF(AND(F68&gt;=$H$4,F68&lt;=$I$4),$J$4,
IF(AND(F68&gt;=$H$5,F68&lt;=$I$5),$J$5,
IF(AND(F68&gt;=$H$6,F68&lt;=$I$6),$J$6,
IF(AND(F68&gt;=$H$7,F68&lt;=$I$7),$J$7,
IF(AND(F68&gt;=$H$8,F68&lt;=$I$8),$J$8,
IF(AND(F68&gt;=$H$9,F68&lt;=$I$9),$J$9,
IF(AND(F68&gt;=$H$10,F68&lt;=$I$10),$J$10,
IF(AND(F68&gt;=$H$11,F68&lt;=$I$11),$J$11))))))))))),
"")</f>
        <v/>
      </c>
    </row>
    <row r="69" spans="1:7" ht="18" x14ac:dyDescent="0.35">
      <c r="A69" s="30" t="str">
        <f>IF(NOT(ISBLANK('Curs, Seminar'!B73)),'Curs, Seminar'!B73,"")</f>
        <v/>
      </c>
      <c r="B69" s="31" t="str">
        <f>IF(NOT(ISBLANK('Curs, Seminar'!C73)),'Curs, Seminar'!C73,"")</f>
        <v/>
      </c>
      <c r="C69" s="10"/>
      <c r="D69" s="10"/>
      <c r="E69" s="10"/>
      <c r="F69" s="23" t="str">
        <f>IF(NOT(ISBLANK('Curs, Seminar'!C73)),
IF('Curs, Seminar'!Z73,"Eliberat",
ROUND(SUM(C69:E69),0)),
"")</f>
        <v/>
      </c>
      <c r="G69" s="22" t="str">
        <f>IF(NOT(ISBLANK('Curs, Seminar'!C73)),
IF('Curs, Seminar'!Z73,'Curs, Seminar'!Z73,
IF(F69=0,"n/p",
IF(AND(F69&gt;=$H$3,F69&lt;=$I$3),$J$3,
IF(AND(F69&gt;=$H$4,F69&lt;=$I$4),$J$4,
IF(AND(F69&gt;=$H$5,F69&lt;=$I$5),$J$5,
IF(AND(F69&gt;=$H$6,F69&lt;=$I$6),$J$6,
IF(AND(F69&gt;=$H$7,F69&lt;=$I$7),$J$7,
IF(AND(F69&gt;=$H$8,F69&lt;=$I$8),$J$8,
IF(AND(F69&gt;=$H$9,F69&lt;=$I$9),$J$9,
IF(AND(F69&gt;=$H$10,F69&lt;=$I$10),$J$10,
IF(AND(F69&gt;=$H$11,F69&lt;=$I$11),$J$11))))))))))),
"")</f>
        <v/>
      </c>
    </row>
    <row r="70" spans="1:7" ht="18" x14ac:dyDescent="0.35">
      <c r="A70" s="30" t="str">
        <f>IF(NOT(ISBLANK('Curs, Seminar'!B74)),'Curs, Seminar'!B74,"")</f>
        <v/>
      </c>
      <c r="B70" s="31" t="str">
        <f>IF(NOT(ISBLANK('Curs, Seminar'!C74)),'Curs, Seminar'!C74,"")</f>
        <v/>
      </c>
      <c r="C70" s="10"/>
      <c r="D70" s="10"/>
      <c r="E70" s="10"/>
      <c r="F70" s="23" t="str">
        <f>IF(NOT(ISBLANK('Curs, Seminar'!C74)),
IF('Curs, Seminar'!Z74,"Eliberat",
ROUND(SUM(C70:E70),0)),
"")</f>
        <v/>
      </c>
      <c r="G70" s="22" t="str">
        <f>IF(NOT(ISBLANK('Curs, Seminar'!C74)),
IF('Curs, Seminar'!Z74,'Curs, Seminar'!Z74,
IF(F70=0,"n/p",
IF(AND(F70&gt;=$H$3,F70&lt;=$I$3),$J$3,
IF(AND(F70&gt;=$H$4,F70&lt;=$I$4),$J$4,
IF(AND(F70&gt;=$H$5,F70&lt;=$I$5),$J$5,
IF(AND(F70&gt;=$H$6,F70&lt;=$I$6),$J$6,
IF(AND(F70&gt;=$H$7,F70&lt;=$I$7),$J$7,
IF(AND(F70&gt;=$H$8,F70&lt;=$I$8),$J$8,
IF(AND(F70&gt;=$H$9,F70&lt;=$I$9),$J$9,
IF(AND(F70&gt;=$H$10,F70&lt;=$I$10),$J$10,
IF(AND(F70&gt;=$H$11,F70&lt;=$I$11),$J$11))))))))))),
"")</f>
        <v/>
      </c>
    </row>
    <row r="71" spans="1:7" ht="18" x14ac:dyDescent="0.35">
      <c r="A71" s="30" t="str">
        <f>IF(NOT(ISBLANK('Curs, Seminar'!B75)),'Curs, Seminar'!B75,"")</f>
        <v/>
      </c>
      <c r="B71" s="31" t="str">
        <f>IF(NOT(ISBLANK('Curs, Seminar'!C75)),'Curs, Seminar'!C75,"")</f>
        <v/>
      </c>
      <c r="C71" s="10"/>
      <c r="D71" s="10"/>
      <c r="E71" s="10"/>
      <c r="F71" s="23" t="str">
        <f>IF(NOT(ISBLANK('Curs, Seminar'!C75)),
IF('Curs, Seminar'!Z75,"Eliberat",
ROUND(SUM(C71:E71),0)),
"")</f>
        <v/>
      </c>
      <c r="G71" s="22" t="str">
        <f>IF(NOT(ISBLANK('Curs, Seminar'!C75)),
IF('Curs, Seminar'!Z75,'Curs, Seminar'!Z75,
IF(F71=0,"n/p",
IF(AND(F71&gt;=$H$3,F71&lt;=$I$3),$J$3,
IF(AND(F71&gt;=$H$4,F71&lt;=$I$4),$J$4,
IF(AND(F71&gt;=$H$5,F71&lt;=$I$5),$J$5,
IF(AND(F71&gt;=$H$6,F71&lt;=$I$6),$J$6,
IF(AND(F71&gt;=$H$7,F71&lt;=$I$7),$J$7,
IF(AND(F71&gt;=$H$8,F71&lt;=$I$8),$J$8,
IF(AND(F71&gt;=$H$9,F71&lt;=$I$9),$J$9,
IF(AND(F71&gt;=$H$10,F71&lt;=$I$10),$J$10,
IF(AND(F71&gt;=$H$11,F71&lt;=$I$11),$J$11))))))))))),
"")</f>
        <v/>
      </c>
    </row>
    <row r="72" spans="1:7" ht="18" x14ac:dyDescent="0.35">
      <c r="A72" s="30" t="str">
        <f>IF(NOT(ISBLANK('Curs, Seminar'!B76)),'Curs, Seminar'!B76,"")</f>
        <v/>
      </c>
      <c r="B72" s="31" t="str">
        <f>IF(NOT(ISBLANK('Curs, Seminar'!C76)),'Curs, Seminar'!C76,"")</f>
        <v/>
      </c>
      <c r="C72" s="10"/>
      <c r="D72" s="10"/>
      <c r="E72" s="10"/>
      <c r="F72" s="23" t="str">
        <f>IF(NOT(ISBLANK('Curs, Seminar'!C76)),
IF('Curs, Seminar'!Z76,"Eliberat",
ROUND(SUM(C72:E72),0)),
"")</f>
        <v/>
      </c>
      <c r="G72" s="22" t="str">
        <f>IF(NOT(ISBLANK('Curs, Seminar'!C76)),
IF('Curs, Seminar'!Z76,'Curs, Seminar'!Z76,
IF(F72=0,"n/p",
IF(AND(F72&gt;=$H$3,F72&lt;=$I$3),$J$3,
IF(AND(F72&gt;=$H$4,F72&lt;=$I$4),$J$4,
IF(AND(F72&gt;=$H$5,F72&lt;=$I$5),$J$5,
IF(AND(F72&gt;=$H$6,F72&lt;=$I$6),$J$6,
IF(AND(F72&gt;=$H$7,F72&lt;=$I$7),$J$7,
IF(AND(F72&gt;=$H$8,F72&lt;=$I$8),$J$8,
IF(AND(F72&gt;=$H$9,F72&lt;=$I$9),$J$9,
IF(AND(F72&gt;=$H$10,F72&lt;=$I$10),$J$10,
IF(AND(F72&gt;=$H$11,F72&lt;=$I$11),$J$11))))))))))),
"")</f>
        <v/>
      </c>
    </row>
    <row r="73" spans="1:7" ht="18" x14ac:dyDescent="0.35">
      <c r="A73" s="30" t="str">
        <f>IF(NOT(ISBLANK('Curs, Seminar'!B77)),'Curs, Seminar'!B77,"")</f>
        <v/>
      </c>
      <c r="B73" s="31" t="str">
        <f>IF(NOT(ISBLANK('Curs, Seminar'!C77)),'Curs, Seminar'!C77,"")</f>
        <v/>
      </c>
      <c r="C73" s="10"/>
      <c r="D73" s="10"/>
      <c r="E73" s="10"/>
      <c r="F73" s="23" t="str">
        <f>IF(NOT(ISBLANK('Curs, Seminar'!C77)),
IF('Curs, Seminar'!Z77,"Eliberat",
ROUND(SUM(C73:E73),0)),
"")</f>
        <v/>
      </c>
      <c r="G73" s="22" t="str">
        <f>IF(NOT(ISBLANK('Curs, Seminar'!C77)),
IF('Curs, Seminar'!Z77,'Curs, Seminar'!Z77,
IF(F73=0,"n/p",
IF(AND(F73&gt;=$H$3,F73&lt;=$I$3),$J$3,
IF(AND(F73&gt;=$H$4,F73&lt;=$I$4),$J$4,
IF(AND(F73&gt;=$H$5,F73&lt;=$I$5),$J$5,
IF(AND(F73&gt;=$H$6,F73&lt;=$I$6),$J$6,
IF(AND(F73&gt;=$H$7,F73&lt;=$I$7),$J$7,
IF(AND(F73&gt;=$H$8,F73&lt;=$I$8),$J$8,
IF(AND(F73&gt;=$H$9,F73&lt;=$I$9),$J$9,
IF(AND(F73&gt;=$H$10,F73&lt;=$I$10),$J$10,
IF(AND(F73&gt;=$H$11,F73&lt;=$I$11),$J$11))))))))))),
"")</f>
        <v/>
      </c>
    </row>
    <row r="74" spans="1:7" ht="18" x14ac:dyDescent="0.35">
      <c r="A74" s="30" t="str">
        <f>IF(NOT(ISBLANK('Curs, Seminar'!B78)),'Curs, Seminar'!B78,"")</f>
        <v/>
      </c>
      <c r="B74" s="31" t="str">
        <f>IF(NOT(ISBLANK('Curs, Seminar'!C78)),'Curs, Seminar'!C78,"")</f>
        <v/>
      </c>
      <c r="C74" s="10"/>
      <c r="D74" s="10"/>
      <c r="E74" s="10"/>
      <c r="F74" s="23" t="str">
        <f>IF(NOT(ISBLANK('Curs, Seminar'!C78)),
IF('Curs, Seminar'!Z78,"Eliberat",
ROUND(SUM(C74:E74),0)),
"")</f>
        <v/>
      </c>
      <c r="G74" s="22" t="str">
        <f>IF(NOT(ISBLANK('Curs, Seminar'!C78)),
IF('Curs, Seminar'!Z78,'Curs, Seminar'!Z78,
IF(F74=0,"n/p",
IF(AND(F74&gt;=$H$3,F74&lt;=$I$3),$J$3,
IF(AND(F74&gt;=$H$4,F74&lt;=$I$4),$J$4,
IF(AND(F74&gt;=$H$5,F74&lt;=$I$5),$J$5,
IF(AND(F74&gt;=$H$6,F74&lt;=$I$6),$J$6,
IF(AND(F74&gt;=$H$7,F74&lt;=$I$7),$J$7,
IF(AND(F74&gt;=$H$8,F74&lt;=$I$8),$J$8,
IF(AND(F74&gt;=$H$9,F74&lt;=$I$9),$J$9,
IF(AND(F74&gt;=$H$10,F74&lt;=$I$10),$J$10,
IF(AND(F74&gt;=$H$11,F74&lt;=$I$11),$J$11))))))))))),
"")</f>
        <v/>
      </c>
    </row>
    <row r="75" spans="1:7" ht="18" x14ac:dyDescent="0.35">
      <c r="A75" s="30" t="str">
        <f>IF(NOT(ISBLANK('Curs, Seminar'!B79)),'Curs, Seminar'!B79,"")</f>
        <v/>
      </c>
      <c r="B75" s="31" t="str">
        <f>IF(NOT(ISBLANK('Curs, Seminar'!C79)),'Curs, Seminar'!C79,"")</f>
        <v/>
      </c>
      <c r="C75" s="10"/>
      <c r="D75" s="10"/>
      <c r="E75" s="10"/>
      <c r="F75" s="23" t="str">
        <f>IF(NOT(ISBLANK('Curs, Seminar'!C79)),
IF('Curs, Seminar'!Z79,"Eliberat",
ROUND(SUM(C75:E75),0)),
"")</f>
        <v/>
      </c>
      <c r="G75" s="22" t="str">
        <f>IF(NOT(ISBLANK('Curs, Seminar'!C79)),
IF('Curs, Seminar'!Z79,'Curs, Seminar'!Z79,
IF(F75=0,"n/p",
IF(AND(F75&gt;=$H$3,F75&lt;=$I$3),$J$3,
IF(AND(F75&gt;=$H$4,F75&lt;=$I$4),$J$4,
IF(AND(F75&gt;=$H$5,F75&lt;=$I$5),$J$5,
IF(AND(F75&gt;=$H$6,F75&lt;=$I$6),$J$6,
IF(AND(F75&gt;=$H$7,F75&lt;=$I$7),$J$7,
IF(AND(F75&gt;=$H$8,F75&lt;=$I$8),$J$8,
IF(AND(F75&gt;=$H$9,F75&lt;=$I$9),$J$9,
IF(AND(F75&gt;=$H$10,F75&lt;=$I$10),$J$10,
IF(AND(F75&gt;=$H$11,F75&lt;=$I$11),$J$11))))))))))),
"")</f>
        <v/>
      </c>
    </row>
    <row r="76" spans="1:7" ht="18" x14ac:dyDescent="0.35">
      <c r="A76" s="30" t="str">
        <f>IF(NOT(ISBLANK('Curs, Seminar'!B80)),'Curs, Seminar'!B80,"")</f>
        <v/>
      </c>
      <c r="B76" s="31" t="str">
        <f>IF(NOT(ISBLANK('Curs, Seminar'!C80)),'Curs, Seminar'!C80,"")</f>
        <v/>
      </c>
      <c r="C76" s="10"/>
      <c r="D76" s="10"/>
      <c r="E76" s="10"/>
      <c r="F76" s="23" t="str">
        <f>IF(NOT(ISBLANK('Curs, Seminar'!C80)),
IF('Curs, Seminar'!Z80,"Eliberat",
ROUND(SUM(C76:E76),0)),
"")</f>
        <v/>
      </c>
      <c r="G76" s="22" t="str">
        <f>IF(NOT(ISBLANK('Curs, Seminar'!C80)),
IF('Curs, Seminar'!Z80,'Curs, Seminar'!Z80,
IF(F76=0,"n/p",
IF(AND(F76&gt;=$H$3,F76&lt;=$I$3),$J$3,
IF(AND(F76&gt;=$H$4,F76&lt;=$I$4),$J$4,
IF(AND(F76&gt;=$H$5,F76&lt;=$I$5),$J$5,
IF(AND(F76&gt;=$H$6,F76&lt;=$I$6),$J$6,
IF(AND(F76&gt;=$H$7,F76&lt;=$I$7),$J$7,
IF(AND(F76&gt;=$H$8,F76&lt;=$I$8),$J$8,
IF(AND(F76&gt;=$H$9,F76&lt;=$I$9),$J$9,
IF(AND(F76&gt;=$H$10,F76&lt;=$I$10),$J$10,
IF(AND(F76&gt;=$H$11,F76&lt;=$I$11),$J$11))))))))))),
"")</f>
        <v/>
      </c>
    </row>
    <row r="77" spans="1:7" ht="18" x14ac:dyDescent="0.35">
      <c r="A77" s="30" t="str">
        <f>IF(NOT(ISBLANK('Curs, Seminar'!B81)),'Curs, Seminar'!B81,"")</f>
        <v/>
      </c>
      <c r="B77" s="31" t="str">
        <f>IF(NOT(ISBLANK('Curs, Seminar'!C81)),'Curs, Seminar'!C81,"")</f>
        <v/>
      </c>
      <c r="C77" s="10"/>
      <c r="D77" s="10"/>
      <c r="E77" s="10"/>
      <c r="F77" s="23" t="str">
        <f>IF(NOT(ISBLANK('Curs, Seminar'!C81)),
IF('Curs, Seminar'!Z81,"Eliberat",
ROUND(SUM(C77:E77),0)),
"")</f>
        <v/>
      </c>
      <c r="G77" s="22" t="str">
        <f>IF(NOT(ISBLANK('Curs, Seminar'!C81)),
IF('Curs, Seminar'!Z81,'Curs, Seminar'!Z81,
IF(F77=0,"n/p",
IF(AND(F77&gt;=$H$3,F77&lt;=$I$3),$J$3,
IF(AND(F77&gt;=$H$4,F77&lt;=$I$4),$J$4,
IF(AND(F77&gt;=$H$5,F77&lt;=$I$5),$J$5,
IF(AND(F77&gt;=$H$6,F77&lt;=$I$6),$J$6,
IF(AND(F77&gt;=$H$7,F77&lt;=$I$7),$J$7,
IF(AND(F77&gt;=$H$8,F77&lt;=$I$8),$J$8,
IF(AND(F77&gt;=$H$9,F77&lt;=$I$9),$J$9,
IF(AND(F77&gt;=$H$10,F77&lt;=$I$10),$J$10,
IF(AND(F77&gt;=$H$11,F77&lt;=$I$11),$J$11))))))))))),
"")</f>
        <v/>
      </c>
    </row>
    <row r="78" spans="1:7" ht="18" x14ac:dyDescent="0.35">
      <c r="A78" s="30" t="str">
        <f>IF(NOT(ISBLANK('Curs, Seminar'!B82)),'Curs, Seminar'!B82,"")</f>
        <v/>
      </c>
      <c r="B78" s="31" t="str">
        <f>IF(NOT(ISBLANK('Curs, Seminar'!C82)),'Curs, Seminar'!C82,"")</f>
        <v/>
      </c>
      <c r="C78" s="10"/>
      <c r="D78" s="10"/>
      <c r="E78" s="10"/>
      <c r="F78" s="23" t="str">
        <f>IF(NOT(ISBLANK('Curs, Seminar'!C82)),
IF('Curs, Seminar'!Z82,"Eliberat",
ROUND(SUM(C78:E78),0)),
"")</f>
        <v/>
      </c>
      <c r="G78" s="22" t="str">
        <f>IF(NOT(ISBLANK('Curs, Seminar'!C82)),
IF('Curs, Seminar'!Z82,'Curs, Seminar'!Z82,
IF(F78=0,"n/p",
IF(AND(F78&gt;=$H$3,F78&lt;=$I$3),$J$3,
IF(AND(F78&gt;=$H$4,F78&lt;=$I$4),$J$4,
IF(AND(F78&gt;=$H$5,F78&lt;=$I$5),$J$5,
IF(AND(F78&gt;=$H$6,F78&lt;=$I$6),$J$6,
IF(AND(F78&gt;=$H$7,F78&lt;=$I$7),$J$7,
IF(AND(F78&gt;=$H$8,F78&lt;=$I$8),$J$8,
IF(AND(F78&gt;=$H$9,F78&lt;=$I$9),$J$9,
IF(AND(F78&gt;=$H$10,F78&lt;=$I$10),$J$10,
IF(AND(F78&gt;=$H$11,F78&lt;=$I$11),$J$11))))))))))),
"")</f>
        <v/>
      </c>
    </row>
    <row r="79" spans="1:7" ht="18" x14ac:dyDescent="0.35">
      <c r="A79" s="30" t="str">
        <f>IF(NOT(ISBLANK('Curs, Seminar'!B83)),'Curs, Seminar'!B83,"")</f>
        <v/>
      </c>
      <c r="B79" s="31" t="str">
        <f>IF(NOT(ISBLANK('Curs, Seminar'!C83)),'Curs, Seminar'!C83,"")</f>
        <v/>
      </c>
      <c r="C79" s="10"/>
      <c r="D79" s="10"/>
      <c r="E79" s="10"/>
      <c r="F79" s="23" t="str">
        <f>IF(NOT(ISBLANK('Curs, Seminar'!C83)),
IF('Curs, Seminar'!Z83,"Eliberat",
ROUND(SUM(C79:E79),0)),
"")</f>
        <v/>
      </c>
      <c r="G79" s="22" t="str">
        <f>IF(NOT(ISBLANK('Curs, Seminar'!C83)),
IF('Curs, Seminar'!Z83,'Curs, Seminar'!Z83,
IF(F79=0,"n/p",
IF(AND(F79&gt;=$H$3,F79&lt;=$I$3),$J$3,
IF(AND(F79&gt;=$H$4,F79&lt;=$I$4),$J$4,
IF(AND(F79&gt;=$H$5,F79&lt;=$I$5),$J$5,
IF(AND(F79&gt;=$H$6,F79&lt;=$I$6),$J$6,
IF(AND(F79&gt;=$H$7,F79&lt;=$I$7),$J$7,
IF(AND(F79&gt;=$H$8,F79&lt;=$I$8),$J$8,
IF(AND(F79&gt;=$H$9,F79&lt;=$I$9),$J$9,
IF(AND(F79&gt;=$H$10,F79&lt;=$I$10),$J$10,
IF(AND(F79&gt;=$H$11,F79&lt;=$I$11),$J$11))))))))))),
"")</f>
        <v/>
      </c>
    </row>
    <row r="80" spans="1:7" ht="18" x14ac:dyDescent="0.35">
      <c r="A80" s="30" t="str">
        <f>IF(NOT(ISBLANK('Curs, Seminar'!B84)),'Curs, Seminar'!B84,"")</f>
        <v/>
      </c>
      <c r="B80" s="31" t="str">
        <f>IF(NOT(ISBLANK('Curs, Seminar'!C84)),'Curs, Seminar'!C84,"")</f>
        <v/>
      </c>
      <c r="C80" s="10"/>
      <c r="D80" s="10"/>
      <c r="E80" s="10"/>
      <c r="F80" s="23" t="str">
        <f>IF(NOT(ISBLANK('Curs, Seminar'!C84)),
IF('Curs, Seminar'!Z84,"Eliberat",
ROUND(SUM(C80:E80),0)),
"")</f>
        <v/>
      </c>
      <c r="G80" s="22" t="str">
        <f>IF(NOT(ISBLANK('Curs, Seminar'!C84)),
IF('Curs, Seminar'!Z84,'Curs, Seminar'!Z84,
IF(F80=0,"n/p",
IF(AND(F80&gt;=$H$3,F80&lt;=$I$3),$J$3,
IF(AND(F80&gt;=$H$4,F80&lt;=$I$4),$J$4,
IF(AND(F80&gt;=$H$5,F80&lt;=$I$5),$J$5,
IF(AND(F80&gt;=$H$6,F80&lt;=$I$6),$J$6,
IF(AND(F80&gt;=$H$7,F80&lt;=$I$7),$J$7,
IF(AND(F80&gt;=$H$8,F80&lt;=$I$8),$J$8,
IF(AND(F80&gt;=$H$9,F80&lt;=$I$9),$J$9,
IF(AND(F80&gt;=$H$10,F80&lt;=$I$10),$J$10,
IF(AND(F80&gt;=$H$11,F80&lt;=$I$11),$J$11))))))))))),
"")</f>
        <v/>
      </c>
    </row>
    <row r="81" spans="1:7" ht="18" x14ac:dyDescent="0.35">
      <c r="A81" s="30" t="str">
        <f>IF(NOT(ISBLANK('Curs, Seminar'!B85)),'Curs, Seminar'!B85,"")</f>
        <v/>
      </c>
      <c r="B81" s="31" t="str">
        <f>IF(NOT(ISBLANK('Curs, Seminar'!C85)),'Curs, Seminar'!C85,"")</f>
        <v/>
      </c>
      <c r="C81" s="10"/>
      <c r="D81" s="10"/>
      <c r="E81" s="10"/>
      <c r="F81" s="23" t="str">
        <f>IF(NOT(ISBLANK('Curs, Seminar'!C85)),
IF('Curs, Seminar'!Z85,"Eliberat",
ROUND(SUM(C81:E81),0)),
"")</f>
        <v/>
      </c>
      <c r="G81" s="22" t="str">
        <f>IF(NOT(ISBLANK('Curs, Seminar'!C85)),
IF('Curs, Seminar'!Z85,'Curs, Seminar'!Z85,
IF(F81=0,"n/p",
IF(AND(F81&gt;=$H$3,F81&lt;=$I$3),$J$3,
IF(AND(F81&gt;=$H$4,F81&lt;=$I$4),$J$4,
IF(AND(F81&gt;=$H$5,F81&lt;=$I$5),$J$5,
IF(AND(F81&gt;=$H$6,F81&lt;=$I$6),$J$6,
IF(AND(F81&gt;=$H$7,F81&lt;=$I$7),$J$7,
IF(AND(F81&gt;=$H$8,F81&lt;=$I$8),$J$8,
IF(AND(F81&gt;=$H$9,F81&lt;=$I$9),$J$9,
IF(AND(F81&gt;=$H$10,F81&lt;=$I$10),$J$10,
IF(AND(F81&gt;=$H$11,F81&lt;=$I$11),$J$11))))))))))),
"")</f>
        <v/>
      </c>
    </row>
    <row r="82" spans="1:7" ht="18" x14ac:dyDescent="0.35">
      <c r="A82" s="30" t="str">
        <f>IF(NOT(ISBLANK('Curs, Seminar'!B86)),'Curs, Seminar'!B86,"")</f>
        <v/>
      </c>
      <c r="B82" s="31" t="str">
        <f>IF(NOT(ISBLANK('Curs, Seminar'!C86)),'Curs, Seminar'!C86,"")</f>
        <v/>
      </c>
      <c r="C82" s="10"/>
      <c r="D82" s="10"/>
      <c r="E82" s="10"/>
      <c r="F82" s="23" t="str">
        <f>IF(NOT(ISBLANK('Curs, Seminar'!C86)),
IF('Curs, Seminar'!Z86,"Eliberat",
ROUND(SUM(C82:E82),0)),
"")</f>
        <v/>
      </c>
      <c r="G82" s="22" t="str">
        <f>IF(NOT(ISBLANK('Curs, Seminar'!C86)),
IF('Curs, Seminar'!Z86,'Curs, Seminar'!Z86,
IF(F82=0,"n/p",
IF(AND(F82&gt;=$H$3,F82&lt;=$I$3),$J$3,
IF(AND(F82&gt;=$H$4,F82&lt;=$I$4),$J$4,
IF(AND(F82&gt;=$H$5,F82&lt;=$I$5),$J$5,
IF(AND(F82&gt;=$H$6,F82&lt;=$I$6),$J$6,
IF(AND(F82&gt;=$H$7,F82&lt;=$I$7),$J$7,
IF(AND(F82&gt;=$H$8,F82&lt;=$I$8),$J$8,
IF(AND(F82&gt;=$H$9,F82&lt;=$I$9),$J$9,
IF(AND(F82&gt;=$H$10,F82&lt;=$I$10),$J$10,
IF(AND(F82&gt;=$H$11,F82&lt;=$I$11),$J$11))))))))))),
"")</f>
        <v/>
      </c>
    </row>
    <row r="83" spans="1:7" ht="18" x14ac:dyDescent="0.35">
      <c r="A83" s="30" t="str">
        <f>IF(NOT(ISBLANK('Curs, Seminar'!B87)),'Curs, Seminar'!B87,"")</f>
        <v/>
      </c>
      <c r="B83" s="31" t="str">
        <f>IF(NOT(ISBLANK('Curs, Seminar'!C87)),'Curs, Seminar'!C87,"")</f>
        <v/>
      </c>
      <c r="C83" s="10"/>
      <c r="D83" s="10"/>
      <c r="E83" s="10"/>
      <c r="F83" s="23" t="str">
        <f>IF(NOT(ISBLANK('Curs, Seminar'!C87)),
IF('Curs, Seminar'!Z87,"Eliberat",
ROUND(SUM(C83:E83),0)),
"")</f>
        <v/>
      </c>
      <c r="G83" s="22" t="str">
        <f>IF(NOT(ISBLANK('Curs, Seminar'!C87)),
IF('Curs, Seminar'!Z87,'Curs, Seminar'!Z87,
IF(F83=0,"n/p",
IF(AND(F83&gt;=$H$3,F83&lt;=$I$3),$J$3,
IF(AND(F83&gt;=$H$4,F83&lt;=$I$4),$J$4,
IF(AND(F83&gt;=$H$5,F83&lt;=$I$5),$J$5,
IF(AND(F83&gt;=$H$6,F83&lt;=$I$6),$J$6,
IF(AND(F83&gt;=$H$7,F83&lt;=$I$7),$J$7,
IF(AND(F83&gt;=$H$8,F83&lt;=$I$8),$J$8,
IF(AND(F83&gt;=$H$9,F83&lt;=$I$9),$J$9,
IF(AND(F83&gt;=$H$10,F83&lt;=$I$10),$J$10,
IF(AND(F83&gt;=$H$11,F83&lt;=$I$11),$J$11))))))))))),
"")</f>
        <v/>
      </c>
    </row>
    <row r="84" spans="1:7" ht="18" x14ac:dyDescent="0.35">
      <c r="A84" s="30" t="str">
        <f>IF(NOT(ISBLANK('Curs, Seminar'!B88)),'Curs, Seminar'!B88,"")</f>
        <v/>
      </c>
      <c r="B84" s="31" t="str">
        <f>IF(NOT(ISBLANK('Curs, Seminar'!C88)),'Curs, Seminar'!C88,"")</f>
        <v/>
      </c>
      <c r="C84" s="10"/>
      <c r="D84" s="10"/>
      <c r="E84" s="10"/>
      <c r="F84" s="23" t="str">
        <f>IF(NOT(ISBLANK('Curs, Seminar'!C88)),
IF('Curs, Seminar'!Z88,"Eliberat",
ROUND(SUM(C84:E84),0)),
"")</f>
        <v/>
      </c>
      <c r="G84" s="22" t="str">
        <f>IF(NOT(ISBLANK('Curs, Seminar'!C88)),
IF('Curs, Seminar'!Z88,'Curs, Seminar'!Z88,
IF(F84=0,"n/p",
IF(AND(F84&gt;=$H$3,F84&lt;=$I$3),$J$3,
IF(AND(F84&gt;=$H$4,F84&lt;=$I$4),$J$4,
IF(AND(F84&gt;=$H$5,F84&lt;=$I$5),$J$5,
IF(AND(F84&gt;=$H$6,F84&lt;=$I$6),$J$6,
IF(AND(F84&gt;=$H$7,F84&lt;=$I$7),$J$7,
IF(AND(F84&gt;=$H$8,F84&lt;=$I$8),$J$8,
IF(AND(F84&gt;=$H$9,F84&lt;=$I$9),$J$9,
IF(AND(F84&gt;=$H$10,F84&lt;=$I$10),$J$10,
IF(AND(F84&gt;=$H$11,F84&lt;=$I$11),$J$11))))))))))),
"")</f>
        <v/>
      </c>
    </row>
    <row r="85" spans="1:7" ht="18" x14ac:dyDescent="0.35">
      <c r="A85" s="30" t="str">
        <f>IF(NOT(ISBLANK('Curs, Seminar'!B89)),'Curs, Seminar'!B89,"")</f>
        <v/>
      </c>
      <c r="B85" s="31" t="str">
        <f>IF(NOT(ISBLANK('Curs, Seminar'!C89)),'Curs, Seminar'!C89,"")</f>
        <v/>
      </c>
      <c r="C85" s="10"/>
      <c r="D85" s="10"/>
      <c r="E85" s="10"/>
      <c r="F85" s="23" t="str">
        <f>IF(NOT(ISBLANK('Curs, Seminar'!C89)),
IF('Curs, Seminar'!Z89,"Eliberat",
ROUND(SUM(C85:E85),0)),
"")</f>
        <v/>
      </c>
      <c r="G85" s="22" t="str">
        <f>IF(NOT(ISBLANK('Curs, Seminar'!C89)),
IF('Curs, Seminar'!Z89,'Curs, Seminar'!Z89,
IF(F85=0,"n/p",
IF(AND(F85&gt;=$H$3,F85&lt;=$I$3),$J$3,
IF(AND(F85&gt;=$H$4,F85&lt;=$I$4),$J$4,
IF(AND(F85&gt;=$H$5,F85&lt;=$I$5),$J$5,
IF(AND(F85&gt;=$H$6,F85&lt;=$I$6),$J$6,
IF(AND(F85&gt;=$H$7,F85&lt;=$I$7),$J$7,
IF(AND(F85&gt;=$H$8,F85&lt;=$I$8),$J$8,
IF(AND(F85&gt;=$H$9,F85&lt;=$I$9),$J$9,
IF(AND(F85&gt;=$H$10,F85&lt;=$I$10),$J$10,
IF(AND(F85&gt;=$H$11,F85&lt;=$I$11),$J$11))))))))))),
"")</f>
        <v/>
      </c>
    </row>
    <row r="86" spans="1:7" ht="18" x14ac:dyDescent="0.35">
      <c r="A86" s="30" t="str">
        <f>IF(NOT(ISBLANK('Curs, Seminar'!B90)),'Curs, Seminar'!B90,"")</f>
        <v/>
      </c>
      <c r="B86" s="31" t="str">
        <f>IF(NOT(ISBLANK('Curs, Seminar'!C90)),'Curs, Seminar'!C90,"")</f>
        <v/>
      </c>
      <c r="C86" s="10"/>
      <c r="D86" s="10"/>
      <c r="E86" s="10"/>
      <c r="F86" s="23" t="str">
        <f>IF(NOT(ISBLANK('Curs, Seminar'!C90)),
IF('Curs, Seminar'!Z90,"Eliberat",
ROUND(SUM(C86:E86),0)),
"")</f>
        <v/>
      </c>
      <c r="G86" s="22" t="str">
        <f>IF(NOT(ISBLANK('Curs, Seminar'!C90)),
IF('Curs, Seminar'!Z90,'Curs, Seminar'!Z90,
IF(F86=0,"n/p",
IF(AND(F86&gt;=$H$3,F86&lt;=$I$3),$J$3,
IF(AND(F86&gt;=$H$4,F86&lt;=$I$4),$J$4,
IF(AND(F86&gt;=$H$5,F86&lt;=$I$5),$J$5,
IF(AND(F86&gt;=$H$6,F86&lt;=$I$6),$J$6,
IF(AND(F86&gt;=$H$7,F86&lt;=$I$7),$J$7,
IF(AND(F86&gt;=$H$8,F86&lt;=$I$8),$J$8,
IF(AND(F86&gt;=$H$9,F86&lt;=$I$9),$J$9,
IF(AND(F86&gt;=$H$10,F86&lt;=$I$10),$J$10,
IF(AND(F86&gt;=$H$11,F86&lt;=$I$11),$J$11))))))))))),
"")</f>
        <v/>
      </c>
    </row>
    <row r="87" spans="1:7" ht="18" x14ac:dyDescent="0.35">
      <c r="A87" s="30" t="str">
        <f>IF(NOT(ISBLANK('Curs, Seminar'!B91)),'Curs, Seminar'!B91,"")</f>
        <v/>
      </c>
      <c r="B87" s="31" t="str">
        <f>IF(NOT(ISBLANK('Curs, Seminar'!C91)),'Curs, Seminar'!C91,"")</f>
        <v/>
      </c>
      <c r="C87" s="10"/>
      <c r="D87" s="10"/>
      <c r="E87" s="10"/>
      <c r="F87" s="23" t="str">
        <f>IF(NOT(ISBLANK('Curs, Seminar'!C91)),
IF('Curs, Seminar'!Z91,"Eliberat",
ROUND(SUM(C87:E87),0)),
"")</f>
        <v/>
      </c>
      <c r="G87" s="22" t="str">
        <f>IF(NOT(ISBLANK('Curs, Seminar'!C91)),
IF('Curs, Seminar'!Z91,'Curs, Seminar'!Z91,
IF(F87=0,"n/p",
IF(AND(F87&gt;=$H$3,F87&lt;=$I$3),$J$3,
IF(AND(F87&gt;=$H$4,F87&lt;=$I$4),$J$4,
IF(AND(F87&gt;=$H$5,F87&lt;=$I$5),$J$5,
IF(AND(F87&gt;=$H$6,F87&lt;=$I$6),$J$6,
IF(AND(F87&gt;=$H$7,F87&lt;=$I$7),$J$7,
IF(AND(F87&gt;=$H$8,F87&lt;=$I$8),$J$8,
IF(AND(F87&gt;=$H$9,F87&lt;=$I$9),$J$9,
IF(AND(F87&gt;=$H$10,F87&lt;=$I$10),$J$10,
IF(AND(F87&gt;=$H$11,F87&lt;=$I$11),$J$11))))))))))),
"")</f>
        <v/>
      </c>
    </row>
    <row r="88" spans="1:7" ht="18" x14ac:dyDescent="0.35">
      <c r="A88" s="30" t="str">
        <f>IF(NOT(ISBLANK('Curs, Seminar'!B92)),'Curs, Seminar'!B92,"")</f>
        <v/>
      </c>
      <c r="B88" s="31" t="str">
        <f>IF(NOT(ISBLANK('Curs, Seminar'!C92)),'Curs, Seminar'!C92,"")</f>
        <v/>
      </c>
      <c r="C88" s="10"/>
      <c r="D88" s="10"/>
      <c r="E88" s="10"/>
      <c r="F88" s="23" t="str">
        <f>IF(NOT(ISBLANK('Curs, Seminar'!C92)),
IF('Curs, Seminar'!Z92,"Eliberat",
ROUND(SUM(C88:E88),0)),
"")</f>
        <v/>
      </c>
      <c r="G88" s="22" t="str">
        <f>IF(NOT(ISBLANK('Curs, Seminar'!C92)),
IF('Curs, Seminar'!Z92,'Curs, Seminar'!Z92,
IF(F88=0,"n/p",
IF(AND(F88&gt;=$H$3,F88&lt;=$I$3),$J$3,
IF(AND(F88&gt;=$H$4,F88&lt;=$I$4),$J$4,
IF(AND(F88&gt;=$H$5,F88&lt;=$I$5),$J$5,
IF(AND(F88&gt;=$H$6,F88&lt;=$I$6),$J$6,
IF(AND(F88&gt;=$H$7,F88&lt;=$I$7),$J$7,
IF(AND(F88&gt;=$H$8,F88&lt;=$I$8),$J$8,
IF(AND(F88&gt;=$H$9,F88&lt;=$I$9),$J$9,
IF(AND(F88&gt;=$H$10,F88&lt;=$I$10),$J$10,
IF(AND(F88&gt;=$H$11,F88&lt;=$I$11),$J$11))))))))))),
"")</f>
        <v/>
      </c>
    </row>
    <row r="89" spans="1:7" ht="18" x14ac:dyDescent="0.35">
      <c r="A89" s="30" t="str">
        <f>IF(NOT(ISBLANK('Curs, Seminar'!B93)),'Curs, Seminar'!B93,"")</f>
        <v/>
      </c>
      <c r="B89" s="31" t="str">
        <f>IF(NOT(ISBLANK('Curs, Seminar'!C93)),'Curs, Seminar'!C93,"")</f>
        <v/>
      </c>
      <c r="C89" s="10"/>
      <c r="D89" s="10"/>
      <c r="E89" s="10"/>
      <c r="F89" s="23" t="str">
        <f>IF(NOT(ISBLANK('Curs, Seminar'!C93)),
IF('Curs, Seminar'!Z93,"Eliberat",
ROUND(SUM(C89:E89),0)),
"")</f>
        <v/>
      </c>
      <c r="G89" s="22" t="str">
        <f>IF(NOT(ISBLANK('Curs, Seminar'!C93)),
IF('Curs, Seminar'!Z93,'Curs, Seminar'!Z93,
IF(F89=0,"n/p",
IF(AND(F89&gt;=$H$3,F89&lt;=$I$3),$J$3,
IF(AND(F89&gt;=$H$4,F89&lt;=$I$4),$J$4,
IF(AND(F89&gt;=$H$5,F89&lt;=$I$5),$J$5,
IF(AND(F89&gt;=$H$6,F89&lt;=$I$6),$J$6,
IF(AND(F89&gt;=$H$7,F89&lt;=$I$7),$J$7,
IF(AND(F89&gt;=$H$8,F89&lt;=$I$8),$J$8,
IF(AND(F89&gt;=$H$9,F89&lt;=$I$9),$J$9,
IF(AND(F89&gt;=$H$10,F89&lt;=$I$10),$J$10,
IF(AND(F89&gt;=$H$11,F89&lt;=$I$11),$J$11))))))))))),
"")</f>
        <v/>
      </c>
    </row>
    <row r="90" spans="1:7" ht="18" x14ac:dyDescent="0.35">
      <c r="A90" s="30" t="str">
        <f>IF(NOT(ISBLANK('Curs, Seminar'!B94)),'Curs, Seminar'!B94,"")</f>
        <v/>
      </c>
      <c r="B90" s="31" t="str">
        <f>IF(NOT(ISBLANK('Curs, Seminar'!C94)),'Curs, Seminar'!C94,"")</f>
        <v/>
      </c>
      <c r="C90" s="10"/>
      <c r="D90" s="10"/>
      <c r="E90" s="10"/>
      <c r="F90" s="23" t="str">
        <f>IF(NOT(ISBLANK('Curs, Seminar'!C94)),
IF('Curs, Seminar'!Z94,"Eliberat",
ROUND(SUM(C90:E90),0)),
"")</f>
        <v/>
      </c>
      <c r="G90" s="22" t="str">
        <f>IF(NOT(ISBLANK('Curs, Seminar'!C94)),
IF('Curs, Seminar'!Z94,'Curs, Seminar'!Z94,
IF(F90=0,"n/p",
IF(AND(F90&gt;=$H$3,F90&lt;=$I$3),$J$3,
IF(AND(F90&gt;=$H$4,F90&lt;=$I$4),$J$4,
IF(AND(F90&gt;=$H$5,F90&lt;=$I$5),$J$5,
IF(AND(F90&gt;=$H$6,F90&lt;=$I$6),$J$6,
IF(AND(F90&gt;=$H$7,F90&lt;=$I$7),$J$7,
IF(AND(F90&gt;=$H$8,F90&lt;=$I$8),$J$8,
IF(AND(F90&gt;=$H$9,F90&lt;=$I$9),$J$9,
IF(AND(F90&gt;=$H$10,F90&lt;=$I$10),$J$10,
IF(AND(F90&gt;=$H$11,F90&lt;=$I$11),$J$11))))))))))),
"")</f>
        <v/>
      </c>
    </row>
    <row r="91" spans="1:7" ht="18" x14ac:dyDescent="0.35">
      <c r="A91" s="30" t="str">
        <f>IF(NOT(ISBLANK('Curs, Seminar'!B95)),'Curs, Seminar'!B95,"")</f>
        <v/>
      </c>
      <c r="B91" s="31" t="str">
        <f>IF(NOT(ISBLANK('Curs, Seminar'!C95)),'Curs, Seminar'!C95,"")</f>
        <v/>
      </c>
      <c r="C91" s="10"/>
      <c r="D91" s="10"/>
      <c r="E91" s="10"/>
      <c r="F91" s="23" t="str">
        <f>IF(NOT(ISBLANK('Curs, Seminar'!C95)),
IF('Curs, Seminar'!Z95,"Eliberat",
ROUND(SUM(C91:E91),0)),
"")</f>
        <v/>
      </c>
      <c r="G91" s="22" t="str">
        <f>IF(NOT(ISBLANK('Curs, Seminar'!C95)),
IF('Curs, Seminar'!Z95,'Curs, Seminar'!Z95,
IF(F91=0,"n/p",
IF(AND(F91&gt;=$H$3,F91&lt;=$I$3),$J$3,
IF(AND(F91&gt;=$H$4,F91&lt;=$I$4),$J$4,
IF(AND(F91&gt;=$H$5,F91&lt;=$I$5),$J$5,
IF(AND(F91&gt;=$H$6,F91&lt;=$I$6),$J$6,
IF(AND(F91&gt;=$H$7,F91&lt;=$I$7),$J$7,
IF(AND(F91&gt;=$H$8,F91&lt;=$I$8),$J$8,
IF(AND(F91&gt;=$H$9,F91&lt;=$I$9),$J$9,
IF(AND(F91&gt;=$H$10,F91&lt;=$I$10),$J$10,
IF(AND(F91&gt;=$H$11,F91&lt;=$I$11),$J$11))))))))))),
"")</f>
        <v/>
      </c>
    </row>
    <row r="92" spans="1:7" ht="18" x14ac:dyDescent="0.35">
      <c r="A92" s="30" t="str">
        <f>IF(NOT(ISBLANK('Curs, Seminar'!B96)),'Curs, Seminar'!B96,"")</f>
        <v/>
      </c>
      <c r="B92" s="31" t="str">
        <f>IF(NOT(ISBLANK('Curs, Seminar'!C96)),'Curs, Seminar'!C96,"")</f>
        <v/>
      </c>
      <c r="C92" s="10"/>
      <c r="D92" s="10"/>
      <c r="E92" s="10"/>
      <c r="F92" s="23" t="str">
        <f>IF(NOT(ISBLANK('Curs, Seminar'!C96)),
IF('Curs, Seminar'!Z96,"Eliberat",
ROUND(SUM(C92:E92),0)),
"")</f>
        <v/>
      </c>
      <c r="G92" s="22" t="str">
        <f>IF(NOT(ISBLANK('Curs, Seminar'!C96)),
IF('Curs, Seminar'!Z96,'Curs, Seminar'!Z96,
IF(F92=0,"n/p",
IF(AND(F92&gt;=$H$3,F92&lt;=$I$3),$J$3,
IF(AND(F92&gt;=$H$4,F92&lt;=$I$4),$J$4,
IF(AND(F92&gt;=$H$5,F92&lt;=$I$5),$J$5,
IF(AND(F92&gt;=$H$6,F92&lt;=$I$6),$J$6,
IF(AND(F92&gt;=$H$7,F92&lt;=$I$7),$J$7,
IF(AND(F92&gt;=$H$8,F92&lt;=$I$8),$J$8,
IF(AND(F92&gt;=$H$9,F92&lt;=$I$9),$J$9,
IF(AND(F92&gt;=$H$10,F92&lt;=$I$10),$J$10,
IF(AND(F92&gt;=$H$11,F92&lt;=$I$11),$J$11))))))))))),
"")</f>
        <v/>
      </c>
    </row>
    <row r="93" spans="1:7" ht="18" x14ac:dyDescent="0.35">
      <c r="A93" s="30" t="str">
        <f>IF(NOT(ISBLANK('Curs, Seminar'!B97)),'Curs, Seminar'!B97,"")</f>
        <v/>
      </c>
      <c r="B93" s="31" t="str">
        <f>IF(NOT(ISBLANK('Curs, Seminar'!C97)),'Curs, Seminar'!C97,"")</f>
        <v/>
      </c>
      <c r="C93" s="10"/>
      <c r="D93" s="10"/>
      <c r="E93" s="10"/>
      <c r="F93" s="23" t="str">
        <f>IF(NOT(ISBLANK('Curs, Seminar'!C97)),
IF('Curs, Seminar'!Z97,"Eliberat",
ROUND(SUM(C93:E93),0)),
"")</f>
        <v/>
      </c>
      <c r="G93" s="22" t="str">
        <f>IF(NOT(ISBLANK('Curs, Seminar'!C97)),
IF('Curs, Seminar'!Z97,'Curs, Seminar'!Z97,
IF(F93=0,"n/p",
IF(AND(F93&gt;=$H$3,F93&lt;=$I$3),$J$3,
IF(AND(F93&gt;=$H$4,F93&lt;=$I$4),$J$4,
IF(AND(F93&gt;=$H$5,F93&lt;=$I$5),$J$5,
IF(AND(F93&gt;=$H$6,F93&lt;=$I$6),$J$6,
IF(AND(F93&gt;=$H$7,F93&lt;=$I$7),$J$7,
IF(AND(F93&gt;=$H$8,F93&lt;=$I$8),$J$8,
IF(AND(F93&gt;=$H$9,F93&lt;=$I$9),$J$9,
IF(AND(F93&gt;=$H$10,F93&lt;=$I$10),$J$10,
IF(AND(F93&gt;=$H$11,F93&lt;=$I$11),$J$11))))))))))),
"")</f>
        <v/>
      </c>
    </row>
    <row r="94" spans="1:7" ht="18" x14ac:dyDescent="0.35">
      <c r="A94" s="30" t="str">
        <f>IF(NOT(ISBLANK('Curs, Seminar'!B98)),'Curs, Seminar'!B98,"")</f>
        <v/>
      </c>
      <c r="B94" s="31" t="str">
        <f>IF(NOT(ISBLANK('Curs, Seminar'!C98)),'Curs, Seminar'!C98,"")</f>
        <v/>
      </c>
      <c r="C94" s="10"/>
      <c r="D94" s="10"/>
      <c r="E94" s="10"/>
      <c r="F94" s="23" t="str">
        <f>IF(NOT(ISBLANK('Curs, Seminar'!C98)),
IF('Curs, Seminar'!Z98,"Eliberat",
ROUND(SUM(C94:E94),0)),
"")</f>
        <v/>
      </c>
      <c r="G94" s="22" t="str">
        <f>IF(NOT(ISBLANK('Curs, Seminar'!C98)),
IF('Curs, Seminar'!Z98,'Curs, Seminar'!Z98,
IF(F94=0,"n/p",
IF(AND(F94&gt;=$H$3,F94&lt;=$I$3),$J$3,
IF(AND(F94&gt;=$H$4,F94&lt;=$I$4),$J$4,
IF(AND(F94&gt;=$H$5,F94&lt;=$I$5),$J$5,
IF(AND(F94&gt;=$H$6,F94&lt;=$I$6),$J$6,
IF(AND(F94&gt;=$H$7,F94&lt;=$I$7),$J$7,
IF(AND(F94&gt;=$H$8,F94&lt;=$I$8),$J$8,
IF(AND(F94&gt;=$H$9,F94&lt;=$I$9),$J$9,
IF(AND(F94&gt;=$H$10,F94&lt;=$I$10),$J$10,
IF(AND(F94&gt;=$H$11,F94&lt;=$I$11),$J$11))))))))))),
"")</f>
        <v/>
      </c>
    </row>
    <row r="95" spans="1:7" ht="18" x14ac:dyDescent="0.35">
      <c r="A95" s="30" t="str">
        <f>IF(NOT(ISBLANK('Curs, Seminar'!B99)),'Curs, Seminar'!B99,"")</f>
        <v/>
      </c>
      <c r="B95" s="31" t="str">
        <f>IF(NOT(ISBLANK('Curs, Seminar'!C99)),'Curs, Seminar'!C99,"")</f>
        <v/>
      </c>
      <c r="C95" s="10"/>
      <c r="D95" s="10"/>
      <c r="E95" s="10"/>
      <c r="F95" s="23" t="str">
        <f>IF(NOT(ISBLANK('Curs, Seminar'!C99)),
IF('Curs, Seminar'!Z99,"Eliberat",
ROUND(SUM(C95:E95),0)),
"")</f>
        <v/>
      </c>
      <c r="G95" s="22" t="str">
        <f>IF(NOT(ISBLANK('Curs, Seminar'!C99)),
IF('Curs, Seminar'!Z99,'Curs, Seminar'!Z99,
IF(F95=0,"n/p",
IF(AND(F95&gt;=$H$3,F95&lt;=$I$3),$J$3,
IF(AND(F95&gt;=$H$4,F95&lt;=$I$4),$J$4,
IF(AND(F95&gt;=$H$5,F95&lt;=$I$5),$J$5,
IF(AND(F95&gt;=$H$6,F95&lt;=$I$6),$J$6,
IF(AND(F95&gt;=$H$7,F95&lt;=$I$7),$J$7,
IF(AND(F95&gt;=$H$8,F95&lt;=$I$8),$J$8,
IF(AND(F95&gt;=$H$9,F95&lt;=$I$9),$J$9,
IF(AND(F95&gt;=$H$10,F95&lt;=$I$10),$J$10,
IF(AND(F95&gt;=$H$11,F95&lt;=$I$11),$J$11))))))))))),
"")</f>
        <v/>
      </c>
    </row>
    <row r="96" spans="1:7" ht="18" x14ac:dyDescent="0.35">
      <c r="A96" s="30" t="str">
        <f>IF(NOT(ISBLANK('Curs, Seminar'!B100)),'Curs, Seminar'!B100,"")</f>
        <v/>
      </c>
      <c r="B96" s="31" t="str">
        <f>IF(NOT(ISBLANK('Curs, Seminar'!C100)),'Curs, Seminar'!C100,"")</f>
        <v/>
      </c>
      <c r="C96" s="10"/>
      <c r="D96" s="10"/>
      <c r="E96" s="10"/>
      <c r="F96" s="23" t="str">
        <f>IF(NOT(ISBLANK('Curs, Seminar'!C100)),
IF('Curs, Seminar'!Z100,"Eliberat",
ROUND(SUM(C96:E96),0)),
"")</f>
        <v/>
      </c>
      <c r="G96" s="22" t="str">
        <f>IF(NOT(ISBLANK('Curs, Seminar'!C100)),
IF('Curs, Seminar'!Z100,'Curs, Seminar'!Z100,
IF(F96=0,"n/p",
IF(AND(F96&gt;=$H$3,F96&lt;=$I$3),$J$3,
IF(AND(F96&gt;=$H$4,F96&lt;=$I$4),$J$4,
IF(AND(F96&gt;=$H$5,F96&lt;=$I$5),$J$5,
IF(AND(F96&gt;=$H$6,F96&lt;=$I$6),$J$6,
IF(AND(F96&gt;=$H$7,F96&lt;=$I$7),$J$7,
IF(AND(F96&gt;=$H$8,F96&lt;=$I$8),$J$8,
IF(AND(F96&gt;=$H$9,F96&lt;=$I$9),$J$9,
IF(AND(F96&gt;=$H$10,F96&lt;=$I$10),$J$10,
IF(AND(F96&gt;=$H$11,F96&lt;=$I$11),$J$11))))))))))),
"")</f>
        <v/>
      </c>
    </row>
    <row r="97" spans="1:7" ht="18" x14ac:dyDescent="0.35">
      <c r="A97" s="30" t="str">
        <f>IF(NOT(ISBLANK('Curs, Seminar'!B101)),'Curs, Seminar'!B101,"")</f>
        <v/>
      </c>
      <c r="B97" s="31" t="str">
        <f>IF(NOT(ISBLANK('Curs, Seminar'!C101)),'Curs, Seminar'!C101,"")</f>
        <v/>
      </c>
      <c r="C97" s="10"/>
      <c r="D97" s="10"/>
      <c r="E97" s="10"/>
      <c r="F97" s="23" t="str">
        <f>IF(NOT(ISBLANK('Curs, Seminar'!C101)),
IF('Curs, Seminar'!Z101,"Eliberat",
ROUND(SUM(C97:E97),0)),
"")</f>
        <v/>
      </c>
      <c r="G97" s="22" t="str">
        <f>IF(NOT(ISBLANK('Curs, Seminar'!C101)),
IF('Curs, Seminar'!Z101,'Curs, Seminar'!Z101,
IF(F97=0,"n/p",
IF(AND(F97&gt;=$H$3,F97&lt;=$I$3),$J$3,
IF(AND(F97&gt;=$H$4,F97&lt;=$I$4),$J$4,
IF(AND(F97&gt;=$H$5,F97&lt;=$I$5),$J$5,
IF(AND(F97&gt;=$H$6,F97&lt;=$I$6),$J$6,
IF(AND(F97&gt;=$H$7,F97&lt;=$I$7),$J$7,
IF(AND(F97&gt;=$H$8,F97&lt;=$I$8),$J$8,
IF(AND(F97&gt;=$H$9,F97&lt;=$I$9),$J$9,
IF(AND(F97&gt;=$H$10,F97&lt;=$I$10),$J$10,
IF(AND(F97&gt;=$H$11,F97&lt;=$I$11),$J$11))))))))))),
"")</f>
        <v/>
      </c>
    </row>
    <row r="98" spans="1:7" ht="18" x14ac:dyDescent="0.35">
      <c r="A98" s="30" t="str">
        <f>IF(NOT(ISBLANK('Curs, Seminar'!B102)),'Curs, Seminar'!B102,"")</f>
        <v/>
      </c>
      <c r="B98" s="31" t="str">
        <f>IF(NOT(ISBLANK('Curs, Seminar'!C102)),'Curs, Seminar'!C102,"")</f>
        <v/>
      </c>
      <c r="C98" s="10"/>
      <c r="D98" s="10"/>
      <c r="E98" s="10"/>
      <c r="F98" s="23" t="str">
        <f>IF(NOT(ISBLANK('Curs, Seminar'!C102)),
IF('Curs, Seminar'!Z102,"Eliberat",
ROUND(SUM(C98:E98),0)),
"")</f>
        <v/>
      </c>
      <c r="G98" s="22" t="str">
        <f>IF(NOT(ISBLANK('Curs, Seminar'!C102)),
IF('Curs, Seminar'!Z102,'Curs, Seminar'!Z102,
IF(F98=0,"n/p",
IF(AND(F98&gt;=$H$3,F98&lt;=$I$3),$J$3,
IF(AND(F98&gt;=$H$4,F98&lt;=$I$4),$J$4,
IF(AND(F98&gt;=$H$5,F98&lt;=$I$5),$J$5,
IF(AND(F98&gt;=$H$6,F98&lt;=$I$6),$J$6,
IF(AND(F98&gt;=$H$7,F98&lt;=$I$7),$J$7,
IF(AND(F98&gt;=$H$8,F98&lt;=$I$8),$J$8,
IF(AND(F98&gt;=$H$9,F98&lt;=$I$9),$J$9,
IF(AND(F98&gt;=$H$10,F98&lt;=$I$10),$J$10,
IF(AND(F98&gt;=$H$11,F98&lt;=$I$11),$J$11))))))))))),
"")</f>
        <v/>
      </c>
    </row>
    <row r="99" spans="1:7" ht="18" x14ac:dyDescent="0.35">
      <c r="A99" s="30" t="str">
        <f>IF(NOT(ISBLANK('Curs, Seminar'!B103)),'Curs, Seminar'!B103,"")</f>
        <v/>
      </c>
      <c r="B99" s="31" t="str">
        <f>IF(NOT(ISBLANK('Curs, Seminar'!C103)),'Curs, Seminar'!C103,"")</f>
        <v/>
      </c>
      <c r="C99" s="10"/>
      <c r="D99" s="10"/>
      <c r="E99" s="10"/>
      <c r="F99" s="23" t="str">
        <f>IF(NOT(ISBLANK('Curs, Seminar'!C103)),
IF('Curs, Seminar'!Z103,"Eliberat",
ROUND(SUM(C99:E99),0)),
"")</f>
        <v/>
      </c>
      <c r="G99" s="22" t="str">
        <f>IF(NOT(ISBLANK('Curs, Seminar'!C103)),
IF('Curs, Seminar'!Z103,'Curs, Seminar'!Z103,
IF(F99=0,"n/p",
IF(AND(F99&gt;=$H$3,F99&lt;=$I$3),$J$3,
IF(AND(F99&gt;=$H$4,F99&lt;=$I$4),$J$4,
IF(AND(F99&gt;=$H$5,F99&lt;=$I$5),$J$5,
IF(AND(F99&gt;=$H$6,F99&lt;=$I$6),$J$6,
IF(AND(F99&gt;=$H$7,F99&lt;=$I$7),$J$7,
IF(AND(F99&gt;=$H$8,F99&lt;=$I$8),$J$8,
IF(AND(F99&gt;=$H$9,F99&lt;=$I$9),$J$9,
IF(AND(F99&gt;=$H$10,F99&lt;=$I$10),$J$10,
IF(AND(F99&gt;=$H$11,F99&lt;=$I$11),$J$11))))))))))),
"")</f>
        <v/>
      </c>
    </row>
    <row r="100" spans="1:7" ht="18" x14ac:dyDescent="0.35">
      <c r="A100" s="30" t="str">
        <f>IF(NOT(ISBLANK('Curs, Seminar'!B104)),'Curs, Seminar'!B104,"")</f>
        <v/>
      </c>
      <c r="B100" s="31" t="str">
        <f>IF(NOT(ISBLANK('Curs, Seminar'!C104)),'Curs, Seminar'!C104,"")</f>
        <v/>
      </c>
      <c r="C100" s="10"/>
      <c r="D100" s="10"/>
      <c r="E100" s="10"/>
      <c r="F100" s="23" t="str">
        <f>IF(NOT(ISBLANK('Curs, Seminar'!C104)),
IF('Curs, Seminar'!Z104,"Eliberat",
ROUND(SUM(C100:E100),0)),
"")</f>
        <v/>
      </c>
      <c r="G100" s="22" t="str">
        <f>IF(NOT(ISBLANK('Curs, Seminar'!C104)),
IF('Curs, Seminar'!Z104,'Curs, Seminar'!Z104,
IF(F100=0,"n/p",
IF(AND(F100&gt;=$H$3,F100&lt;=$I$3),$J$3,
IF(AND(F100&gt;=$H$4,F100&lt;=$I$4),$J$4,
IF(AND(F100&gt;=$H$5,F100&lt;=$I$5),$J$5,
IF(AND(F100&gt;=$H$6,F100&lt;=$I$6),$J$6,
IF(AND(F100&gt;=$H$7,F100&lt;=$I$7),$J$7,
IF(AND(F100&gt;=$H$8,F100&lt;=$I$8),$J$8,
IF(AND(F100&gt;=$H$9,F100&lt;=$I$9),$J$9,
IF(AND(F100&gt;=$H$10,F100&lt;=$I$10),$J$10,
IF(AND(F100&gt;=$H$11,F100&lt;=$I$11),$J$11))))))))))),
"")</f>
        <v/>
      </c>
    </row>
    <row r="101" spans="1:7" ht="18" x14ac:dyDescent="0.35">
      <c r="A101" s="30" t="str">
        <f>IF(NOT(ISBLANK('Curs, Seminar'!B105)),'Curs, Seminar'!B105,"")</f>
        <v/>
      </c>
      <c r="B101" s="31" t="str">
        <f>IF(NOT(ISBLANK('Curs, Seminar'!C105)),'Curs, Seminar'!C105,"")</f>
        <v/>
      </c>
      <c r="C101" s="10"/>
      <c r="D101" s="10"/>
      <c r="E101" s="10"/>
      <c r="F101" s="23" t="str">
        <f>IF(NOT(ISBLANK('Curs, Seminar'!C105)),
IF('Curs, Seminar'!Z105,"Eliberat",
ROUND(SUM(C101:E101),0)),
"")</f>
        <v/>
      </c>
      <c r="G101" s="22" t="str">
        <f>IF(NOT(ISBLANK('Curs, Seminar'!C105)),
IF('Curs, Seminar'!Z105,'Curs, Seminar'!Z105,
IF(F101=0,"n/p",
IF(AND(F101&gt;=$H$3,F101&lt;=$I$3),$J$3,
IF(AND(F101&gt;=$H$4,F101&lt;=$I$4),$J$4,
IF(AND(F101&gt;=$H$5,F101&lt;=$I$5),$J$5,
IF(AND(F101&gt;=$H$6,F101&lt;=$I$6),$J$6,
IF(AND(F101&gt;=$H$7,F101&lt;=$I$7),$J$7,
IF(AND(F101&gt;=$H$8,F101&lt;=$I$8),$J$8,
IF(AND(F101&gt;=$H$9,F101&lt;=$I$9),$J$9,
IF(AND(F101&gt;=$H$10,F101&lt;=$I$10),$J$10,
IF(AND(F101&gt;=$H$11,F101&lt;=$I$11),$J$11))))))))))),
"")</f>
        <v/>
      </c>
    </row>
  </sheetData>
  <mergeCells count="1">
    <mergeCell ref="K1:L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2ED5F-2459-41AF-97DC-AC77545260E8}">
  <dimension ref="A1:P101"/>
  <sheetViews>
    <sheetView zoomScale="85" zoomScaleNormal="85" workbookViewId="0">
      <selection activeCell="X7" sqref="X7"/>
    </sheetView>
  </sheetViews>
  <sheetFormatPr defaultRowHeight="14.4" x14ac:dyDescent="0.3"/>
  <cols>
    <col min="1" max="1" width="4.44140625" customWidth="1"/>
    <col min="2" max="2" width="26" customWidth="1"/>
    <col min="3" max="3" width="7.33203125" customWidth="1"/>
    <col min="4" max="5" width="8.6640625" customWidth="1"/>
    <col min="6" max="6" width="10.109375" customWidth="1"/>
    <col min="7" max="8" width="8.6640625" customWidth="1"/>
    <col min="9" max="9" width="10.109375" customWidth="1"/>
    <col min="10" max="10" width="8.6640625" customWidth="1"/>
    <col min="11" max="11" width="11.109375" bestFit="1" customWidth="1"/>
    <col min="12" max="12" width="11.5546875" customWidth="1"/>
    <col min="16" max="16" width="8.6640625" customWidth="1"/>
  </cols>
  <sheetData>
    <row r="1" spans="1:16" ht="36" x14ac:dyDescent="0.35">
      <c r="A1" s="3" t="s">
        <v>0</v>
      </c>
      <c r="B1" s="4" t="s">
        <v>1</v>
      </c>
      <c r="C1" s="20" t="s">
        <v>27</v>
      </c>
      <c r="D1" s="20" t="s">
        <v>29</v>
      </c>
      <c r="E1" s="20" t="s">
        <v>28</v>
      </c>
      <c r="F1" s="24" t="s">
        <v>25</v>
      </c>
      <c r="G1" s="5" t="s">
        <v>20</v>
      </c>
      <c r="H1" s="6" t="s">
        <v>21</v>
      </c>
      <c r="I1" s="7"/>
      <c r="J1" s="6"/>
      <c r="K1" s="150" t="s">
        <v>45</v>
      </c>
      <c r="L1" s="150"/>
      <c r="M1" s="8"/>
      <c r="N1" s="9"/>
      <c r="O1" s="9"/>
      <c r="P1" s="9"/>
    </row>
    <row r="2" spans="1:16" ht="18" x14ac:dyDescent="0.35">
      <c r="A2" s="30">
        <f>IF(NOT(ISBLANK('Curs, Seminar'!B6)),'Curs, Seminar'!B6,"")</f>
        <v>1</v>
      </c>
      <c r="B2" s="31" t="str">
        <f>IF(NOT(ISBLANK('Curs, Seminar'!C6)),'Curs, Seminar'!C6,"")</f>
        <v>Nume, Prenume</v>
      </c>
      <c r="C2" s="10"/>
      <c r="D2" s="10"/>
      <c r="E2" s="10"/>
      <c r="F2" s="23">
        <f>IF(NOT(ISBLANK('Curs, Seminar'!C6)),
IF('Curs, Seminar'!Z6,"Eliberat",
ROUND(SUM(C2:E2),0)),
"")</f>
        <v>0</v>
      </c>
      <c r="G2" s="22" t="str">
        <f>IF(NOT(ISBLANK('Curs, Seminar'!C6)),
IF('Curs, Seminar'!Z6,'Curs, Seminar'!Z6,
IF(F2=0,"n/p",
IF(AND(F2&gt;=$H$3,F2&lt;=$I$3),$J$3,
IF(AND(F2&gt;=$H$4,F2&lt;=$I$4),$J$4,
IF(AND(F2&gt;=$H$5,F2&lt;=$I$5),$J$5,
IF(AND(F2&gt;=$H$6,F2&lt;=$I$6),$J$6,
IF(AND(F2&gt;=$H$7,F2&lt;=$I$7),$J$7,
IF(AND(F2&gt;=$H$8,F2&lt;=$I$8),$J$8,
IF(AND(F2&gt;=$H$9,F2&lt;=$I$9),$J$9,
IF(AND(F2&gt;=$H$10,F2&lt;=$I$10),$J$10,
IF(AND(F2&gt;=$H$11,F2&lt;=$I$11),$J$11))))))))))),
"")</f>
        <v>n/p</v>
      </c>
      <c r="H2" s="6" t="s">
        <v>23</v>
      </c>
      <c r="I2" s="6"/>
      <c r="J2" s="12" t="s">
        <v>20</v>
      </c>
      <c r="K2" s="27" t="s">
        <v>20</v>
      </c>
      <c r="L2" s="27" t="s">
        <v>22</v>
      </c>
      <c r="M2" s="8"/>
      <c r="N2" s="13"/>
      <c r="O2" s="13"/>
      <c r="P2" s="13"/>
    </row>
    <row r="3" spans="1:16" ht="18" x14ac:dyDescent="0.35">
      <c r="A3" s="30" t="str">
        <f>IF(NOT(ISBLANK('Curs, Seminar'!B7)),'Curs, Seminar'!B7,"")</f>
        <v/>
      </c>
      <c r="B3" s="31" t="str">
        <f>IF(NOT(ISBLANK('Curs, Seminar'!C7)),'Curs, Seminar'!C7,"")</f>
        <v/>
      </c>
      <c r="C3" s="10"/>
      <c r="D3" s="10"/>
      <c r="E3" s="10"/>
      <c r="F3" s="23" t="str">
        <f>IF(NOT(ISBLANK('Curs, Seminar'!C7)),
IF('Curs, Seminar'!Z7,"Eliberat",
ROUND(SUM(C3:E3),0)),
"")</f>
        <v/>
      </c>
      <c r="G3" s="22" t="str">
        <f>IF(NOT(ISBLANK('Curs, Seminar'!C7)),
IF('Curs, Seminar'!Z7,'Curs, Seminar'!Z7,
IF(F3=0,"n/p",
IF(AND(F3&gt;=$H$3,F3&lt;=$I$3),$J$3,
IF(AND(F3&gt;=$H$4,F3&lt;=$I$4),$J$4,
IF(AND(F3&gt;=$H$5,F3&lt;=$I$5),$J$5,
IF(AND(F3&gt;=$H$6,F3&lt;=$I$6),$J$6,
IF(AND(F3&gt;=$H$7,F3&lt;=$I$7),$J$7,
IF(AND(F3&gt;=$H$8,F3&lt;=$I$8),$J$8,
IF(AND(F3&gt;=$H$9,F3&lt;=$I$9),$J$9,
IF(AND(F3&gt;=$H$10,F3&lt;=$I$10),$J$10,
IF(AND(F3&gt;=$H$11,F3&lt;=$I$11),$J$11))))))))))),
"")</f>
        <v/>
      </c>
      <c r="H3" s="21">
        <v>0</v>
      </c>
      <c r="I3" s="21">
        <v>3</v>
      </c>
      <c r="J3" s="12">
        <v>2</v>
      </c>
      <c r="K3" s="29">
        <v>1</v>
      </c>
      <c r="L3" s="27">
        <f>COUNTIF($G$2:$G101,K3)</f>
        <v>0</v>
      </c>
      <c r="M3" s="8"/>
      <c r="N3" s="13"/>
      <c r="O3" s="13"/>
      <c r="P3" s="13"/>
    </row>
    <row r="4" spans="1:16" ht="18" x14ac:dyDescent="0.35">
      <c r="A4" s="30" t="str">
        <f>IF(NOT(ISBLANK('Curs, Seminar'!B8)),'Curs, Seminar'!B8,"")</f>
        <v/>
      </c>
      <c r="B4" s="31" t="str">
        <f>IF(NOT(ISBLANK('Curs, Seminar'!C8)),'Curs, Seminar'!C8,"")</f>
        <v/>
      </c>
      <c r="C4" s="10"/>
      <c r="D4" s="10"/>
      <c r="E4" s="10"/>
      <c r="F4" s="23" t="str">
        <f>IF(NOT(ISBLANK('Curs, Seminar'!C8)),
IF('Curs, Seminar'!Z8,"Eliberat",
ROUND(SUM(C4:E4),0)),
"")</f>
        <v/>
      </c>
      <c r="G4" s="22" t="str">
        <f>IF(NOT(ISBLANK('Curs, Seminar'!C8)),
IF('Curs, Seminar'!Z8,'Curs, Seminar'!Z8,
IF(F4=0,"n/p",
IF(AND(F4&gt;=$H$3,F4&lt;=$I$3),$J$3,
IF(AND(F4&gt;=$H$4,F4&lt;=$I$4),$J$4,
IF(AND(F4&gt;=$H$5,F4&lt;=$I$5),$J$5,
IF(AND(F4&gt;=$H$6,F4&lt;=$I$6),$J$6,
IF(AND(F4&gt;=$H$7,F4&lt;=$I$7),$J$7,
IF(AND(F4&gt;=$H$8,F4&lt;=$I$8),$J$8,
IF(AND(F4&gt;=$H$9,F4&lt;=$I$9),$J$9,
IF(AND(F4&gt;=$H$10,F4&lt;=$I$10),$J$10,
IF(AND(F4&gt;=$H$11,F4&lt;=$I$11),$J$11))))))))))),
"")</f>
        <v/>
      </c>
      <c r="H4" s="21">
        <v>4</v>
      </c>
      <c r="I4" s="21">
        <v>7</v>
      </c>
      <c r="J4" s="12">
        <v>3</v>
      </c>
      <c r="K4" s="28">
        <v>2</v>
      </c>
      <c r="L4" s="27">
        <f>COUNTIF($G$2:$G102,K4)</f>
        <v>0</v>
      </c>
      <c r="M4" s="8"/>
      <c r="N4" s="13"/>
      <c r="O4" s="13"/>
      <c r="P4" s="13"/>
    </row>
    <row r="5" spans="1:16" ht="18" x14ac:dyDescent="0.35">
      <c r="A5" s="30" t="str">
        <f>IF(NOT(ISBLANK('Curs, Seminar'!B9)),'Curs, Seminar'!B9,"")</f>
        <v/>
      </c>
      <c r="B5" s="31" t="str">
        <f>IF(NOT(ISBLANK('Curs, Seminar'!C9)),'Curs, Seminar'!C9,"")</f>
        <v/>
      </c>
      <c r="C5" s="10"/>
      <c r="D5" s="10"/>
      <c r="E5" s="10"/>
      <c r="F5" s="23" t="str">
        <f>IF(NOT(ISBLANK('Curs, Seminar'!C9)),
IF('Curs, Seminar'!Z9,"Eliberat",
ROUND(SUM(C5:E5),0)),
"")</f>
        <v/>
      </c>
      <c r="G5" s="22" t="str">
        <f>IF(NOT(ISBLANK('Curs, Seminar'!C9)),
IF('Curs, Seminar'!Z9,'Curs, Seminar'!Z9,
IF(F5=0,"n/p",
IF(AND(F5&gt;=$H$3,F5&lt;=$I$3),$J$3,
IF(AND(F5&gt;=$H$4,F5&lt;=$I$4),$J$4,
IF(AND(F5&gt;=$H$5,F5&lt;=$I$5),$J$5,
IF(AND(F5&gt;=$H$6,F5&lt;=$I$6),$J$6,
IF(AND(F5&gt;=$H$7,F5&lt;=$I$7),$J$7,
IF(AND(F5&gt;=$H$8,F5&lt;=$I$8),$J$8,
IF(AND(F5&gt;=$H$9,F5&lt;=$I$9),$J$9,
IF(AND(F5&gt;=$H$10,F5&lt;=$I$10),$J$10,
IF(AND(F5&gt;=$H$11,F5&lt;=$I$11),$J$11))))))))))),
"")</f>
        <v/>
      </c>
      <c r="H5" s="21">
        <v>8</v>
      </c>
      <c r="I5" s="21">
        <v>12</v>
      </c>
      <c r="J5" s="12">
        <v>4</v>
      </c>
      <c r="K5" s="28">
        <v>3</v>
      </c>
      <c r="L5" s="27">
        <f>COUNTIF($G$2:$G103,K5)</f>
        <v>0</v>
      </c>
      <c r="M5" s="8"/>
      <c r="N5" s="13"/>
      <c r="O5" s="13"/>
      <c r="P5" s="13"/>
    </row>
    <row r="6" spans="1:16" ht="18" x14ac:dyDescent="0.35">
      <c r="A6" s="30" t="str">
        <f>IF(NOT(ISBLANK('Curs, Seminar'!B10)),'Curs, Seminar'!B10,"")</f>
        <v/>
      </c>
      <c r="B6" s="31" t="str">
        <f>IF(NOT(ISBLANK('Curs, Seminar'!C10)),'Curs, Seminar'!C10,"")</f>
        <v/>
      </c>
      <c r="C6" s="10"/>
      <c r="D6" s="10"/>
      <c r="E6" s="10"/>
      <c r="F6" s="23" t="str">
        <f>IF(NOT(ISBLANK('Curs, Seminar'!C10)),
IF('Curs, Seminar'!Z10,"Eliberat",
ROUND(SUM(C6:E6),0)),
"")</f>
        <v/>
      </c>
      <c r="G6" s="22" t="str">
        <f>IF(NOT(ISBLANK('Curs, Seminar'!C10)),
IF('Curs, Seminar'!Z10,'Curs, Seminar'!Z10,
IF(F6=0,"n/p",
IF(AND(F6&gt;=$H$3,F6&lt;=$I$3),$J$3,
IF(AND(F6&gt;=$H$4,F6&lt;=$I$4),$J$4,
IF(AND(F6&gt;=$H$5,F6&lt;=$I$5),$J$5,
IF(AND(F6&gt;=$H$6,F6&lt;=$I$6),$J$6,
IF(AND(F6&gt;=$H$7,F6&lt;=$I$7),$J$7,
IF(AND(F6&gt;=$H$8,F6&lt;=$I$8),$J$8,
IF(AND(F6&gt;=$H$9,F6&lt;=$I$9),$J$9,
IF(AND(F6&gt;=$H$10,F6&lt;=$I$10),$J$10,
IF(AND(F6&gt;=$H$11,F6&lt;=$I$11),$J$11))))))))))),
"")</f>
        <v/>
      </c>
      <c r="H6" s="21">
        <v>13</v>
      </c>
      <c r="I6" s="21">
        <v>15</v>
      </c>
      <c r="J6" s="12">
        <v>5</v>
      </c>
      <c r="K6" s="29">
        <v>4</v>
      </c>
      <c r="L6" s="27">
        <f>COUNTIF($G$2:$G104,K6)</f>
        <v>0</v>
      </c>
      <c r="M6" s="8"/>
      <c r="N6" s="13"/>
      <c r="O6" s="13"/>
      <c r="P6" s="13"/>
    </row>
    <row r="7" spans="1:16" ht="18" x14ac:dyDescent="0.35">
      <c r="A7" s="30" t="str">
        <f>IF(NOT(ISBLANK('Curs, Seminar'!B11)),'Curs, Seminar'!B11,"")</f>
        <v/>
      </c>
      <c r="B7" s="31" t="str">
        <f>IF(NOT(ISBLANK('Curs, Seminar'!C11)),'Curs, Seminar'!C11,"")</f>
        <v/>
      </c>
      <c r="C7" s="10"/>
      <c r="D7" s="10"/>
      <c r="E7" s="10"/>
      <c r="F7" s="23" t="str">
        <f>IF(NOT(ISBLANK('Curs, Seminar'!C11)),
IF('Curs, Seminar'!Z11,"Eliberat",
ROUND(SUM(C7:E7),0)),
"")</f>
        <v/>
      </c>
      <c r="G7" s="22" t="str">
        <f>IF(NOT(ISBLANK('Curs, Seminar'!C11)),
IF('Curs, Seminar'!Z11,'Curs, Seminar'!Z11,
IF(F7=0,"n/p",
IF(AND(F7&gt;=$H$3,F7&lt;=$I$3),$J$3,
IF(AND(F7&gt;=$H$4,F7&lt;=$I$4),$J$4,
IF(AND(F7&gt;=$H$5,F7&lt;=$I$5),$J$5,
IF(AND(F7&gt;=$H$6,F7&lt;=$I$6),$J$6,
IF(AND(F7&gt;=$H$7,F7&lt;=$I$7),$J$7,
IF(AND(F7&gt;=$H$8,F7&lt;=$I$8),$J$8,
IF(AND(F7&gt;=$H$9,F7&lt;=$I$9),$J$9,
IF(AND(F7&gt;=$H$10,F7&lt;=$I$10),$J$10,
IF(AND(F7&gt;=$H$11,F7&lt;=$I$11),$J$11))))))))))),
"")</f>
        <v/>
      </c>
      <c r="H7" s="21">
        <v>16</v>
      </c>
      <c r="I7" s="21">
        <v>18</v>
      </c>
      <c r="J7" s="12">
        <v>6</v>
      </c>
      <c r="K7" s="29">
        <v>5</v>
      </c>
      <c r="L7" s="27">
        <f>COUNTIF($G$2:$G105,K7)</f>
        <v>0</v>
      </c>
      <c r="M7" s="8"/>
      <c r="N7" s="13"/>
      <c r="O7" s="13"/>
      <c r="P7" s="13"/>
    </row>
    <row r="8" spans="1:16" ht="18" x14ac:dyDescent="0.35">
      <c r="A8" s="30" t="str">
        <f>IF(NOT(ISBLANK('Curs, Seminar'!B12)),'Curs, Seminar'!B12,"")</f>
        <v/>
      </c>
      <c r="B8" s="31" t="str">
        <f>IF(NOT(ISBLANK('Curs, Seminar'!C12)),'Curs, Seminar'!C12,"")</f>
        <v/>
      </c>
      <c r="C8" s="10"/>
      <c r="D8" s="10"/>
      <c r="E8" s="10"/>
      <c r="F8" s="23" t="str">
        <f>IF(NOT(ISBLANK('Curs, Seminar'!C12)),
IF('Curs, Seminar'!Z12,"Eliberat",
ROUND(SUM(C8:E8),0)),
"")</f>
        <v/>
      </c>
      <c r="G8" s="22" t="str">
        <f>IF(NOT(ISBLANK('Curs, Seminar'!C12)),
IF('Curs, Seminar'!Z12,'Curs, Seminar'!Z12,
IF(F8=0,"n/p",
IF(AND(F8&gt;=$H$3,F8&lt;=$I$3),$J$3,
IF(AND(F8&gt;=$H$4,F8&lt;=$I$4),$J$4,
IF(AND(F8&gt;=$H$5,F8&lt;=$I$5),$J$5,
IF(AND(F8&gt;=$H$6,F8&lt;=$I$6),$J$6,
IF(AND(F8&gt;=$H$7,F8&lt;=$I$7),$J$7,
IF(AND(F8&gt;=$H$8,F8&lt;=$I$8),$J$8,
IF(AND(F8&gt;=$H$9,F8&lt;=$I$9),$J$9,
IF(AND(F8&gt;=$H$10,F8&lt;=$I$10),$J$10,
IF(AND(F8&gt;=$H$11,F8&lt;=$I$11),$J$11))))))))))),
"")</f>
        <v/>
      </c>
      <c r="H8" s="21">
        <v>19</v>
      </c>
      <c r="I8" s="21">
        <v>21</v>
      </c>
      <c r="J8" s="12">
        <v>7</v>
      </c>
      <c r="K8" s="29">
        <v>6</v>
      </c>
      <c r="L8" s="27">
        <f>COUNTIF($G$2:$G106,K8)</f>
        <v>0</v>
      </c>
      <c r="M8" s="8"/>
      <c r="N8" s="13"/>
      <c r="O8" s="13"/>
      <c r="P8" s="13"/>
    </row>
    <row r="9" spans="1:16" ht="18" x14ac:dyDescent="0.35">
      <c r="A9" s="30" t="str">
        <f>IF(NOT(ISBLANK('Curs, Seminar'!B13)),'Curs, Seminar'!B13,"")</f>
        <v/>
      </c>
      <c r="B9" s="31" t="str">
        <f>IF(NOT(ISBLANK('Curs, Seminar'!C13)),'Curs, Seminar'!C13,"")</f>
        <v/>
      </c>
      <c r="C9" s="10"/>
      <c r="D9" s="10"/>
      <c r="E9" s="10"/>
      <c r="F9" s="23" t="str">
        <f>IF(NOT(ISBLANK('Curs, Seminar'!C13)),
IF('Curs, Seminar'!Z13,"Eliberat",
ROUND(SUM(C9:E9),0)),
"")</f>
        <v/>
      </c>
      <c r="G9" s="22" t="str">
        <f>IF(NOT(ISBLANK('Curs, Seminar'!C13)),
IF('Curs, Seminar'!Z13,'Curs, Seminar'!Z13,
IF(F9=0,"n/p",
IF(AND(F9&gt;=$H$3,F9&lt;=$I$3),$J$3,
IF(AND(F9&gt;=$H$4,F9&lt;=$I$4),$J$4,
IF(AND(F9&gt;=$H$5,F9&lt;=$I$5),$J$5,
IF(AND(F9&gt;=$H$6,F9&lt;=$I$6),$J$6,
IF(AND(F9&gt;=$H$7,F9&lt;=$I$7),$J$7,
IF(AND(F9&gt;=$H$8,F9&lt;=$I$8),$J$8,
IF(AND(F9&gt;=$H$9,F9&lt;=$I$9),$J$9,
IF(AND(F9&gt;=$H$10,F9&lt;=$I$10),$J$10,
IF(AND(F9&gt;=$H$11,F9&lt;=$I$11),$J$11))))))))))),
"")</f>
        <v/>
      </c>
      <c r="H9" s="21">
        <v>22</v>
      </c>
      <c r="I9" s="21">
        <v>24</v>
      </c>
      <c r="J9" s="12">
        <v>8</v>
      </c>
      <c r="K9" s="29">
        <v>7</v>
      </c>
      <c r="L9" s="27">
        <f>COUNTIF($G$2:$G107,K9)</f>
        <v>0</v>
      </c>
      <c r="M9" s="8"/>
      <c r="N9" s="13"/>
      <c r="O9" s="13"/>
      <c r="P9" s="13"/>
    </row>
    <row r="10" spans="1:16" ht="18" x14ac:dyDescent="0.35">
      <c r="A10" s="30" t="str">
        <f>IF(NOT(ISBLANK('Curs, Seminar'!B14)),'Curs, Seminar'!B14,"")</f>
        <v/>
      </c>
      <c r="B10" s="31" t="str">
        <f>IF(NOT(ISBLANK('Curs, Seminar'!C14)),'Curs, Seminar'!C14,"")</f>
        <v/>
      </c>
      <c r="C10" s="10"/>
      <c r="D10" s="10"/>
      <c r="E10" s="10"/>
      <c r="F10" s="23" t="str">
        <f>IF(NOT(ISBLANK('Curs, Seminar'!C14)),
IF('Curs, Seminar'!Z14,"Eliberat",
ROUND(SUM(C10:E10),0)),
"")</f>
        <v/>
      </c>
      <c r="G10" s="22" t="str">
        <f>IF(NOT(ISBLANK('Curs, Seminar'!C14)),
IF('Curs, Seminar'!Z14,'Curs, Seminar'!Z14,
IF(F10=0,"n/p",
IF(AND(F10&gt;=$H$3,F10&lt;=$I$3),$J$3,
IF(AND(F10&gt;=$H$4,F10&lt;=$I$4),$J$4,
IF(AND(F10&gt;=$H$5,F10&lt;=$I$5),$J$5,
IF(AND(F10&gt;=$H$6,F10&lt;=$I$6),$J$6,
IF(AND(F10&gt;=$H$7,F10&lt;=$I$7),$J$7,
IF(AND(F10&gt;=$H$8,F10&lt;=$I$8),$J$8,
IF(AND(F10&gt;=$H$9,F10&lt;=$I$9),$J$9,
IF(AND(F10&gt;=$H$10,F10&lt;=$I$10),$J$10,
IF(AND(F10&gt;=$H$11,F10&lt;=$I$11),$J$11))))))))))),
"")</f>
        <v/>
      </c>
      <c r="H10" s="21">
        <v>25</v>
      </c>
      <c r="I10" s="21">
        <v>27</v>
      </c>
      <c r="J10" s="12">
        <v>9</v>
      </c>
      <c r="K10" s="29">
        <v>8</v>
      </c>
      <c r="L10" s="27">
        <f>COUNTIF($G$2:$G108,K10)</f>
        <v>0</v>
      </c>
      <c r="M10" s="8"/>
      <c r="N10" s="13"/>
      <c r="O10" s="13"/>
      <c r="P10" s="13"/>
    </row>
    <row r="11" spans="1:16" ht="18" x14ac:dyDescent="0.35">
      <c r="A11" s="30" t="str">
        <f>IF(NOT(ISBLANK('Curs, Seminar'!B15)),'Curs, Seminar'!B15,"")</f>
        <v/>
      </c>
      <c r="B11" s="31" t="str">
        <f>IF(NOT(ISBLANK('Curs, Seminar'!C15)),'Curs, Seminar'!C15,"")</f>
        <v/>
      </c>
      <c r="C11" s="10"/>
      <c r="D11" s="10"/>
      <c r="E11" s="10"/>
      <c r="F11" s="23" t="str">
        <f>IF(NOT(ISBLANK('Curs, Seminar'!C15)),
IF('Curs, Seminar'!Z15,"Eliberat",
ROUND(SUM(C11:E11),0)),
"")</f>
        <v/>
      </c>
      <c r="G11" s="22" t="str">
        <f>IF(NOT(ISBLANK('Curs, Seminar'!C15)),
IF('Curs, Seminar'!Z15,'Curs, Seminar'!Z15,
IF(F11=0,"n/p",
IF(AND(F11&gt;=$H$3,F11&lt;=$I$3),$J$3,
IF(AND(F11&gt;=$H$4,F11&lt;=$I$4),$J$4,
IF(AND(F11&gt;=$H$5,F11&lt;=$I$5),$J$5,
IF(AND(F11&gt;=$H$6,F11&lt;=$I$6),$J$6,
IF(AND(F11&gt;=$H$7,F11&lt;=$I$7),$J$7,
IF(AND(F11&gt;=$H$8,F11&lt;=$I$8),$J$8,
IF(AND(F11&gt;=$H$9,F11&lt;=$I$9),$J$9,
IF(AND(F11&gt;=$H$10,F11&lt;=$I$10),$J$10,
IF(AND(F11&gt;=$H$11,F11&lt;=$I$11),$J$11))))))))))),
"")</f>
        <v/>
      </c>
      <c r="H11" s="21">
        <v>28</v>
      </c>
      <c r="I11" s="21">
        <v>30</v>
      </c>
      <c r="J11" s="12">
        <v>10</v>
      </c>
      <c r="K11" s="29">
        <v>9</v>
      </c>
      <c r="L11" s="27">
        <f>COUNTIF($G$2:$G109,K11)</f>
        <v>0</v>
      </c>
      <c r="M11" s="8"/>
      <c r="N11" s="13"/>
      <c r="O11" s="13"/>
      <c r="P11" s="13"/>
    </row>
    <row r="12" spans="1:16" ht="18" x14ac:dyDescent="0.35">
      <c r="A12" s="30" t="str">
        <f>IF(NOT(ISBLANK('Curs, Seminar'!B16)),'Curs, Seminar'!B16,"")</f>
        <v/>
      </c>
      <c r="B12" s="31" t="str">
        <f>IF(NOT(ISBLANK('Curs, Seminar'!C16)),'Curs, Seminar'!C16,"")</f>
        <v/>
      </c>
      <c r="C12" s="10"/>
      <c r="D12" s="10"/>
      <c r="E12" s="10"/>
      <c r="F12" s="23" t="str">
        <f>IF(NOT(ISBLANK('Curs, Seminar'!C16)),
IF('Curs, Seminar'!Z16,"Eliberat",
ROUND(SUM(C12:E12),0)),
"")</f>
        <v/>
      </c>
      <c r="G12" s="22" t="str">
        <f>IF(NOT(ISBLANK('Curs, Seminar'!C16)),
IF('Curs, Seminar'!Z16,'Curs, Seminar'!Z16,
IF(F12=0,"n/p",
IF(AND(F12&gt;=$H$3,F12&lt;=$I$3),$J$3,
IF(AND(F12&gt;=$H$4,F12&lt;=$I$4),$J$4,
IF(AND(F12&gt;=$H$5,F12&lt;=$I$5),$J$5,
IF(AND(F12&gt;=$H$6,F12&lt;=$I$6),$J$6,
IF(AND(F12&gt;=$H$7,F12&lt;=$I$7),$J$7,
IF(AND(F12&gt;=$H$8,F12&lt;=$I$8),$J$8,
IF(AND(F12&gt;=$H$9,F12&lt;=$I$9),$J$9,
IF(AND(F12&gt;=$H$10,F12&lt;=$I$10),$J$10,
IF(AND(F12&gt;=$H$11,F12&lt;=$I$11),$J$11))))))))))),
"")</f>
        <v/>
      </c>
      <c r="H12" s="21"/>
      <c r="I12" s="21"/>
      <c r="J12" s="12"/>
      <c r="K12" s="29">
        <v>10</v>
      </c>
      <c r="L12" s="27">
        <f>COUNTIF($G$2:$G110,K12)</f>
        <v>0</v>
      </c>
      <c r="M12" s="8"/>
      <c r="N12" s="13"/>
      <c r="O12" s="13"/>
      <c r="P12" s="13"/>
    </row>
    <row r="13" spans="1:16" ht="18" x14ac:dyDescent="0.35">
      <c r="A13" s="30" t="str">
        <f>IF(NOT(ISBLANK('Curs, Seminar'!B17)),'Curs, Seminar'!B17,"")</f>
        <v/>
      </c>
      <c r="B13" s="31" t="str">
        <f>IF(NOT(ISBLANK('Curs, Seminar'!C17)),'Curs, Seminar'!C17,"")</f>
        <v/>
      </c>
      <c r="C13" s="10"/>
      <c r="D13" s="10"/>
      <c r="E13" s="10"/>
      <c r="F13" s="23" t="str">
        <f>IF(NOT(ISBLANK('Curs, Seminar'!C17)),
IF('Curs, Seminar'!Z17,"Eliberat",
ROUND(SUM(C13:E13),0)),
"")</f>
        <v/>
      </c>
      <c r="G13" s="22" t="str">
        <f>IF(NOT(ISBLANK('Curs, Seminar'!C17)),
IF('Curs, Seminar'!Z17,'Curs, Seminar'!Z17,
IF(F13=0,"n/p",
IF(AND(F13&gt;=$H$3,F13&lt;=$I$3),$J$3,
IF(AND(F13&gt;=$H$4,F13&lt;=$I$4),$J$4,
IF(AND(F13&gt;=$H$5,F13&lt;=$I$5),$J$5,
IF(AND(F13&gt;=$H$6,F13&lt;=$I$6),$J$6,
IF(AND(F13&gt;=$H$7,F13&lt;=$I$7),$J$7,
IF(AND(F13&gt;=$H$8,F13&lt;=$I$8),$J$8,
IF(AND(F13&gt;=$H$9,F13&lt;=$I$9),$J$9,
IF(AND(F13&gt;=$H$10,F13&lt;=$I$10),$J$10,
IF(AND(F13&gt;=$H$11,F13&lt;=$I$11),$J$11))))))))))),
"")</f>
        <v/>
      </c>
      <c r="H13" s="21"/>
      <c r="I13" s="21"/>
      <c r="J13" s="12"/>
      <c r="K13" s="29" t="s">
        <v>24</v>
      </c>
      <c r="L13" s="27">
        <f>COUNTIF($G$2:$G111,K13)</f>
        <v>1</v>
      </c>
      <c r="M13" s="8"/>
      <c r="N13" s="13"/>
      <c r="O13" s="16"/>
      <c r="P13" s="13"/>
    </row>
    <row r="14" spans="1:16" ht="18" x14ac:dyDescent="0.35">
      <c r="A14" s="30" t="str">
        <f>IF(NOT(ISBLANK('Curs, Seminar'!B18)),'Curs, Seminar'!B18,"")</f>
        <v/>
      </c>
      <c r="B14" s="31" t="str">
        <f>IF(NOT(ISBLANK('Curs, Seminar'!C18)),'Curs, Seminar'!C18,"")</f>
        <v/>
      </c>
      <c r="C14" s="10"/>
      <c r="D14" s="10"/>
      <c r="E14" s="10"/>
      <c r="F14" s="23" t="str">
        <f>IF(NOT(ISBLANK('Curs, Seminar'!C18)),
IF('Curs, Seminar'!Z18,"Eliberat",
ROUND(SUM(C14:E14),0)),
"")</f>
        <v/>
      </c>
      <c r="G14" s="22" t="str">
        <f>IF(NOT(ISBLANK('Curs, Seminar'!C18)),
IF('Curs, Seminar'!Z18,'Curs, Seminar'!Z18,
IF(F14=0,"n/p",
IF(AND(F14&gt;=$H$3,F14&lt;=$I$3),$J$3,
IF(AND(F14&gt;=$H$4,F14&lt;=$I$4),$J$4,
IF(AND(F14&gt;=$H$5,F14&lt;=$I$5),$J$5,
IF(AND(F14&gt;=$H$6,F14&lt;=$I$6),$J$6,
IF(AND(F14&gt;=$H$7,F14&lt;=$I$7),$J$7,
IF(AND(F14&gt;=$H$8,F14&lt;=$I$8),$J$8,
IF(AND(F14&gt;=$H$9,F14&lt;=$I$9),$J$9,
IF(AND(F14&gt;=$H$10,F14&lt;=$I$10),$J$10,
IF(AND(F14&gt;=$H$11,F14&lt;=$I$11),$J$11))))))))))),
"")</f>
        <v/>
      </c>
      <c r="H14" s="7"/>
      <c r="I14" s="14"/>
      <c r="J14" s="7"/>
      <c r="N14" s="15"/>
      <c r="O14" s="13"/>
      <c r="P14" s="16"/>
    </row>
    <row r="15" spans="1:16" ht="18" x14ac:dyDescent="0.35">
      <c r="A15" s="30" t="str">
        <f>IF(NOT(ISBLANK('Curs, Seminar'!B19)),'Curs, Seminar'!B19,"")</f>
        <v/>
      </c>
      <c r="B15" s="31" t="str">
        <f>IF(NOT(ISBLANK('Curs, Seminar'!C19)),'Curs, Seminar'!C19,"")</f>
        <v/>
      </c>
      <c r="C15" s="10"/>
      <c r="D15" s="10"/>
      <c r="E15" s="10"/>
      <c r="F15" s="23" t="str">
        <f>IF(NOT(ISBLANK('Curs, Seminar'!C19)),
IF('Curs, Seminar'!Z19,"Eliberat",
ROUND(SUM(C15:E15),0)),
"")</f>
        <v/>
      </c>
      <c r="G15" s="22" t="str">
        <f>IF(NOT(ISBLANK('Curs, Seminar'!C19)),
IF('Curs, Seminar'!Z19,'Curs, Seminar'!Z19,
IF(F15=0,"n/p",
IF(AND(F15&gt;=$H$3,F15&lt;=$I$3),$J$3,
IF(AND(F15&gt;=$H$4,F15&lt;=$I$4),$J$4,
IF(AND(F15&gt;=$H$5,F15&lt;=$I$5),$J$5,
IF(AND(F15&gt;=$H$6,F15&lt;=$I$6),$J$6,
IF(AND(F15&gt;=$H$7,F15&lt;=$I$7),$J$7,
IF(AND(F15&gt;=$H$8,F15&lt;=$I$8),$J$8,
IF(AND(F15&gt;=$H$9,F15&lt;=$I$9),$J$9,
IF(AND(F15&gt;=$H$10,F15&lt;=$I$10),$J$10,
IF(AND(F15&gt;=$H$11,F15&lt;=$I$11),$J$11))))))))))),
"")</f>
        <v/>
      </c>
      <c r="H15" s="7"/>
      <c r="I15" s="14"/>
      <c r="J15" s="7"/>
      <c r="K15" s="1"/>
      <c r="N15" s="17"/>
    </row>
    <row r="16" spans="1:16" ht="18" x14ac:dyDescent="0.35">
      <c r="A16" s="30" t="str">
        <f>IF(NOT(ISBLANK('Curs, Seminar'!B20)),'Curs, Seminar'!B20,"")</f>
        <v/>
      </c>
      <c r="B16" s="31" t="str">
        <f>IF(NOT(ISBLANK('Curs, Seminar'!C20)),'Curs, Seminar'!C20,"")</f>
        <v/>
      </c>
      <c r="C16" s="10"/>
      <c r="D16" s="10"/>
      <c r="E16" s="10"/>
      <c r="F16" s="23" t="str">
        <f>IF(NOT(ISBLANK('Curs, Seminar'!C20)),
IF('Curs, Seminar'!Z20,"Eliberat",
ROUND(SUM(C16:E16),0)),
"")</f>
        <v/>
      </c>
      <c r="G16" s="22" t="str">
        <f>IF(NOT(ISBLANK('Curs, Seminar'!C20)),
IF('Curs, Seminar'!Z20,'Curs, Seminar'!Z20,
IF(F16=0,"n/p",
IF(AND(F16&gt;=$H$3,F16&lt;=$I$3),$J$3,
IF(AND(F16&gt;=$H$4,F16&lt;=$I$4),$J$4,
IF(AND(F16&gt;=$H$5,F16&lt;=$I$5),$J$5,
IF(AND(F16&gt;=$H$6,F16&lt;=$I$6),$J$6,
IF(AND(F16&gt;=$H$7,F16&lt;=$I$7),$J$7,
IF(AND(F16&gt;=$H$8,F16&lt;=$I$8),$J$8,
IF(AND(F16&gt;=$H$9,F16&lt;=$I$9),$J$9,
IF(AND(F16&gt;=$H$10,F16&lt;=$I$10),$J$10,
IF(AND(F16&gt;=$H$11,F16&lt;=$I$11),$J$11))))))))))),
"")</f>
        <v/>
      </c>
      <c r="H16" s="7"/>
      <c r="I16" s="14"/>
      <c r="J16" s="7"/>
      <c r="K16" s="1"/>
      <c r="N16" s="17"/>
    </row>
    <row r="17" spans="1:16" ht="18" x14ac:dyDescent="0.35">
      <c r="A17" s="30" t="str">
        <f>IF(NOT(ISBLANK('Curs, Seminar'!B21)),'Curs, Seminar'!B21,"")</f>
        <v/>
      </c>
      <c r="B17" s="31" t="str">
        <f>IF(NOT(ISBLANK('Curs, Seminar'!C21)),'Curs, Seminar'!C21,"")</f>
        <v/>
      </c>
      <c r="C17" s="10"/>
      <c r="D17" s="10"/>
      <c r="E17" s="10"/>
      <c r="F17" s="23" t="str">
        <f>IF(NOT(ISBLANK('Curs, Seminar'!C21)),
IF('Curs, Seminar'!Z21,"Eliberat",
ROUND(SUM(C17:E17),0)),
"")</f>
        <v/>
      </c>
      <c r="G17" s="22" t="str">
        <f>IF(NOT(ISBLANK('Curs, Seminar'!C21)),
IF('Curs, Seminar'!Z21,'Curs, Seminar'!Z21,
IF(F17=0,"n/p",
IF(AND(F17&gt;=$H$3,F17&lt;=$I$3),$J$3,
IF(AND(F17&gt;=$H$4,F17&lt;=$I$4),$J$4,
IF(AND(F17&gt;=$H$5,F17&lt;=$I$5),$J$5,
IF(AND(F17&gt;=$H$6,F17&lt;=$I$6),$J$6,
IF(AND(F17&gt;=$H$7,F17&lt;=$I$7),$J$7,
IF(AND(F17&gt;=$H$8,F17&lt;=$I$8),$J$8,
IF(AND(F17&gt;=$H$9,F17&lt;=$I$9),$J$9,
IF(AND(F17&gt;=$H$10,F17&lt;=$I$10),$J$10,
IF(AND(F17&gt;=$H$11,F17&lt;=$I$11),$J$11))))))))))),
"")</f>
        <v/>
      </c>
      <c r="H17" s="7"/>
      <c r="I17" s="14"/>
      <c r="J17" s="7"/>
      <c r="K17" s="1"/>
      <c r="N17" s="17"/>
    </row>
    <row r="18" spans="1:16" ht="18" x14ac:dyDescent="0.35">
      <c r="A18" s="30" t="str">
        <f>IF(NOT(ISBLANK('Curs, Seminar'!B22)),'Curs, Seminar'!B22,"")</f>
        <v/>
      </c>
      <c r="B18" s="31" t="str">
        <f>IF(NOT(ISBLANK('Curs, Seminar'!C22)),'Curs, Seminar'!C22,"")</f>
        <v/>
      </c>
      <c r="C18" s="10"/>
      <c r="D18" s="10"/>
      <c r="E18" s="10"/>
      <c r="F18" s="23" t="str">
        <f>IF(NOT(ISBLANK('Curs, Seminar'!C22)),
IF('Curs, Seminar'!Z22,"Eliberat",
ROUND(SUM(C18:E18),0)),
"")</f>
        <v/>
      </c>
      <c r="G18" s="22" t="str">
        <f>IF(NOT(ISBLANK('Curs, Seminar'!C22)),
IF('Curs, Seminar'!Z22,'Curs, Seminar'!Z22,
IF(F18=0,"n/p",
IF(AND(F18&gt;=$H$3,F18&lt;=$I$3),$J$3,
IF(AND(F18&gt;=$H$4,F18&lt;=$I$4),$J$4,
IF(AND(F18&gt;=$H$5,F18&lt;=$I$5),$J$5,
IF(AND(F18&gt;=$H$6,F18&lt;=$I$6),$J$6,
IF(AND(F18&gt;=$H$7,F18&lt;=$I$7),$J$7,
IF(AND(F18&gt;=$H$8,F18&lt;=$I$8),$J$8,
IF(AND(F18&gt;=$H$9,F18&lt;=$I$9),$J$9,
IF(AND(F18&gt;=$H$10,F18&lt;=$I$10),$J$10,
IF(AND(F18&gt;=$H$11,F18&lt;=$I$11),$J$11))))))))))),
"")</f>
        <v/>
      </c>
      <c r="H18" s="7"/>
      <c r="I18" s="14"/>
      <c r="J18" s="7"/>
      <c r="K18" s="1"/>
      <c r="N18" s="17"/>
    </row>
    <row r="19" spans="1:16" ht="18" x14ac:dyDescent="0.35">
      <c r="A19" s="30" t="str">
        <f>IF(NOT(ISBLANK('Curs, Seminar'!B23)),'Curs, Seminar'!B23,"")</f>
        <v/>
      </c>
      <c r="B19" s="31" t="str">
        <f>IF(NOT(ISBLANK('Curs, Seminar'!C23)),'Curs, Seminar'!C23,"")</f>
        <v/>
      </c>
      <c r="C19" s="10"/>
      <c r="D19" s="10"/>
      <c r="E19" s="10"/>
      <c r="F19" s="23" t="str">
        <f>IF(NOT(ISBLANK('Curs, Seminar'!C23)),
IF('Curs, Seminar'!Z23,"Eliberat",
ROUND(SUM(C19:E19),0)),
"")</f>
        <v/>
      </c>
      <c r="G19" s="22" t="str">
        <f>IF(NOT(ISBLANK('Curs, Seminar'!C23)),
IF('Curs, Seminar'!Z23,'Curs, Seminar'!Z23,
IF(F19=0,"n/p",
IF(AND(F19&gt;=$H$3,F19&lt;=$I$3),$J$3,
IF(AND(F19&gt;=$H$4,F19&lt;=$I$4),$J$4,
IF(AND(F19&gt;=$H$5,F19&lt;=$I$5),$J$5,
IF(AND(F19&gt;=$H$6,F19&lt;=$I$6),$J$6,
IF(AND(F19&gt;=$H$7,F19&lt;=$I$7),$J$7,
IF(AND(F19&gt;=$H$8,F19&lt;=$I$8),$J$8,
IF(AND(F19&gt;=$H$9,F19&lt;=$I$9),$J$9,
IF(AND(F19&gt;=$H$10,F19&lt;=$I$10),$J$10,
IF(AND(F19&gt;=$H$11,F19&lt;=$I$11),$J$11))))))))))),
"")</f>
        <v/>
      </c>
      <c r="H19" s="7"/>
      <c r="I19" s="14"/>
      <c r="J19" s="7"/>
      <c r="K19" s="1"/>
      <c r="N19" s="17"/>
    </row>
    <row r="20" spans="1:16" ht="18" x14ac:dyDescent="0.35">
      <c r="A20" s="30" t="str">
        <f>IF(NOT(ISBLANK('Curs, Seminar'!B24)),'Curs, Seminar'!B24,"")</f>
        <v/>
      </c>
      <c r="B20" s="31" t="str">
        <f>IF(NOT(ISBLANK('Curs, Seminar'!C24)),'Curs, Seminar'!C24,"")</f>
        <v/>
      </c>
      <c r="C20" s="10"/>
      <c r="D20" s="10"/>
      <c r="E20" s="10"/>
      <c r="F20" s="23" t="str">
        <f>IF(NOT(ISBLANK('Curs, Seminar'!C24)),
IF('Curs, Seminar'!Z24,"Eliberat",
ROUND(SUM(C20:E20),0)),
"")</f>
        <v/>
      </c>
      <c r="G20" s="22" t="str">
        <f>IF(NOT(ISBLANK('Curs, Seminar'!C24)),
IF('Curs, Seminar'!Z24,'Curs, Seminar'!Z24,
IF(F20=0,"n/p",
IF(AND(F20&gt;=$H$3,F20&lt;=$I$3),$J$3,
IF(AND(F20&gt;=$H$4,F20&lt;=$I$4),$J$4,
IF(AND(F20&gt;=$H$5,F20&lt;=$I$5),$J$5,
IF(AND(F20&gt;=$H$6,F20&lt;=$I$6),$J$6,
IF(AND(F20&gt;=$H$7,F20&lt;=$I$7),$J$7,
IF(AND(F20&gt;=$H$8,F20&lt;=$I$8),$J$8,
IF(AND(F20&gt;=$H$9,F20&lt;=$I$9),$J$9,
IF(AND(F20&gt;=$H$10,F20&lt;=$I$10),$J$10,
IF(AND(F20&gt;=$H$11,F20&lt;=$I$11),$J$11))))))))))),
"")</f>
        <v/>
      </c>
      <c r="H20" s="7"/>
      <c r="I20" s="14"/>
      <c r="J20" s="7"/>
      <c r="K20" s="1"/>
      <c r="N20" s="17"/>
    </row>
    <row r="21" spans="1:16" ht="18" x14ac:dyDescent="0.35">
      <c r="A21" s="30" t="str">
        <f>IF(NOT(ISBLANK('Curs, Seminar'!B25)),'Curs, Seminar'!B25,"")</f>
        <v/>
      </c>
      <c r="B21" s="31" t="str">
        <f>IF(NOT(ISBLANK('Curs, Seminar'!C25)),'Curs, Seminar'!C25,"")</f>
        <v/>
      </c>
      <c r="C21" s="10"/>
      <c r="D21" s="10"/>
      <c r="E21" s="10"/>
      <c r="F21" s="23" t="str">
        <f>IF(NOT(ISBLANK('Curs, Seminar'!C25)),
IF('Curs, Seminar'!Z25,"Eliberat",
ROUND(SUM(C21:E21),0)),
"")</f>
        <v/>
      </c>
      <c r="G21" s="22" t="str">
        <f>IF(NOT(ISBLANK('Curs, Seminar'!C25)),
IF('Curs, Seminar'!Z25,'Curs, Seminar'!Z25,
IF(F21=0,"n/p",
IF(AND(F21&gt;=$H$3,F21&lt;=$I$3),$J$3,
IF(AND(F21&gt;=$H$4,F21&lt;=$I$4),$J$4,
IF(AND(F21&gt;=$H$5,F21&lt;=$I$5),$J$5,
IF(AND(F21&gt;=$H$6,F21&lt;=$I$6),$J$6,
IF(AND(F21&gt;=$H$7,F21&lt;=$I$7),$J$7,
IF(AND(F21&gt;=$H$8,F21&lt;=$I$8),$J$8,
IF(AND(F21&gt;=$H$9,F21&lt;=$I$9),$J$9,
IF(AND(F21&gt;=$H$10,F21&lt;=$I$10),$J$10,
IF(AND(F21&gt;=$H$11,F21&lt;=$I$11),$J$11))))))))))),
"")</f>
        <v/>
      </c>
      <c r="H21" s="7"/>
      <c r="I21" s="14"/>
      <c r="J21" s="7"/>
      <c r="K21" s="1"/>
      <c r="N21" s="17"/>
    </row>
    <row r="22" spans="1:16" ht="18" x14ac:dyDescent="0.35">
      <c r="A22" s="30" t="str">
        <f>IF(NOT(ISBLANK('Curs, Seminar'!B26)),'Curs, Seminar'!B26,"")</f>
        <v/>
      </c>
      <c r="B22" s="31" t="str">
        <f>IF(NOT(ISBLANK('Curs, Seminar'!C26)),'Curs, Seminar'!C26,"")</f>
        <v/>
      </c>
      <c r="C22" s="10"/>
      <c r="D22" s="10"/>
      <c r="E22" s="10"/>
      <c r="F22" s="23" t="str">
        <f>IF(NOT(ISBLANK('Curs, Seminar'!C26)),
IF('Curs, Seminar'!Z26,"Eliberat",
ROUND(SUM(C22:E22),0)),
"")</f>
        <v/>
      </c>
      <c r="G22" s="22" t="str">
        <f>IF(NOT(ISBLANK('Curs, Seminar'!C26)),
IF('Curs, Seminar'!Z26,'Curs, Seminar'!Z26,
IF(F22=0,"n/p",
IF(AND(F22&gt;=$H$3,F22&lt;=$I$3),$J$3,
IF(AND(F22&gt;=$H$4,F22&lt;=$I$4),$J$4,
IF(AND(F22&gt;=$H$5,F22&lt;=$I$5),$J$5,
IF(AND(F22&gt;=$H$6,F22&lt;=$I$6),$J$6,
IF(AND(F22&gt;=$H$7,F22&lt;=$I$7),$J$7,
IF(AND(F22&gt;=$H$8,F22&lt;=$I$8),$J$8,
IF(AND(F22&gt;=$H$9,F22&lt;=$I$9),$J$9,
IF(AND(F22&gt;=$H$10,F22&lt;=$I$10),$J$10,
IF(AND(F22&gt;=$H$11,F22&lt;=$I$11),$J$11))))))))))),
"")</f>
        <v/>
      </c>
      <c r="H22" s="7"/>
      <c r="I22" s="14"/>
      <c r="J22" s="7"/>
      <c r="K22" s="1"/>
      <c r="N22" s="17"/>
    </row>
    <row r="23" spans="1:16" ht="18" x14ac:dyDescent="0.35">
      <c r="A23" s="30" t="str">
        <f>IF(NOT(ISBLANK('Curs, Seminar'!B27)),'Curs, Seminar'!B27,"")</f>
        <v/>
      </c>
      <c r="B23" s="31" t="str">
        <f>IF(NOT(ISBLANK('Curs, Seminar'!C27)),'Curs, Seminar'!C27,"")</f>
        <v/>
      </c>
      <c r="C23" s="10"/>
      <c r="D23" s="10"/>
      <c r="E23" s="10"/>
      <c r="F23" s="23" t="str">
        <f>IF(NOT(ISBLANK('Curs, Seminar'!C27)),
IF('Curs, Seminar'!Z27,"Eliberat",
ROUND(SUM(C23:E23),0)),
"")</f>
        <v/>
      </c>
      <c r="G23" s="22" t="str">
        <f>IF(NOT(ISBLANK('Curs, Seminar'!C27)),
IF('Curs, Seminar'!Z27,'Curs, Seminar'!Z27,
IF(F23=0,"n/p",
IF(AND(F23&gt;=$H$3,F23&lt;=$I$3),$J$3,
IF(AND(F23&gt;=$H$4,F23&lt;=$I$4),$J$4,
IF(AND(F23&gt;=$H$5,F23&lt;=$I$5),$J$5,
IF(AND(F23&gt;=$H$6,F23&lt;=$I$6),$J$6,
IF(AND(F23&gt;=$H$7,F23&lt;=$I$7),$J$7,
IF(AND(F23&gt;=$H$8,F23&lt;=$I$8),$J$8,
IF(AND(F23&gt;=$H$9,F23&lt;=$I$9),$J$9,
IF(AND(F23&gt;=$H$10,F23&lt;=$I$10),$J$10,
IF(AND(F23&gt;=$H$11,F23&lt;=$I$11),$J$11))))))))))),
"")</f>
        <v/>
      </c>
      <c r="H23" s="7"/>
      <c r="I23" s="14"/>
      <c r="J23" s="7"/>
      <c r="K23" s="1"/>
      <c r="N23" s="17"/>
    </row>
    <row r="24" spans="1:16" ht="18" x14ac:dyDescent="0.35">
      <c r="A24" s="30" t="str">
        <f>IF(NOT(ISBLANK('Curs, Seminar'!B28)),'Curs, Seminar'!B28,"")</f>
        <v/>
      </c>
      <c r="B24" s="31" t="str">
        <f>IF(NOT(ISBLANK('Curs, Seminar'!C28)),'Curs, Seminar'!C28,"")</f>
        <v/>
      </c>
      <c r="C24" s="10"/>
      <c r="D24" s="10"/>
      <c r="E24" s="10"/>
      <c r="F24" s="23" t="str">
        <f>IF(NOT(ISBLANK('Curs, Seminar'!C28)),
IF('Curs, Seminar'!Z28,"Eliberat",
ROUND(SUM(C24:E24),0)),
"")</f>
        <v/>
      </c>
      <c r="G24" s="22" t="str">
        <f>IF(NOT(ISBLANK('Curs, Seminar'!C28)),
IF('Curs, Seminar'!Z28,'Curs, Seminar'!Z28,
IF(F24=0,"n/p",
IF(AND(F24&gt;=$H$3,F24&lt;=$I$3),$J$3,
IF(AND(F24&gt;=$H$4,F24&lt;=$I$4),$J$4,
IF(AND(F24&gt;=$H$5,F24&lt;=$I$5),$J$5,
IF(AND(F24&gt;=$H$6,F24&lt;=$I$6),$J$6,
IF(AND(F24&gt;=$H$7,F24&lt;=$I$7),$J$7,
IF(AND(F24&gt;=$H$8,F24&lt;=$I$8),$J$8,
IF(AND(F24&gt;=$H$9,F24&lt;=$I$9),$J$9,
IF(AND(F24&gt;=$H$10,F24&lt;=$I$10),$J$10,
IF(AND(F24&gt;=$H$11,F24&lt;=$I$11),$J$11))))))))))),
"")</f>
        <v/>
      </c>
      <c r="H24" s="7"/>
      <c r="I24" s="14"/>
      <c r="J24" s="7"/>
      <c r="K24" s="1"/>
      <c r="N24" s="17"/>
    </row>
    <row r="25" spans="1:16" ht="18" x14ac:dyDescent="0.35">
      <c r="A25" s="30" t="str">
        <f>IF(NOT(ISBLANK('Curs, Seminar'!B29)),'Curs, Seminar'!B29,"")</f>
        <v/>
      </c>
      <c r="B25" s="31" t="str">
        <f>IF(NOT(ISBLANK('Curs, Seminar'!C29)),'Curs, Seminar'!C29,"")</f>
        <v/>
      </c>
      <c r="C25" s="10"/>
      <c r="D25" s="10"/>
      <c r="E25" s="10"/>
      <c r="F25" s="23" t="str">
        <f>IF(NOT(ISBLANK('Curs, Seminar'!C29)),
IF('Curs, Seminar'!Z29,"Eliberat",
ROUND(SUM(C25:E25),0)),
"")</f>
        <v/>
      </c>
      <c r="G25" s="22" t="str">
        <f>IF(NOT(ISBLANK('Curs, Seminar'!C29)),
IF('Curs, Seminar'!Z29,'Curs, Seminar'!Z29,
IF(F25=0,"n/p",
IF(AND(F25&gt;=$H$3,F25&lt;=$I$3),$J$3,
IF(AND(F25&gt;=$H$4,F25&lt;=$I$4),$J$4,
IF(AND(F25&gt;=$H$5,F25&lt;=$I$5),$J$5,
IF(AND(F25&gt;=$H$6,F25&lt;=$I$6),$J$6,
IF(AND(F25&gt;=$H$7,F25&lt;=$I$7),$J$7,
IF(AND(F25&gt;=$H$8,F25&lt;=$I$8),$J$8,
IF(AND(F25&gt;=$H$9,F25&lt;=$I$9),$J$9,
IF(AND(F25&gt;=$H$10,F25&lt;=$I$10),$J$10,
IF(AND(F25&gt;=$H$11,F25&lt;=$I$11),$J$11))))))))))),
"")</f>
        <v/>
      </c>
      <c r="H25" s="7"/>
      <c r="I25" s="14"/>
      <c r="J25" s="7"/>
      <c r="K25" s="1"/>
      <c r="N25" s="17"/>
    </row>
    <row r="26" spans="1:16" ht="18" x14ac:dyDescent="0.35">
      <c r="A26" s="30" t="str">
        <f>IF(NOT(ISBLANK('Curs, Seminar'!B30)),'Curs, Seminar'!B30,"")</f>
        <v/>
      </c>
      <c r="B26" s="31" t="str">
        <f>IF(NOT(ISBLANK('Curs, Seminar'!C30)),'Curs, Seminar'!C30,"")</f>
        <v/>
      </c>
      <c r="C26" s="10"/>
      <c r="D26" s="10"/>
      <c r="E26" s="10"/>
      <c r="F26" s="23" t="str">
        <f>IF(NOT(ISBLANK('Curs, Seminar'!C30)),
IF('Curs, Seminar'!Z30,"Eliberat",
ROUND(SUM(C26:E26),0)),
"")</f>
        <v/>
      </c>
      <c r="G26" s="22" t="str">
        <f>IF(NOT(ISBLANK('Curs, Seminar'!C30)),
IF('Curs, Seminar'!Z30,'Curs, Seminar'!Z30,
IF(F26=0,"n/p",
IF(AND(F26&gt;=$H$3,F26&lt;=$I$3),$J$3,
IF(AND(F26&gt;=$H$4,F26&lt;=$I$4),$J$4,
IF(AND(F26&gt;=$H$5,F26&lt;=$I$5),$J$5,
IF(AND(F26&gt;=$H$6,F26&lt;=$I$6),$J$6,
IF(AND(F26&gt;=$H$7,F26&lt;=$I$7),$J$7,
IF(AND(F26&gt;=$H$8,F26&lt;=$I$8),$J$8,
IF(AND(F26&gt;=$H$9,F26&lt;=$I$9),$J$9,
IF(AND(F26&gt;=$H$10,F26&lt;=$I$10),$J$10,
IF(AND(F26&gt;=$H$11,F26&lt;=$I$11),$J$11))))))))))),
"")</f>
        <v/>
      </c>
      <c r="H26" s="7"/>
      <c r="I26" s="14"/>
      <c r="J26" s="7"/>
      <c r="K26" s="1"/>
      <c r="N26" s="17"/>
    </row>
    <row r="27" spans="1:16" ht="18" x14ac:dyDescent="0.35">
      <c r="A27" s="30" t="str">
        <f>IF(NOT(ISBLANK('Curs, Seminar'!B31)),'Curs, Seminar'!B31,"")</f>
        <v/>
      </c>
      <c r="B27" s="31" t="str">
        <f>IF(NOT(ISBLANK('Curs, Seminar'!C31)),'Curs, Seminar'!C31,"")</f>
        <v/>
      </c>
      <c r="C27" s="10"/>
      <c r="D27" s="10"/>
      <c r="E27" s="10"/>
      <c r="F27" s="23" t="str">
        <f>IF(NOT(ISBLANK('Curs, Seminar'!C31)),
IF('Curs, Seminar'!Z31,"Eliberat",
ROUND(SUM(C27:E27),0)),
"")</f>
        <v/>
      </c>
      <c r="G27" s="22" t="str">
        <f>IF(NOT(ISBLANK('Curs, Seminar'!C31)),
IF('Curs, Seminar'!Z31,'Curs, Seminar'!Z31,
IF(F27=0,"n/p",
IF(AND(F27&gt;=$H$3,F27&lt;=$I$3),$J$3,
IF(AND(F27&gt;=$H$4,F27&lt;=$I$4),$J$4,
IF(AND(F27&gt;=$H$5,F27&lt;=$I$5),$J$5,
IF(AND(F27&gt;=$H$6,F27&lt;=$I$6),$J$6,
IF(AND(F27&gt;=$H$7,F27&lt;=$I$7),$J$7,
IF(AND(F27&gt;=$H$8,F27&lt;=$I$8),$J$8,
IF(AND(F27&gt;=$H$9,F27&lt;=$I$9),$J$9,
IF(AND(F27&gt;=$H$10,F27&lt;=$I$10),$J$10,
IF(AND(F27&gt;=$H$11,F27&lt;=$I$11),$J$11))))))))))),
"")</f>
        <v/>
      </c>
      <c r="H27" s="10"/>
      <c r="I27" s="10"/>
      <c r="J27" s="10"/>
      <c r="K27" s="11"/>
      <c r="L27" s="22"/>
      <c r="M27" s="7"/>
      <c r="N27" s="14"/>
      <c r="O27" s="7"/>
      <c r="P27" s="1"/>
    </row>
    <row r="28" spans="1:16" ht="18" x14ac:dyDescent="0.35">
      <c r="A28" s="30" t="str">
        <f>IF(NOT(ISBLANK('Curs, Seminar'!B32)),'Curs, Seminar'!B32,"")</f>
        <v/>
      </c>
      <c r="B28" s="31" t="str">
        <f>IF(NOT(ISBLANK('Curs, Seminar'!C32)),'Curs, Seminar'!C32,"")</f>
        <v/>
      </c>
      <c r="C28" s="10"/>
      <c r="D28" s="10"/>
      <c r="E28" s="10"/>
      <c r="F28" s="23" t="str">
        <f>IF(NOT(ISBLANK('Curs, Seminar'!C32)),
IF('Curs, Seminar'!Z32,"Eliberat",
ROUND(SUM(C28:E28),0)),
"")</f>
        <v/>
      </c>
      <c r="G28" s="22" t="str">
        <f>IF(NOT(ISBLANK('Curs, Seminar'!C32)),
IF('Curs, Seminar'!Z32,'Curs, Seminar'!Z32,
IF(F28=0,"n/p",
IF(AND(F28&gt;=$H$3,F28&lt;=$I$3),$J$3,
IF(AND(F28&gt;=$H$4,F28&lt;=$I$4),$J$4,
IF(AND(F28&gt;=$H$5,F28&lt;=$I$5),$J$5,
IF(AND(F28&gt;=$H$6,F28&lt;=$I$6),$J$6,
IF(AND(F28&gt;=$H$7,F28&lt;=$I$7),$J$7,
IF(AND(F28&gt;=$H$8,F28&lt;=$I$8),$J$8,
IF(AND(F28&gt;=$H$9,F28&lt;=$I$9),$J$9,
IF(AND(F28&gt;=$H$10,F28&lt;=$I$10),$J$10,
IF(AND(F28&gt;=$H$11,F28&lt;=$I$11),$J$11))))))))))),
"")</f>
        <v/>
      </c>
    </row>
    <row r="29" spans="1:16" ht="18" x14ac:dyDescent="0.35">
      <c r="A29" s="30" t="str">
        <f>IF(NOT(ISBLANK('Curs, Seminar'!B33)),'Curs, Seminar'!B33,"")</f>
        <v/>
      </c>
      <c r="B29" s="31" t="str">
        <f>IF(NOT(ISBLANK('Curs, Seminar'!C33)),'Curs, Seminar'!C33,"")</f>
        <v/>
      </c>
      <c r="C29" s="10"/>
      <c r="D29" s="10"/>
      <c r="E29" s="10"/>
      <c r="F29" s="23" t="str">
        <f>IF(NOT(ISBLANK('Curs, Seminar'!C33)),
IF('Curs, Seminar'!Z33,"Eliberat",
ROUND(SUM(C29:E29),0)),
"")</f>
        <v/>
      </c>
      <c r="G29" s="22" t="str">
        <f>IF(NOT(ISBLANK('Curs, Seminar'!C33)),
IF('Curs, Seminar'!Z33,'Curs, Seminar'!Z33,
IF(F29=0,"n/p",
IF(AND(F29&gt;=$H$3,F29&lt;=$I$3),$J$3,
IF(AND(F29&gt;=$H$4,F29&lt;=$I$4),$J$4,
IF(AND(F29&gt;=$H$5,F29&lt;=$I$5),$J$5,
IF(AND(F29&gt;=$H$6,F29&lt;=$I$6),$J$6,
IF(AND(F29&gt;=$H$7,F29&lt;=$I$7),$J$7,
IF(AND(F29&gt;=$H$8,F29&lt;=$I$8),$J$8,
IF(AND(F29&gt;=$H$9,F29&lt;=$I$9),$J$9,
IF(AND(F29&gt;=$H$10,F29&lt;=$I$10),$J$10,
IF(AND(F29&gt;=$H$11,F29&lt;=$I$11),$J$11))))))))))),
"")</f>
        <v/>
      </c>
    </row>
    <row r="30" spans="1:16" ht="18" x14ac:dyDescent="0.35">
      <c r="A30" s="30" t="str">
        <f>IF(NOT(ISBLANK('Curs, Seminar'!B34)),'Curs, Seminar'!B34,"")</f>
        <v/>
      </c>
      <c r="B30" s="31" t="str">
        <f>IF(NOT(ISBLANK('Curs, Seminar'!C34)),'Curs, Seminar'!C34,"")</f>
        <v/>
      </c>
      <c r="C30" s="10"/>
      <c r="D30" s="10"/>
      <c r="E30" s="10"/>
      <c r="F30" s="23" t="str">
        <f>IF(NOT(ISBLANK('Curs, Seminar'!C34)),
IF('Curs, Seminar'!Z34,"Eliberat",
ROUND(SUM(C30:E30),0)),
"")</f>
        <v/>
      </c>
      <c r="G30" s="22" t="str">
        <f>IF(NOT(ISBLANK('Curs, Seminar'!C34)),
IF('Curs, Seminar'!Z34,'Curs, Seminar'!Z34,
IF(F30=0,"n/p",
IF(AND(F30&gt;=$H$3,F30&lt;=$I$3),$J$3,
IF(AND(F30&gt;=$H$4,F30&lt;=$I$4),$J$4,
IF(AND(F30&gt;=$H$5,F30&lt;=$I$5),$J$5,
IF(AND(F30&gt;=$H$6,F30&lt;=$I$6),$J$6,
IF(AND(F30&gt;=$H$7,F30&lt;=$I$7),$J$7,
IF(AND(F30&gt;=$H$8,F30&lt;=$I$8),$J$8,
IF(AND(F30&gt;=$H$9,F30&lt;=$I$9),$J$9,
IF(AND(F30&gt;=$H$10,F30&lt;=$I$10),$J$10,
IF(AND(F30&gt;=$H$11,F30&lt;=$I$11),$J$11))))))))))),
"")</f>
        <v/>
      </c>
    </row>
    <row r="31" spans="1:16" ht="18" x14ac:dyDescent="0.35">
      <c r="A31" s="30" t="str">
        <f>IF(NOT(ISBLANK('Curs, Seminar'!B35)),'Curs, Seminar'!B35,"")</f>
        <v/>
      </c>
      <c r="B31" s="31" t="str">
        <f>IF(NOT(ISBLANK('Curs, Seminar'!C35)),'Curs, Seminar'!C35,"")</f>
        <v/>
      </c>
      <c r="C31" s="10"/>
      <c r="D31" s="10"/>
      <c r="E31" s="10"/>
      <c r="F31" s="23" t="str">
        <f>IF(NOT(ISBLANK('Curs, Seminar'!C35)),
IF('Curs, Seminar'!Z35,"Eliberat",
ROUND(SUM(C31:E31),0)),
"")</f>
        <v/>
      </c>
      <c r="G31" s="22" t="str">
        <f>IF(NOT(ISBLANK('Curs, Seminar'!C35)),
IF('Curs, Seminar'!Z35,'Curs, Seminar'!Z35,
IF(F31=0,"n/p",
IF(AND(F31&gt;=$H$3,F31&lt;=$I$3),$J$3,
IF(AND(F31&gt;=$H$4,F31&lt;=$I$4),$J$4,
IF(AND(F31&gt;=$H$5,F31&lt;=$I$5),$J$5,
IF(AND(F31&gt;=$H$6,F31&lt;=$I$6),$J$6,
IF(AND(F31&gt;=$H$7,F31&lt;=$I$7),$J$7,
IF(AND(F31&gt;=$H$8,F31&lt;=$I$8),$J$8,
IF(AND(F31&gt;=$H$9,F31&lt;=$I$9),$J$9,
IF(AND(F31&gt;=$H$10,F31&lt;=$I$10),$J$10,
IF(AND(F31&gt;=$H$11,F31&lt;=$I$11),$J$11))))))))))),
"")</f>
        <v/>
      </c>
    </row>
    <row r="32" spans="1:16" ht="18" x14ac:dyDescent="0.35">
      <c r="A32" s="30" t="str">
        <f>IF(NOT(ISBLANK('Curs, Seminar'!B36)),'Curs, Seminar'!B36,"")</f>
        <v/>
      </c>
      <c r="B32" s="31" t="str">
        <f>IF(NOT(ISBLANK('Curs, Seminar'!C36)),'Curs, Seminar'!C36,"")</f>
        <v/>
      </c>
      <c r="C32" s="10"/>
      <c r="D32" s="10"/>
      <c r="E32" s="10"/>
      <c r="F32" s="23" t="str">
        <f>IF(NOT(ISBLANK('Curs, Seminar'!C36)),
IF('Curs, Seminar'!Z36,"Eliberat",
ROUND(SUM(C32:E32),0)),
"")</f>
        <v/>
      </c>
      <c r="G32" s="22" t="str">
        <f>IF(NOT(ISBLANK('Curs, Seminar'!C36)),
IF('Curs, Seminar'!Z36,'Curs, Seminar'!Z36,
IF(F32=0,"n/p",
IF(AND(F32&gt;=$H$3,F32&lt;=$I$3),$J$3,
IF(AND(F32&gt;=$H$4,F32&lt;=$I$4),$J$4,
IF(AND(F32&gt;=$H$5,F32&lt;=$I$5),$J$5,
IF(AND(F32&gt;=$H$6,F32&lt;=$I$6),$J$6,
IF(AND(F32&gt;=$H$7,F32&lt;=$I$7),$J$7,
IF(AND(F32&gt;=$H$8,F32&lt;=$I$8),$J$8,
IF(AND(F32&gt;=$H$9,F32&lt;=$I$9),$J$9,
IF(AND(F32&gt;=$H$10,F32&lt;=$I$10),$J$10,
IF(AND(F32&gt;=$H$11,F32&lt;=$I$11),$J$11))))))))))),
"")</f>
        <v/>
      </c>
    </row>
    <row r="33" spans="1:7" ht="18" x14ac:dyDescent="0.35">
      <c r="A33" s="30" t="str">
        <f>IF(NOT(ISBLANK('Curs, Seminar'!B37)),'Curs, Seminar'!B37,"")</f>
        <v/>
      </c>
      <c r="B33" s="31" t="str">
        <f>IF(NOT(ISBLANK('Curs, Seminar'!C37)),'Curs, Seminar'!C37,"")</f>
        <v/>
      </c>
      <c r="C33" s="10"/>
      <c r="D33" s="10"/>
      <c r="E33" s="10"/>
      <c r="F33" s="23" t="str">
        <f>IF(NOT(ISBLANK('Curs, Seminar'!C37)),
IF('Curs, Seminar'!Z37,"Eliberat",
ROUND(SUM(C33:E33),0)),
"")</f>
        <v/>
      </c>
      <c r="G33" s="22" t="str">
        <f>IF(NOT(ISBLANK('Curs, Seminar'!C37)),
IF('Curs, Seminar'!Z37,'Curs, Seminar'!Z37,
IF(F33=0,"n/p",
IF(AND(F33&gt;=$H$3,F33&lt;=$I$3),$J$3,
IF(AND(F33&gt;=$H$4,F33&lt;=$I$4),$J$4,
IF(AND(F33&gt;=$H$5,F33&lt;=$I$5),$J$5,
IF(AND(F33&gt;=$H$6,F33&lt;=$I$6),$J$6,
IF(AND(F33&gt;=$H$7,F33&lt;=$I$7),$J$7,
IF(AND(F33&gt;=$H$8,F33&lt;=$I$8),$J$8,
IF(AND(F33&gt;=$H$9,F33&lt;=$I$9),$J$9,
IF(AND(F33&gt;=$H$10,F33&lt;=$I$10),$J$10,
IF(AND(F33&gt;=$H$11,F33&lt;=$I$11),$J$11))))))))))),
"")</f>
        <v/>
      </c>
    </row>
    <row r="34" spans="1:7" ht="18" x14ac:dyDescent="0.35">
      <c r="A34" s="30" t="str">
        <f>IF(NOT(ISBLANK('Curs, Seminar'!B38)),'Curs, Seminar'!B38,"")</f>
        <v/>
      </c>
      <c r="B34" s="31" t="str">
        <f>IF(NOT(ISBLANK('Curs, Seminar'!C38)),'Curs, Seminar'!C38,"")</f>
        <v/>
      </c>
      <c r="C34" s="10"/>
      <c r="D34" s="10"/>
      <c r="E34" s="10"/>
      <c r="F34" s="23" t="str">
        <f>IF(NOT(ISBLANK('Curs, Seminar'!C38)),
IF('Curs, Seminar'!Z38,"Eliberat",
ROUND(SUM(C34:E34),0)),
"")</f>
        <v/>
      </c>
      <c r="G34" s="22" t="str">
        <f>IF(NOT(ISBLANK('Curs, Seminar'!C38)),
IF('Curs, Seminar'!Z38,'Curs, Seminar'!Z38,
IF(F34=0,"n/p",
IF(AND(F34&gt;=$H$3,F34&lt;=$I$3),$J$3,
IF(AND(F34&gt;=$H$4,F34&lt;=$I$4),$J$4,
IF(AND(F34&gt;=$H$5,F34&lt;=$I$5),$J$5,
IF(AND(F34&gt;=$H$6,F34&lt;=$I$6),$J$6,
IF(AND(F34&gt;=$H$7,F34&lt;=$I$7),$J$7,
IF(AND(F34&gt;=$H$8,F34&lt;=$I$8),$J$8,
IF(AND(F34&gt;=$H$9,F34&lt;=$I$9),$J$9,
IF(AND(F34&gt;=$H$10,F34&lt;=$I$10),$J$10,
IF(AND(F34&gt;=$H$11,F34&lt;=$I$11),$J$11))))))))))),
"")</f>
        <v/>
      </c>
    </row>
    <row r="35" spans="1:7" ht="18" x14ac:dyDescent="0.35">
      <c r="A35" s="30" t="str">
        <f>IF(NOT(ISBLANK('Curs, Seminar'!B39)),'Curs, Seminar'!B39,"")</f>
        <v/>
      </c>
      <c r="B35" s="31" t="str">
        <f>IF(NOT(ISBLANK('Curs, Seminar'!C39)),'Curs, Seminar'!C39,"")</f>
        <v/>
      </c>
      <c r="C35" s="10"/>
      <c r="D35" s="10"/>
      <c r="E35" s="10"/>
      <c r="F35" s="23" t="str">
        <f>IF(NOT(ISBLANK('Curs, Seminar'!C39)),
IF('Curs, Seminar'!Z39,"Eliberat",
ROUND(SUM(C35:E35),0)),
"")</f>
        <v/>
      </c>
      <c r="G35" s="22" t="str">
        <f>IF(NOT(ISBLANK('Curs, Seminar'!C39)),
IF('Curs, Seminar'!Z39,'Curs, Seminar'!Z39,
IF(F35=0,"n/p",
IF(AND(F35&gt;=$H$3,F35&lt;=$I$3),$J$3,
IF(AND(F35&gt;=$H$4,F35&lt;=$I$4),$J$4,
IF(AND(F35&gt;=$H$5,F35&lt;=$I$5),$J$5,
IF(AND(F35&gt;=$H$6,F35&lt;=$I$6),$J$6,
IF(AND(F35&gt;=$H$7,F35&lt;=$I$7),$J$7,
IF(AND(F35&gt;=$H$8,F35&lt;=$I$8),$J$8,
IF(AND(F35&gt;=$H$9,F35&lt;=$I$9),$J$9,
IF(AND(F35&gt;=$H$10,F35&lt;=$I$10),$J$10,
IF(AND(F35&gt;=$H$11,F35&lt;=$I$11),$J$11))))))))))),
"")</f>
        <v/>
      </c>
    </row>
    <row r="36" spans="1:7" ht="18" x14ac:dyDescent="0.35">
      <c r="A36" s="30" t="str">
        <f>IF(NOT(ISBLANK('Curs, Seminar'!B40)),'Curs, Seminar'!B40,"")</f>
        <v/>
      </c>
      <c r="B36" s="31" t="str">
        <f>IF(NOT(ISBLANK('Curs, Seminar'!C40)),'Curs, Seminar'!C40,"")</f>
        <v/>
      </c>
      <c r="C36" s="10"/>
      <c r="D36" s="10"/>
      <c r="E36" s="10"/>
      <c r="F36" s="23" t="str">
        <f>IF(NOT(ISBLANK('Curs, Seminar'!C40)),
IF('Curs, Seminar'!Z40,"Eliberat",
ROUND(SUM(C36:E36),0)),
"")</f>
        <v/>
      </c>
      <c r="G36" s="22" t="str">
        <f>IF(NOT(ISBLANK('Curs, Seminar'!C40)),
IF('Curs, Seminar'!Z40,'Curs, Seminar'!Z40,
IF(F36=0,"n/p",
IF(AND(F36&gt;=$H$3,F36&lt;=$I$3),$J$3,
IF(AND(F36&gt;=$H$4,F36&lt;=$I$4),$J$4,
IF(AND(F36&gt;=$H$5,F36&lt;=$I$5),$J$5,
IF(AND(F36&gt;=$H$6,F36&lt;=$I$6),$J$6,
IF(AND(F36&gt;=$H$7,F36&lt;=$I$7),$J$7,
IF(AND(F36&gt;=$H$8,F36&lt;=$I$8),$J$8,
IF(AND(F36&gt;=$H$9,F36&lt;=$I$9),$J$9,
IF(AND(F36&gt;=$H$10,F36&lt;=$I$10),$J$10,
IF(AND(F36&gt;=$H$11,F36&lt;=$I$11),$J$11))))))))))),
"")</f>
        <v/>
      </c>
    </row>
    <row r="37" spans="1:7" ht="18" x14ac:dyDescent="0.35">
      <c r="A37" s="30" t="str">
        <f>IF(NOT(ISBLANK('Curs, Seminar'!B41)),'Curs, Seminar'!B41,"")</f>
        <v/>
      </c>
      <c r="B37" s="31" t="str">
        <f>IF(NOT(ISBLANK('Curs, Seminar'!C41)),'Curs, Seminar'!C41,"")</f>
        <v/>
      </c>
      <c r="C37" s="10"/>
      <c r="D37" s="10"/>
      <c r="E37" s="10"/>
      <c r="F37" s="23" t="str">
        <f>IF(NOT(ISBLANK('Curs, Seminar'!C41)),
IF('Curs, Seminar'!Z41,"Eliberat",
ROUND(SUM(C37:E37),0)),
"")</f>
        <v/>
      </c>
      <c r="G37" s="22" t="str">
        <f>IF(NOT(ISBLANK('Curs, Seminar'!C41)),
IF('Curs, Seminar'!Z41,'Curs, Seminar'!Z41,
IF(F37=0,"n/p",
IF(AND(F37&gt;=$H$3,F37&lt;=$I$3),$J$3,
IF(AND(F37&gt;=$H$4,F37&lt;=$I$4),$J$4,
IF(AND(F37&gt;=$H$5,F37&lt;=$I$5),$J$5,
IF(AND(F37&gt;=$H$6,F37&lt;=$I$6),$J$6,
IF(AND(F37&gt;=$H$7,F37&lt;=$I$7),$J$7,
IF(AND(F37&gt;=$H$8,F37&lt;=$I$8),$J$8,
IF(AND(F37&gt;=$H$9,F37&lt;=$I$9),$J$9,
IF(AND(F37&gt;=$H$10,F37&lt;=$I$10),$J$10,
IF(AND(F37&gt;=$H$11,F37&lt;=$I$11),$J$11))))))))))),
"")</f>
        <v/>
      </c>
    </row>
    <row r="38" spans="1:7" ht="18" x14ac:dyDescent="0.35">
      <c r="A38" s="30" t="str">
        <f>IF(NOT(ISBLANK('Curs, Seminar'!B42)),'Curs, Seminar'!B42,"")</f>
        <v/>
      </c>
      <c r="B38" s="31" t="str">
        <f>IF(NOT(ISBLANK('Curs, Seminar'!C42)),'Curs, Seminar'!C42,"")</f>
        <v/>
      </c>
      <c r="C38" s="10"/>
      <c r="D38" s="10"/>
      <c r="E38" s="10"/>
      <c r="F38" s="23" t="str">
        <f>IF(NOT(ISBLANK('Curs, Seminar'!C42)),
IF('Curs, Seminar'!Z42,"Eliberat",
ROUND(SUM(C38:E38),0)),
"")</f>
        <v/>
      </c>
      <c r="G38" s="22" t="str">
        <f>IF(NOT(ISBLANK('Curs, Seminar'!C42)),
IF('Curs, Seminar'!Z42,'Curs, Seminar'!Z42,
IF(F38=0,"n/p",
IF(AND(F38&gt;=$H$3,F38&lt;=$I$3),$J$3,
IF(AND(F38&gt;=$H$4,F38&lt;=$I$4),$J$4,
IF(AND(F38&gt;=$H$5,F38&lt;=$I$5),$J$5,
IF(AND(F38&gt;=$H$6,F38&lt;=$I$6),$J$6,
IF(AND(F38&gt;=$H$7,F38&lt;=$I$7),$J$7,
IF(AND(F38&gt;=$H$8,F38&lt;=$I$8),$J$8,
IF(AND(F38&gt;=$H$9,F38&lt;=$I$9),$J$9,
IF(AND(F38&gt;=$H$10,F38&lt;=$I$10),$J$10,
IF(AND(F38&gt;=$H$11,F38&lt;=$I$11),$J$11))))))))))),
"")</f>
        <v/>
      </c>
    </row>
    <row r="39" spans="1:7" ht="18" x14ac:dyDescent="0.35">
      <c r="A39" s="30" t="str">
        <f>IF(NOT(ISBLANK('Curs, Seminar'!B43)),'Curs, Seminar'!B43,"")</f>
        <v/>
      </c>
      <c r="B39" s="31" t="str">
        <f>IF(NOT(ISBLANK('Curs, Seminar'!C43)),'Curs, Seminar'!C43,"")</f>
        <v/>
      </c>
      <c r="C39" s="10"/>
      <c r="D39" s="10"/>
      <c r="E39" s="10"/>
      <c r="F39" s="23" t="str">
        <f>IF(NOT(ISBLANK('Curs, Seminar'!C43)),
IF('Curs, Seminar'!Z43,"Eliberat",
ROUND(SUM(C39:E39),0)),
"")</f>
        <v/>
      </c>
      <c r="G39" s="22" t="str">
        <f>IF(NOT(ISBLANK('Curs, Seminar'!C43)),
IF('Curs, Seminar'!Z43,'Curs, Seminar'!Z43,
IF(F39=0,"n/p",
IF(AND(F39&gt;=$H$3,F39&lt;=$I$3),$J$3,
IF(AND(F39&gt;=$H$4,F39&lt;=$I$4),$J$4,
IF(AND(F39&gt;=$H$5,F39&lt;=$I$5),$J$5,
IF(AND(F39&gt;=$H$6,F39&lt;=$I$6),$J$6,
IF(AND(F39&gt;=$H$7,F39&lt;=$I$7),$J$7,
IF(AND(F39&gt;=$H$8,F39&lt;=$I$8),$J$8,
IF(AND(F39&gt;=$H$9,F39&lt;=$I$9),$J$9,
IF(AND(F39&gt;=$H$10,F39&lt;=$I$10),$J$10,
IF(AND(F39&gt;=$H$11,F39&lt;=$I$11),$J$11))))))))))),
"")</f>
        <v/>
      </c>
    </row>
    <row r="40" spans="1:7" ht="18" x14ac:dyDescent="0.35">
      <c r="A40" s="30" t="str">
        <f>IF(NOT(ISBLANK('Curs, Seminar'!B44)),'Curs, Seminar'!B44,"")</f>
        <v/>
      </c>
      <c r="B40" s="31" t="str">
        <f>IF(NOT(ISBLANK('Curs, Seminar'!C44)),'Curs, Seminar'!C44,"")</f>
        <v/>
      </c>
      <c r="C40" s="10"/>
      <c r="D40" s="10"/>
      <c r="E40" s="10"/>
      <c r="F40" s="23" t="str">
        <f>IF(NOT(ISBLANK('Curs, Seminar'!C44)),
IF('Curs, Seminar'!Z44,"Eliberat",
ROUND(SUM(C40:E40),0)),
"")</f>
        <v/>
      </c>
      <c r="G40" s="22" t="str">
        <f>IF(NOT(ISBLANK('Curs, Seminar'!C44)),
IF('Curs, Seminar'!Z44,'Curs, Seminar'!Z44,
IF(F40=0,"n/p",
IF(AND(F40&gt;=$H$3,F40&lt;=$I$3),$J$3,
IF(AND(F40&gt;=$H$4,F40&lt;=$I$4),$J$4,
IF(AND(F40&gt;=$H$5,F40&lt;=$I$5),$J$5,
IF(AND(F40&gt;=$H$6,F40&lt;=$I$6),$J$6,
IF(AND(F40&gt;=$H$7,F40&lt;=$I$7),$J$7,
IF(AND(F40&gt;=$H$8,F40&lt;=$I$8),$J$8,
IF(AND(F40&gt;=$H$9,F40&lt;=$I$9),$J$9,
IF(AND(F40&gt;=$H$10,F40&lt;=$I$10),$J$10,
IF(AND(F40&gt;=$H$11,F40&lt;=$I$11),$J$11))))))))))),
"")</f>
        <v/>
      </c>
    </row>
    <row r="41" spans="1:7" ht="18" x14ac:dyDescent="0.35">
      <c r="A41" s="30" t="str">
        <f>IF(NOT(ISBLANK('Curs, Seminar'!B45)),'Curs, Seminar'!B45,"")</f>
        <v/>
      </c>
      <c r="B41" s="31" t="str">
        <f>IF(NOT(ISBLANK('Curs, Seminar'!C45)),'Curs, Seminar'!C45,"")</f>
        <v/>
      </c>
      <c r="C41" s="10"/>
      <c r="D41" s="10"/>
      <c r="E41" s="10"/>
      <c r="F41" s="23" t="str">
        <f>IF(NOT(ISBLANK('Curs, Seminar'!C45)),
IF('Curs, Seminar'!Z45,"Eliberat",
ROUND(SUM(C41:E41),0)),
"")</f>
        <v/>
      </c>
      <c r="G41" s="22" t="str">
        <f>IF(NOT(ISBLANK('Curs, Seminar'!C45)),
IF('Curs, Seminar'!Z45,'Curs, Seminar'!Z45,
IF(F41=0,"n/p",
IF(AND(F41&gt;=$H$3,F41&lt;=$I$3),$J$3,
IF(AND(F41&gt;=$H$4,F41&lt;=$I$4),$J$4,
IF(AND(F41&gt;=$H$5,F41&lt;=$I$5),$J$5,
IF(AND(F41&gt;=$H$6,F41&lt;=$I$6),$J$6,
IF(AND(F41&gt;=$H$7,F41&lt;=$I$7),$J$7,
IF(AND(F41&gt;=$H$8,F41&lt;=$I$8),$J$8,
IF(AND(F41&gt;=$H$9,F41&lt;=$I$9),$J$9,
IF(AND(F41&gt;=$H$10,F41&lt;=$I$10),$J$10,
IF(AND(F41&gt;=$H$11,F41&lt;=$I$11),$J$11))))))))))),
"")</f>
        <v/>
      </c>
    </row>
    <row r="42" spans="1:7" ht="18" x14ac:dyDescent="0.35">
      <c r="A42" s="30" t="str">
        <f>IF(NOT(ISBLANK('Curs, Seminar'!B46)),'Curs, Seminar'!B46,"")</f>
        <v/>
      </c>
      <c r="B42" s="31" t="str">
        <f>IF(NOT(ISBLANK('Curs, Seminar'!C46)),'Curs, Seminar'!C46,"")</f>
        <v/>
      </c>
      <c r="C42" s="10"/>
      <c r="D42" s="10"/>
      <c r="E42" s="10"/>
      <c r="F42" s="23" t="str">
        <f>IF(NOT(ISBLANK('Curs, Seminar'!C46)),
IF('Curs, Seminar'!Z46,"Eliberat",
ROUND(SUM(C42:E42),0)),
"")</f>
        <v/>
      </c>
      <c r="G42" s="22" t="str">
        <f>IF(NOT(ISBLANK('Curs, Seminar'!C46)),
IF('Curs, Seminar'!Z46,'Curs, Seminar'!Z46,
IF(F42=0,"n/p",
IF(AND(F42&gt;=$H$3,F42&lt;=$I$3),$J$3,
IF(AND(F42&gt;=$H$4,F42&lt;=$I$4),$J$4,
IF(AND(F42&gt;=$H$5,F42&lt;=$I$5),$J$5,
IF(AND(F42&gt;=$H$6,F42&lt;=$I$6),$J$6,
IF(AND(F42&gt;=$H$7,F42&lt;=$I$7),$J$7,
IF(AND(F42&gt;=$H$8,F42&lt;=$I$8),$J$8,
IF(AND(F42&gt;=$H$9,F42&lt;=$I$9),$J$9,
IF(AND(F42&gt;=$H$10,F42&lt;=$I$10),$J$10,
IF(AND(F42&gt;=$H$11,F42&lt;=$I$11),$J$11))))))))))),
"")</f>
        <v/>
      </c>
    </row>
    <row r="43" spans="1:7" ht="18" x14ac:dyDescent="0.35">
      <c r="A43" s="30" t="str">
        <f>IF(NOT(ISBLANK('Curs, Seminar'!B47)),'Curs, Seminar'!B47,"")</f>
        <v/>
      </c>
      <c r="B43" s="31" t="str">
        <f>IF(NOT(ISBLANK('Curs, Seminar'!C47)),'Curs, Seminar'!C47,"")</f>
        <v/>
      </c>
      <c r="C43" s="10"/>
      <c r="D43" s="10"/>
      <c r="E43" s="10"/>
      <c r="F43" s="23" t="str">
        <f>IF(NOT(ISBLANK('Curs, Seminar'!C47)),
IF('Curs, Seminar'!Z47,"Eliberat",
ROUND(SUM(C43:E43),0)),
"")</f>
        <v/>
      </c>
      <c r="G43" s="22" t="str">
        <f>IF(NOT(ISBLANK('Curs, Seminar'!C47)),
IF('Curs, Seminar'!Z47,'Curs, Seminar'!Z47,
IF(F43=0,"n/p",
IF(AND(F43&gt;=$H$3,F43&lt;=$I$3),$J$3,
IF(AND(F43&gt;=$H$4,F43&lt;=$I$4),$J$4,
IF(AND(F43&gt;=$H$5,F43&lt;=$I$5),$J$5,
IF(AND(F43&gt;=$H$6,F43&lt;=$I$6),$J$6,
IF(AND(F43&gt;=$H$7,F43&lt;=$I$7),$J$7,
IF(AND(F43&gt;=$H$8,F43&lt;=$I$8),$J$8,
IF(AND(F43&gt;=$H$9,F43&lt;=$I$9),$J$9,
IF(AND(F43&gt;=$H$10,F43&lt;=$I$10),$J$10,
IF(AND(F43&gt;=$H$11,F43&lt;=$I$11),$J$11))))))))))),
"")</f>
        <v/>
      </c>
    </row>
    <row r="44" spans="1:7" ht="18" x14ac:dyDescent="0.35">
      <c r="A44" s="30" t="str">
        <f>IF(NOT(ISBLANK('Curs, Seminar'!B48)),'Curs, Seminar'!B48,"")</f>
        <v/>
      </c>
      <c r="B44" s="31" t="str">
        <f>IF(NOT(ISBLANK('Curs, Seminar'!C48)),'Curs, Seminar'!C48,"")</f>
        <v/>
      </c>
      <c r="C44" s="10"/>
      <c r="D44" s="10"/>
      <c r="E44" s="10"/>
      <c r="F44" s="23" t="str">
        <f>IF(NOT(ISBLANK('Curs, Seminar'!C48)),
IF('Curs, Seminar'!Z48,"Eliberat",
ROUND(SUM(C44:E44),0)),
"")</f>
        <v/>
      </c>
      <c r="G44" s="22" t="str">
        <f>IF(NOT(ISBLANK('Curs, Seminar'!C48)),
IF('Curs, Seminar'!Z48,'Curs, Seminar'!Z48,
IF(F44=0,"n/p",
IF(AND(F44&gt;=$H$3,F44&lt;=$I$3),$J$3,
IF(AND(F44&gt;=$H$4,F44&lt;=$I$4),$J$4,
IF(AND(F44&gt;=$H$5,F44&lt;=$I$5),$J$5,
IF(AND(F44&gt;=$H$6,F44&lt;=$I$6),$J$6,
IF(AND(F44&gt;=$H$7,F44&lt;=$I$7),$J$7,
IF(AND(F44&gt;=$H$8,F44&lt;=$I$8),$J$8,
IF(AND(F44&gt;=$H$9,F44&lt;=$I$9),$J$9,
IF(AND(F44&gt;=$H$10,F44&lt;=$I$10),$J$10,
IF(AND(F44&gt;=$H$11,F44&lt;=$I$11),$J$11))))))))))),
"")</f>
        <v/>
      </c>
    </row>
    <row r="45" spans="1:7" ht="18" x14ac:dyDescent="0.35">
      <c r="A45" s="30" t="str">
        <f>IF(NOT(ISBLANK('Curs, Seminar'!B49)),'Curs, Seminar'!B49,"")</f>
        <v/>
      </c>
      <c r="B45" s="31" t="str">
        <f>IF(NOT(ISBLANK('Curs, Seminar'!C49)),'Curs, Seminar'!C49,"")</f>
        <v/>
      </c>
      <c r="C45" s="10"/>
      <c r="D45" s="10"/>
      <c r="E45" s="10"/>
      <c r="F45" s="23" t="str">
        <f>IF(NOT(ISBLANK('Curs, Seminar'!C49)),
IF('Curs, Seminar'!Z49,"Eliberat",
ROUND(SUM(C45:E45),0)),
"")</f>
        <v/>
      </c>
      <c r="G45" s="22" t="str">
        <f>IF(NOT(ISBLANK('Curs, Seminar'!C49)),
IF('Curs, Seminar'!Z49,'Curs, Seminar'!Z49,
IF(F45=0,"n/p",
IF(AND(F45&gt;=$H$3,F45&lt;=$I$3),$J$3,
IF(AND(F45&gt;=$H$4,F45&lt;=$I$4),$J$4,
IF(AND(F45&gt;=$H$5,F45&lt;=$I$5),$J$5,
IF(AND(F45&gt;=$H$6,F45&lt;=$I$6),$J$6,
IF(AND(F45&gt;=$H$7,F45&lt;=$I$7),$J$7,
IF(AND(F45&gt;=$H$8,F45&lt;=$I$8),$J$8,
IF(AND(F45&gt;=$H$9,F45&lt;=$I$9),$J$9,
IF(AND(F45&gt;=$H$10,F45&lt;=$I$10),$J$10,
IF(AND(F45&gt;=$H$11,F45&lt;=$I$11),$J$11))))))))))),
"")</f>
        <v/>
      </c>
    </row>
    <row r="46" spans="1:7" ht="18" x14ac:dyDescent="0.35">
      <c r="A46" s="30" t="str">
        <f>IF(NOT(ISBLANK('Curs, Seminar'!B50)),'Curs, Seminar'!B50,"")</f>
        <v/>
      </c>
      <c r="B46" s="31" t="str">
        <f>IF(NOT(ISBLANK('Curs, Seminar'!C50)),'Curs, Seminar'!C50,"")</f>
        <v/>
      </c>
      <c r="C46" s="10"/>
      <c r="D46" s="10"/>
      <c r="E46" s="10"/>
      <c r="F46" s="23" t="str">
        <f>IF(NOT(ISBLANK('Curs, Seminar'!C50)),
IF('Curs, Seminar'!Z50,"Eliberat",
ROUND(SUM(C46:E46),0)),
"")</f>
        <v/>
      </c>
      <c r="G46" s="22" t="str">
        <f>IF(NOT(ISBLANK('Curs, Seminar'!C50)),
IF('Curs, Seminar'!Z50,'Curs, Seminar'!Z50,
IF(F46=0,"n/p",
IF(AND(F46&gt;=$H$3,F46&lt;=$I$3),$J$3,
IF(AND(F46&gt;=$H$4,F46&lt;=$I$4),$J$4,
IF(AND(F46&gt;=$H$5,F46&lt;=$I$5),$J$5,
IF(AND(F46&gt;=$H$6,F46&lt;=$I$6),$J$6,
IF(AND(F46&gt;=$H$7,F46&lt;=$I$7),$J$7,
IF(AND(F46&gt;=$H$8,F46&lt;=$I$8),$J$8,
IF(AND(F46&gt;=$H$9,F46&lt;=$I$9),$J$9,
IF(AND(F46&gt;=$H$10,F46&lt;=$I$10),$J$10,
IF(AND(F46&gt;=$H$11,F46&lt;=$I$11),$J$11))))))))))),
"")</f>
        <v/>
      </c>
    </row>
    <row r="47" spans="1:7" ht="18" x14ac:dyDescent="0.35">
      <c r="A47" s="30" t="str">
        <f>IF(NOT(ISBLANK('Curs, Seminar'!B51)),'Curs, Seminar'!B51,"")</f>
        <v/>
      </c>
      <c r="B47" s="31" t="str">
        <f>IF(NOT(ISBLANK('Curs, Seminar'!C51)),'Curs, Seminar'!C51,"")</f>
        <v/>
      </c>
      <c r="C47" s="10"/>
      <c r="D47" s="10"/>
      <c r="E47" s="10"/>
      <c r="F47" s="23" t="str">
        <f>IF(NOT(ISBLANK('Curs, Seminar'!C51)),
IF('Curs, Seminar'!Z51,"Eliberat",
ROUND(SUM(C47:E47),0)),
"")</f>
        <v/>
      </c>
      <c r="G47" s="22" t="str">
        <f>IF(NOT(ISBLANK('Curs, Seminar'!C51)),
IF('Curs, Seminar'!Z51,'Curs, Seminar'!Z51,
IF(F47=0,"n/p",
IF(AND(F47&gt;=$H$3,F47&lt;=$I$3),$J$3,
IF(AND(F47&gt;=$H$4,F47&lt;=$I$4),$J$4,
IF(AND(F47&gt;=$H$5,F47&lt;=$I$5),$J$5,
IF(AND(F47&gt;=$H$6,F47&lt;=$I$6),$J$6,
IF(AND(F47&gt;=$H$7,F47&lt;=$I$7),$J$7,
IF(AND(F47&gt;=$H$8,F47&lt;=$I$8),$J$8,
IF(AND(F47&gt;=$H$9,F47&lt;=$I$9),$J$9,
IF(AND(F47&gt;=$H$10,F47&lt;=$I$10),$J$10,
IF(AND(F47&gt;=$H$11,F47&lt;=$I$11),$J$11))))))))))),
"")</f>
        <v/>
      </c>
    </row>
    <row r="48" spans="1:7" ht="18" x14ac:dyDescent="0.35">
      <c r="A48" s="30" t="str">
        <f>IF(NOT(ISBLANK('Curs, Seminar'!B52)),'Curs, Seminar'!B52,"")</f>
        <v/>
      </c>
      <c r="B48" s="31" t="str">
        <f>IF(NOT(ISBLANK('Curs, Seminar'!C52)),'Curs, Seminar'!C52,"")</f>
        <v/>
      </c>
      <c r="C48" s="10"/>
      <c r="D48" s="10"/>
      <c r="E48" s="10"/>
      <c r="F48" s="23" t="str">
        <f>IF(NOT(ISBLANK('Curs, Seminar'!C52)),
IF('Curs, Seminar'!Z52,"Eliberat",
ROUND(SUM(C48:E48),0)),
"")</f>
        <v/>
      </c>
      <c r="G48" s="22" t="str">
        <f>IF(NOT(ISBLANK('Curs, Seminar'!C52)),
IF('Curs, Seminar'!Z52,'Curs, Seminar'!Z52,
IF(F48=0,"n/p",
IF(AND(F48&gt;=$H$3,F48&lt;=$I$3),$J$3,
IF(AND(F48&gt;=$H$4,F48&lt;=$I$4),$J$4,
IF(AND(F48&gt;=$H$5,F48&lt;=$I$5),$J$5,
IF(AND(F48&gt;=$H$6,F48&lt;=$I$6),$J$6,
IF(AND(F48&gt;=$H$7,F48&lt;=$I$7),$J$7,
IF(AND(F48&gt;=$H$8,F48&lt;=$I$8),$J$8,
IF(AND(F48&gt;=$H$9,F48&lt;=$I$9),$J$9,
IF(AND(F48&gt;=$H$10,F48&lt;=$I$10),$J$10,
IF(AND(F48&gt;=$H$11,F48&lt;=$I$11),$J$11))))))))))),
"")</f>
        <v/>
      </c>
    </row>
    <row r="49" spans="1:7" ht="18" x14ac:dyDescent="0.35">
      <c r="A49" s="30" t="str">
        <f>IF(NOT(ISBLANK('Curs, Seminar'!B53)),'Curs, Seminar'!B53,"")</f>
        <v/>
      </c>
      <c r="B49" s="31" t="str">
        <f>IF(NOT(ISBLANK('Curs, Seminar'!C53)),'Curs, Seminar'!C53,"")</f>
        <v/>
      </c>
      <c r="C49" s="10"/>
      <c r="D49" s="10"/>
      <c r="E49" s="10"/>
      <c r="F49" s="23" t="str">
        <f>IF(NOT(ISBLANK('Curs, Seminar'!C53)),
IF('Curs, Seminar'!Z53,"Eliberat",
ROUND(SUM(C49:E49),0)),
"")</f>
        <v/>
      </c>
      <c r="G49" s="22" t="str">
        <f>IF(NOT(ISBLANK('Curs, Seminar'!C53)),
IF('Curs, Seminar'!Z53,'Curs, Seminar'!Z53,
IF(F49=0,"n/p",
IF(AND(F49&gt;=$H$3,F49&lt;=$I$3),$J$3,
IF(AND(F49&gt;=$H$4,F49&lt;=$I$4),$J$4,
IF(AND(F49&gt;=$H$5,F49&lt;=$I$5),$J$5,
IF(AND(F49&gt;=$H$6,F49&lt;=$I$6),$J$6,
IF(AND(F49&gt;=$H$7,F49&lt;=$I$7),$J$7,
IF(AND(F49&gt;=$H$8,F49&lt;=$I$8),$J$8,
IF(AND(F49&gt;=$H$9,F49&lt;=$I$9),$J$9,
IF(AND(F49&gt;=$H$10,F49&lt;=$I$10),$J$10,
IF(AND(F49&gt;=$H$11,F49&lt;=$I$11),$J$11))))))))))),
"")</f>
        <v/>
      </c>
    </row>
    <row r="50" spans="1:7" ht="18" x14ac:dyDescent="0.35">
      <c r="A50" s="30" t="str">
        <f>IF(NOT(ISBLANK('Curs, Seminar'!B54)),'Curs, Seminar'!B54,"")</f>
        <v/>
      </c>
      <c r="B50" s="31" t="str">
        <f>IF(NOT(ISBLANK('Curs, Seminar'!C54)),'Curs, Seminar'!C54,"")</f>
        <v/>
      </c>
      <c r="C50" s="10"/>
      <c r="D50" s="10"/>
      <c r="E50" s="10"/>
      <c r="F50" s="23" t="str">
        <f>IF(NOT(ISBLANK('Curs, Seminar'!C54)),
IF('Curs, Seminar'!Z54,"Eliberat",
ROUND(SUM(C50:E50),0)),
"")</f>
        <v/>
      </c>
      <c r="G50" s="22" t="str">
        <f>IF(NOT(ISBLANK('Curs, Seminar'!C54)),
IF('Curs, Seminar'!Z54,'Curs, Seminar'!Z54,
IF(F50=0,"n/p",
IF(AND(F50&gt;=$H$3,F50&lt;=$I$3),$J$3,
IF(AND(F50&gt;=$H$4,F50&lt;=$I$4),$J$4,
IF(AND(F50&gt;=$H$5,F50&lt;=$I$5),$J$5,
IF(AND(F50&gt;=$H$6,F50&lt;=$I$6),$J$6,
IF(AND(F50&gt;=$H$7,F50&lt;=$I$7),$J$7,
IF(AND(F50&gt;=$H$8,F50&lt;=$I$8),$J$8,
IF(AND(F50&gt;=$H$9,F50&lt;=$I$9),$J$9,
IF(AND(F50&gt;=$H$10,F50&lt;=$I$10),$J$10,
IF(AND(F50&gt;=$H$11,F50&lt;=$I$11),$J$11))))))))))),
"")</f>
        <v/>
      </c>
    </row>
    <row r="51" spans="1:7" ht="18" x14ac:dyDescent="0.35">
      <c r="A51" s="30" t="str">
        <f>IF(NOT(ISBLANK('Curs, Seminar'!B55)),'Curs, Seminar'!B55,"")</f>
        <v/>
      </c>
      <c r="B51" s="31" t="str">
        <f>IF(NOT(ISBLANK('Curs, Seminar'!C55)),'Curs, Seminar'!C55,"")</f>
        <v/>
      </c>
      <c r="C51" s="10"/>
      <c r="D51" s="10"/>
      <c r="E51" s="10"/>
      <c r="F51" s="23" t="str">
        <f>IF(NOT(ISBLANK('Curs, Seminar'!C55)),
IF('Curs, Seminar'!Z55,"Eliberat",
ROUND(SUM(C51:E51),0)),
"")</f>
        <v/>
      </c>
      <c r="G51" s="22" t="str">
        <f>IF(NOT(ISBLANK('Curs, Seminar'!C55)),
IF('Curs, Seminar'!Z55,'Curs, Seminar'!Z55,
IF(F51=0,"n/p",
IF(AND(F51&gt;=$H$3,F51&lt;=$I$3),$J$3,
IF(AND(F51&gt;=$H$4,F51&lt;=$I$4),$J$4,
IF(AND(F51&gt;=$H$5,F51&lt;=$I$5),$J$5,
IF(AND(F51&gt;=$H$6,F51&lt;=$I$6),$J$6,
IF(AND(F51&gt;=$H$7,F51&lt;=$I$7),$J$7,
IF(AND(F51&gt;=$H$8,F51&lt;=$I$8),$J$8,
IF(AND(F51&gt;=$H$9,F51&lt;=$I$9),$J$9,
IF(AND(F51&gt;=$H$10,F51&lt;=$I$10),$J$10,
IF(AND(F51&gt;=$H$11,F51&lt;=$I$11),$J$11))))))))))),
"")</f>
        <v/>
      </c>
    </row>
    <row r="52" spans="1:7" ht="18" x14ac:dyDescent="0.35">
      <c r="A52" s="30" t="str">
        <f>IF(NOT(ISBLANK('Curs, Seminar'!B56)),'Curs, Seminar'!B56,"")</f>
        <v/>
      </c>
      <c r="B52" s="31" t="str">
        <f>IF(NOT(ISBLANK('Curs, Seminar'!C56)),'Curs, Seminar'!C56,"")</f>
        <v/>
      </c>
      <c r="C52" s="10"/>
      <c r="D52" s="10"/>
      <c r="E52" s="10"/>
      <c r="F52" s="23" t="str">
        <f>IF(NOT(ISBLANK('Curs, Seminar'!C56)),
IF('Curs, Seminar'!Z56,"Eliberat",
ROUND(SUM(C52:E52),0)),
"")</f>
        <v/>
      </c>
      <c r="G52" s="22" t="str">
        <f>IF(NOT(ISBLANK('Curs, Seminar'!C56)),
IF('Curs, Seminar'!Z56,'Curs, Seminar'!Z56,
IF(F52=0,"n/p",
IF(AND(F52&gt;=$H$3,F52&lt;=$I$3),$J$3,
IF(AND(F52&gt;=$H$4,F52&lt;=$I$4),$J$4,
IF(AND(F52&gt;=$H$5,F52&lt;=$I$5),$J$5,
IF(AND(F52&gt;=$H$6,F52&lt;=$I$6),$J$6,
IF(AND(F52&gt;=$H$7,F52&lt;=$I$7),$J$7,
IF(AND(F52&gt;=$H$8,F52&lt;=$I$8),$J$8,
IF(AND(F52&gt;=$H$9,F52&lt;=$I$9),$J$9,
IF(AND(F52&gt;=$H$10,F52&lt;=$I$10),$J$10,
IF(AND(F52&gt;=$H$11,F52&lt;=$I$11),$J$11))))))))))),
"")</f>
        <v/>
      </c>
    </row>
    <row r="53" spans="1:7" ht="18" x14ac:dyDescent="0.35">
      <c r="A53" s="30" t="str">
        <f>IF(NOT(ISBLANK('Curs, Seminar'!B57)),'Curs, Seminar'!B57,"")</f>
        <v/>
      </c>
      <c r="B53" s="31" t="str">
        <f>IF(NOT(ISBLANK('Curs, Seminar'!C57)),'Curs, Seminar'!C57,"")</f>
        <v/>
      </c>
      <c r="C53" s="10"/>
      <c r="D53" s="10"/>
      <c r="E53" s="10"/>
      <c r="F53" s="23" t="str">
        <f>IF(NOT(ISBLANK('Curs, Seminar'!C57)),
IF('Curs, Seminar'!Z57,"Eliberat",
ROUND(SUM(C53:E53),0)),
"")</f>
        <v/>
      </c>
      <c r="G53" s="22" t="str">
        <f>IF(NOT(ISBLANK('Curs, Seminar'!C57)),
IF('Curs, Seminar'!Z57,'Curs, Seminar'!Z57,
IF(F53=0,"n/p",
IF(AND(F53&gt;=$H$3,F53&lt;=$I$3),$J$3,
IF(AND(F53&gt;=$H$4,F53&lt;=$I$4),$J$4,
IF(AND(F53&gt;=$H$5,F53&lt;=$I$5),$J$5,
IF(AND(F53&gt;=$H$6,F53&lt;=$I$6),$J$6,
IF(AND(F53&gt;=$H$7,F53&lt;=$I$7),$J$7,
IF(AND(F53&gt;=$H$8,F53&lt;=$I$8),$J$8,
IF(AND(F53&gt;=$H$9,F53&lt;=$I$9),$J$9,
IF(AND(F53&gt;=$H$10,F53&lt;=$I$10),$J$10,
IF(AND(F53&gt;=$H$11,F53&lt;=$I$11),$J$11))))))))))),
"")</f>
        <v/>
      </c>
    </row>
    <row r="54" spans="1:7" ht="18" x14ac:dyDescent="0.35">
      <c r="A54" s="30" t="str">
        <f>IF(NOT(ISBLANK('Curs, Seminar'!B58)),'Curs, Seminar'!B58,"")</f>
        <v/>
      </c>
      <c r="B54" s="31" t="str">
        <f>IF(NOT(ISBLANK('Curs, Seminar'!C58)),'Curs, Seminar'!C58,"")</f>
        <v/>
      </c>
      <c r="C54" s="10"/>
      <c r="D54" s="10"/>
      <c r="E54" s="10"/>
      <c r="F54" s="23" t="str">
        <f>IF(NOT(ISBLANK('Curs, Seminar'!C58)),
IF('Curs, Seminar'!Z58,"Eliberat",
ROUND(SUM(C54:E54),0)),
"")</f>
        <v/>
      </c>
      <c r="G54" s="22" t="str">
        <f>IF(NOT(ISBLANK('Curs, Seminar'!C58)),
IF('Curs, Seminar'!Z58,'Curs, Seminar'!Z58,
IF(F54=0,"n/p",
IF(AND(F54&gt;=$H$3,F54&lt;=$I$3),$J$3,
IF(AND(F54&gt;=$H$4,F54&lt;=$I$4),$J$4,
IF(AND(F54&gt;=$H$5,F54&lt;=$I$5),$J$5,
IF(AND(F54&gt;=$H$6,F54&lt;=$I$6),$J$6,
IF(AND(F54&gt;=$H$7,F54&lt;=$I$7),$J$7,
IF(AND(F54&gt;=$H$8,F54&lt;=$I$8),$J$8,
IF(AND(F54&gt;=$H$9,F54&lt;=$I$9),$J$9,
IF(AND(F54&gt;=$H$10,F54&lt;=$I$10),$J$10,
IF(AND(F54&gt;=$H$11,F54&lt;=$I$11),$J$11))))))))))),
"")</f>
        <v/>
      </c>
    </row>
    <row r="55" spans="1:7" ht="18" x14ac:dyDescent="0.35">
      <c r="A55" s="30" t="str">
        <f>IF(NOT(ISBLANK('Curs, Seminar'!B59)),'Curs, Seminar'!B59,"")</f>
        <v/>
      </c>
      <c r="B55" s="31" t="str">
        <f>IF(NOT(ISBLANK('Curs, Seminar'!C59)),'Curs, Seminar'!C59,"")</f>
        <v/>
      </c>
      <c r="C55" s="10"/>
      <c r="D55" s="10"/>
      <c r="E55" s="10"/>
      <c r="F55" s="23" t="str">
        <f>IF(NOT(ISBLANK('Curs, Seminar'!C59)),
IF('Curs, Seminar'!Z59,"Eliberat",
ROUND(SUM(C55:E55),0)),
"")</f>
        <v/>
      </c>
      <c r="G55" s="22" t="str">
        <f>IF(NOT(ISBLANK('Curs, Seminar'!C59)),
IF('Curs, Seminar'!Z59,'Curs, Seminar'!Z59,
IF(F55=0,"n/p",
IF(AND(F55&gt;=$H$3,F55&lt;=$I$3),$J$3,
IF(AND(F55&gt;=$H$4,F55&lt;=$I$4),$J$4,
IF(AND(F55&gt;=$H$5,F55&lt;=$I$5),$J$5,
IF(AND(F55&gt;=$H$6,F55&lt;=$I$6),$J$6,
IF(AND(F55&gt;=$H$7,F55&lt;=$I$7),$J$7,
IF(AND(F55&gt;=$H$8,F55&lt;=$I$8),$J$8,
IF(AND(F55&gt;=$H$9,F55&lt;=$I$9),$J$9,
IF(AND(F55&gt;=$H$10,F55&lt;=$I$10),$J$10,
IF(AND(F55&gt;=$H$11,F55&lt;=$I$11),$J$11))))))))))),
"")</f>
        <v/>
      </c>
    </row>
    <row r="56" spans="1:7" ht="18" x14ac:dyDescent="0.35">
      <c r="A56" s="30" t="str">
        <f>IF(NOT(ISBLANK('Curs, Seminar'!B60)),'Curs, Seminar'!B60,"")</f>
        <v/>
      </c>
      <c r="B56" s="31" t="str">
        <f>IF(NOT(ISBLANK('Curs, Seminar'!C60)),'Curs, Seminar'!C60,"")</f>
        <v/>
      </c>
      <c r="C56" s="10"/>
      <c r="D56" s="10"/>
      <c r="E56" s="10"/>
      <c r="F56" s="23" t="str">
        <f>IF(NOT(ISBLANK('Curs, Seminar'!C60)),
IF('Curs, Seminar'!Z60,"Eliberat",
ROUND(SUM(C56:E56),0)),
"")</f>
        <v/>
      </c>
      <c r="G56" s="22" t="str">
        <f>IF(NOT(ISBLANK('Curs, Seminar'!C60)),
IF('Curs, Seminar'!Z60,'Curs, Seminar'!Z60,
IF(F56=0,"n/p",
IF(AND(F56&gt;=$H$3,F56&lt;=$I$3),$J$3,
IF(AND(F56&gt;=$H$4,F56&lt;=$I$4),$J$4,
IF(AND(F56&gt;=$H$5,F56&lt;=$I$5),$J$5,
IF(AND(F56&gt;=$H$6,F56&lt;=$I$6),$J$6,
IF(AND(F56&gt;=$H$7,F56&lt;=$I$7),$J$7,
IF(AND(F56&gt;=$H$8,F56&lt;=$I$8),$J$8,
IF(AND(F56&gt;=$H$9,F56&lt;=$I$9),$J$9,
IF(AND(F56&gt;=$H$10,F56&lt;=$I$10),$J$10,
IF(AND(F56&gt;=$H$11,F56&lt;=$I$11),$J$11))))))))))),
"")</f>
        <v/>
      </c>
    </row>
    <row r="57" spans="1:7" ht="18" x14ac:dyDescent="0.35">
      <c r="A57" s="30" t="str">
        <f>IF(NOT(ISBLANK('Curs, Seminar'!B61)),'Curs, Seminar'!B61,"")</f>
        <v/>
      </c>
      <c r="B57" s="31" t="str">
        <f>IF(NOT(ISBLANK('Curs, Seminar'!C61)),'Curs, Seminar'!C61,"")</f>
        <v/>
      </c>
      <c r="C57" s="10"/>
      <c r="D57" s="10"/>
      <c r="E57" s="10"/>
      <c r="F57" s="23" t="str">
        <f>IF(NOT(ISBLANK('Curs, Seminar'!C61)),
IF('Curs, Seminar'!Z61,"Eliberat",
ROUND(SUM(C57:E57),0)),
"")</f>
        <v/>
      </c>
      <c r="G57" s="22" t="str">
        <f>IF(NOT(ISBLANK('Curs, Seminar'!C61)),
IF('Curs, Seminar'!Z61,'Curs, Seminar'!Z61,
IF(F57=0,"n/p",
IF(AND(F57&gt;=$H$3,F57&lt;=$I$3),$J$3,
IF(AND(F57&gt;=$H$4,F57&lt;=$I$4),$J$4,
IF(AND(F57&gt;=$H$5,F57&lt;=$I$5),$J$5,
IF(AND(F57&gt;=$H$6,F57&lt;=$I$6),$J$6,
IF(AND(F57&gt;=$H$7,F57&lt;=$I$7),$J$7,
IF(AND(F57&gt;=$H$8,F57&lt;=$I$8),$J$8,
IF(AND(F57&gt;=$H$9,F57&lt;=$I$9),$J$9,
IF(AND(F57&gt;=$H$10,F57&lt;=$I$10),$J$10,
IF(AND(F57&gt;=$H$11,F57&lt;=$I$11),$J$11))))))))))),
"")</f>
        <v/>
      </c>
    </row>
    <row r="58" spans="1:7" ht="18" x14ac:dyDescent="0.35">
      <c r="A58" s="30" t="str">
        <f>IF(NOT(ISBLANK('Curs, Seminar'!B62)),'Curs, Seminar'!B62,"")</f>
        <v/>
      </c>
      <c r="B58" s="31" t="str">
        <f>IF(NOT(ISBLANK('Curs, Seminar'!C62)),'Curs, Seminar'!C62,"")</f>
        <v/>
      </c>
      <c r="C58" s="10"/>
      <c r="D58" s="10"/>
      <c r="E58" s="10"/>
      <c r="F58" s="23" t="str">
        <f>IF(NOT(ISBLANK('Curs, Seminar'!C62)),
IF('Curs, Seminar'!Z62,"Eliberat",
ROUND(SUM(C58:E58),0)),
"")</f>
        <v/>
      </c>
      <c r="G58" s="22" t="str">
        <f>IF(NOT(ISBLANK('Curs, Seminar'!C62)),
IF('Curs, Seminar'!Z62,'Curs, Seminar'!Z62,
IF(F58=0,"n/p",
IF(AND(F58&gt;=$H$3,F58&lt;=$I$3),$J$3,
IF(AND(F58&gt;=$H$4,F58&lt;=$I$4),$J$4,
IF(AND(F58&gt;=$H$5,F58&lt;=$I$5),$J$5,
IF(AND(F58&gt;=$H$6,F58&lt;=$I$6),$J$6,
IF(AND(F58&gt;=$H$7,F58&lt;=$I$7),$J$7,
IF(AND(F58&gt;=$H$8,F58&lt;=$I$8),$J$8,
IF(AND(F58&gt;=$H$9,F58&lt;=$I$9),$J$9,
IF(AND(F58&gt;=$H$10,F58&lt;=$I$10),$J$10,
IF(AND(F58&gt;=$H$11,F58&lt;=$I$11),$J$11))))))))))),
"")</f>
        <v/>
      </c>
    </row>
    <row r="59" spans="1:7" ht="18" x14ac:dyDescent="0.35">
      <c r="A59" s="30" t="str">
        <f>IF(NOT(ISBLANK('Curs, Seminar'!B63)),'Curs, Seminar'!B63,"")</f>
        <v/>
      </c>
      <c r="B59" s="31" t="str">
        <f>IF(NOT(ISBLANK('Curs, Seminar'!C63)),'Curs, Seminar'!C63,"")</f>
        <v/>
      </c>
      <c r="C59" s="10"/>
      <c r="D59" s="10"/>
      <c r="E59" s="10"/>
      <c r="F59" s="23" t="str">
        <f>IF(NOT(ISBLANK('Curs, Seminar'!C63)),
IF('Curs, Seminar'!Z63,"Eliberat",
ROUND(SUM(C59:E59),0)),
"")</f>
        <v/>
      </c>
      <c r="G59" s="22" t="str">
        <f>IF(NOT(ISBLANK('Curs, Seminar'!C63)),
IF('Curs, Seminar'!Z63,'Curs, Seminar'!Z63,
IF(F59=0,"n/p",
IF(AND(F59&gt;=$H$3,F59&lt;=$I$3),$J$3,
IF(AND(F59&gt;=$H$4,F59&lt;=$I$4),$J$4,
IF(AND(F59&gt;=$H$5,F59&lt;=$I$5),$J$5,
IF(AND(F59&gt;=$H$6,F59&lt;=$I$6),$J$6,
IF(AND(F59&gt;=$H$7,F59&lt;=$I$7),$J$7,
IF(AND(F59&gt;=$H$8,F59&lt;=$I$8),$J$8,
IF(AND(F59&gt;=$H$9,F59&lt;=$I$9),$J$9,
IF(AND(F59&gt;=$H$10,F59&lt;=$I$10),$J$10,
IF(AND(F59&gt;=$H$11,F59&lt;=$I$11),$J$11))))))))))),
"")</f>
        <v/>
      </c>
    </row>
    <row r="60" spans="1:7" ht="18" x14ac:dyDescent="0.35">
      <c r="A60" s="30" t="str">
        <f>IF(NOT(ISBLANK('Curs, Seminar'!B64)),'Curs, Seminar'!B64,"")</f>
        <v/>
      </c>
      <c r="B60" s="31" t="str">
        <f>IF(NOT(ISBLANK('Curs, Seminar'!C64)),'Curs, Seminar'!C64,"")</f>
        <v/>
      </c>
      <c r="C60" s="10"/>
      <c r="D60" s="10"/>
      <c r="E60" s="10"/>
      <c r="F60" s="23" t="str">
        <f>IF(NOT(ISBLANK('Curs, Seminar'!C64)),
IF('Curs, Seminar'!Z64,"Eliberat",
ROUND(SUM(C60:E60),0)),
"")</f>
        <v/>
      </c>
      <c r="G60" s="22" t="str">
        <f>IF(NOT(ISBLANK('Curs, Seminar'!C64)),
IF('Curs, Seminar'!Z64,'Curs, Seminar'!Z64,
IF(F60=0,"n/p",
IF(AND(F60&gt;=$H$3,F60&lt;=$I$3),$J$3,
IF(AND(F60&gt;=$H$4,F60&lt;=$I$4),$J$4,
IF(AND(F60&gt;=$H$5,F60&lt;=$I$5),$J$5,
IF(AND(F60&gt;=$H$6,F60&lt;=$I$6),$J$6,
IF(AND(F60&gt;=$H$7,F60&lt;=$I$7),$J$7,
IF(AND(F60&gt;=$H$8,F60&lt;=$I$8),$J$8,
IF(AND(F60&gt;=$H$9,F60&lt;=$I$9),$J$9,
IF(AND(F60&gt;=$H$10,F60&lt;=$I$10),$J$10,
IF(AND(F60&gt;=$H$11,F60&lt;=$I$11),$J$11))))))))))),
"")</f>
        <v/>
      </c>
    </row>
    <row r="61" spans="1:7" ht="18" x14ac:dyDescent="0.35">
      <c r="A61" s="30" t="str">
        <f>IF(NOT(ISBLANK('Curs, Seminar'!B65)),'Curs, Seminar'!B65,"")</f>
        <v/>
      </c>
      <c r="B61" s="31" t="str">
        <f>IF(NOT(ISBLANK('Curs, Seminar'!C65)),'Curs, Seminar'!C65,"")</f>
        <v/>
      </c>
      <c r="C61" s="10"/>
      <c r="D61" s="10"/>
      <c r="E61" s="10"/>
      <c r="F61" s="23" t="str">
        <f>IF(NOT(ISBLANK('Curs, Seminar'!C65)),
IF('Curs, Seminar'!Z65,"Eliberat",
ROUND(SUM(C61:E61),0)),
"")</f>
        <v/>
      </c>
      <c r="G61" s="22" t="str">
        <f>IF(NOT(ISBLANK('Curs, Seminar'!C65)),
IF('Curs, Seminar'!Z65,'Curs, Seminar'!Z65,
IF(F61=0,"n/p",
IF(AND(F61&gt;=$H$3,F61&lt;=$I$3),$J$3,
IF(AND(F61&gt;=$H$4,F61&lt;=$I$4),$J$4,
IF(AND(F61&gt;=$H$5,F61&lt;=$I$5),$J$5,
IF(AND(F61&gt;=$H$6,F61&lt;=$I$6),$J$6,
IF(AND(F61&gt;=$H$7,F61&lt;=$I$7),$J$7,
IF(AND(F61&gt;=$H$8,F61&lt;=$I$8),$J$8,
IF(AND(F61&gt;=$H$9,F61&lt;=$I$9),$J$9,
IF(AND(F61&gt;=$H$10,F61&lt;=$I$10),$J$10,
IF(AND(F61&gt;=$H$11,F61&lt;=$I$11),$J$11))))))))))),
"")</f>
        <v/>
      </c>
    </row>
    <row r="62" spans="1:7" ht="18" x14ac:dyDescent="0.35">
      <c r="A62" s="30" t="str">
        <f>IF(NOT(ISBLANK('Curs, Seminar'!B66)),'Curs, Seminar'!B66,"")</f>
        <v/>
      </c>
      <c r="B62" s="31" t="str">
        <f>IF(NOT(ISBLANK('Curs, Seminar'!C66)),'Curs, Seminar'!C66,"")</f>
        <v/>
      </c>
      <c r="C62" s="10"/>
      <c r="D62" s="10"/>
      <c r="E62" s="10"/>
      <c r="F62" s="23" t="str">
        <f>IF(NOT(ISBLANK('Curs, Seminar'!C66)),
IF('Curs, Seminar'!Z66,"Eliberat",
ROUND(SUM(C62:E62),0)),
"")</f>
        <v/>
      </c>
      <c r="G62" s="22" t="str">
        <f>IF(NOT(ISBLANK('Curs, Seminar'!C66)),
IF('Curs, Seminar'!Z66,'Curs, Seminar'!Z66,
IF(F62=0,"n/p",
IF(AND(F62&gt;=$H$3,F62&lt;=$I$3),$J$3,
IF(AND(F62&gt;=$H$4,F62&lt;=$I$4),$J$4,
IF(AND(F62&gt;=$H$5,F62&lt;=$I$5),$J$5,
IF(AND(F62&gt;=$H$6,F62&lt;=$I$6),$J$6,
IF(AND(F62&gt;=$H$7,F62&lt;=$I$7),$J$7,
IF(AND(F62&gt;=$H$8,F62&lt;=$I$8),$J$8,
IF(AND(F62&gt;=$H$9,F62&lt;=$I$9),$J$9,
IF(AND(F62&gt;=$H$10,F62&lt;=$I$10),$J$10,
IF(AND(F62&gt;=$H$11,F62&lt;=$I$11),$J$11))))))))))),
"")</f>
        <v/>
      </c>
    </row>
    <row r="63" spans="1:7" ht="18" x14ac:dyDescent="0.35">
      <c r="A63" s="30" t="str">
        <f>IF(NOT(ISBLANK('Curs, Seminar'!B67)),'Curs, Seminar'!B67,"")</f>
        <v/>
      </c>
      <c r="B63" s="31" t="str">
        <f>IF(NOT(ISBLANK('Curs, Seminar'!C67)),'Curs, Seminar'!C67,"")</f>
        <v/>
      </c>
      <c r="C63" s="10"/>
      <c r="D63" s="10"/>
      <c r="E63" s="10"/>
      <c r="F63" s="23" t="str">
        <f>IF(NOT(ISBLANK('Curs, Seminar'!C67)),
IF('Curs, Seminar'!Z67,"Eliberat",
ROUND(SUM(C63:E63),0)),
"")</f>
        <v/>
      </c>
      <c r="G63" s="22" t="str">
        <f>IF(NOT(ISBLANK('Curs, Seminar'!C67)),
IF('Curs, Seminar'!Z67,'Curs, Seminar'!Z67,
IF(F63=0,"n/p",
IF(AND(F63&gt;=$H$3,F63&lt;=$I$3),$J$3,
IF(AND(F63&gt;=$H$4,F63&lt;=$I$4),$J$4,
IF(AND(F63&gt;=$H$5,F63&lt;=$I$5),$J$5,
IF(AND(F63&gt;=$H$6,F63&lt;=$I$6),$J$6,
IF(AND(F63&gt;=$H$7,F63&lt;=$I$7),$J$7,
IF(AND(F63&gt;=$H$8,F63&lt;=$I$8),$J$8,
IF(AND(F63&gt;=$H$9,F63&lt;=$I$9),$J$9,
IF(AND(F63&gt;=$H$10,F63&lt;=$I$10),$J$10,
IF(AND(F63&gt;=$H$11,F63&lt;=$I$11),$J$11))))))))))),
"")</f>
        <v/>
      </c>
    </row>
    <row r="64" spans="1:7" ht="18" x14ac:dyDescent="0.35">
      <c r="A64" s="30" t="str">
        <f>IF(NOT(ISBLANK('Curs, Seminar'!B68)),'Curs, Seminar'!B68,"")</f>
        <v/>
      </c>
      <c r="B64" s="31" t="str">
        <f>IF(NOT(ISBLANK('Curs, Seminar'!C68)),'Curs, Seminar'!C68,"")</f>
        <v/>
      </c>
      <c r="C64" s="10"/>
      <c r="D64" s="10"/>
      <c r="E64" s="10"/>
      <c r="F64" s="23" t="str">
        <f>IF(NOT(ISBLANK('Curs, Seminar'!C68)),
IF('Curs, Seminar'!Z68,"Eliberat",
ROUND(SUM(C64:E64),0)),
"")</f>
        <v/>
      </c>
      <c r="G64" s="22" t="str">
        <f>IF(NOT(ISBLANK('Curs, Seminar'!C68)),
IF('Curs, Seminar'!Z68,'Curs, Seminar'!Z68,
IF(F64=0,"n/p",
IF(AND(F64&gt;=$H$3,F64&lt;=$I$3),$J$3,
IF(AND(F64&gt;=$H$4,F64&lt;=$I$4),$J$4,
IF(AND(F64&gt;=$H$5,F64&lt;=$I$5),$J$5,
IF(AND(F64&gt;=$H$6,F64&lt;=$I$6),$J$6,
IF(AND(F64&gt;=$H$7,F64&lt;=$I$7),$J$7,
IF(AND(F64&gt;=$H$8,F64&lt;=$I$8),$J$8,
IF(AND(F64&gt;=$H$9,F64&lt;=$I$9),$J$9,
IF(AND(F64&gt;=$H$10,F64&lt;=$I$10),$J$10,
IF(AND(F64&gt;=$H$11,F64&lt;=$I$11),$J$11))))))))))),
"")</f>
        <v/>
      </c>
    </row>
    <row r="65" spans="1:7" ht="18" x14ac:dyDescent="0.35">
      <c r="A65" s="30" t="str">
        <f>IF(NOT(ISBLANK('Curs, Seminar'!B69)),'Curs, Seminar'!B69,"")</f>
        <v/>
      </c>
      <c r="B65" s="31" t="str">
        <f>IF(NOT(ISBLANK('Curs, Seminar'!C69)),'Curs, Seminar'!C69,"")</f>
        <v/>
      </c>
      <c r="C65" s="10"/>
      <c r="D65" s="10"/>
      <c r="E65" s="10"/>
      <c r="F65" s="23" t="str">
        <f>IF(NOT(ISBLANK('Curs, Seminar'!C69)),
IF('Curs, Seminar'!Z69,"Eliberat",
ROUND(SUM(C65:E65),0)),
"")</f>
        <v/>
      </c>
      <c r="G65" s="22" t="str">
        <f>IF(NOT(ISBLANK('Curs, Seminar'!C69)),
IF('Curs, Seminar'!Z69,'Curs, Seminar'!Z69,
IF(F65=0,"n/p",
IF(AND(F65&gt;=$H$3,F65&lt;=$I$3),$J$3,
IF(AND(F65&gt;=$H$4,F65&lt;=$I$4),$J$4,
IF(AND(F65&gt;=$H$5,F65&lt;=$I$5),$J$5,
IF(AND(F65&gt;=$H$6,F65&lt;=$I$6),$J$6,
IF(AND(F65&gt;=$H$7,F65&lt;=$I$7),$J$7,
IF(AND(F65&gt;=$H$8,F65&lt;=$I$8),$J$8,
IF(AND(F65&gt;=$H$9,F65&lt;=$I$9),$J$9,
IF(AND(F65&gt;=$H$10,F65&lt;=$I$10),$J$10,
IF(AND(F65&gt;=$H$11,F65&lt;=$I$11),$J$11))))))))))),
"")</f>
        <v/>
      </c>
    </row>
    <row r="66" spans="1:7" ht="18" x14ac:dyDescent="0.35">
      <c r="A66" s="30" t="str">
        <f>IF(NOT(ISBLANK('Curs, Seminar'!B70)),'Curs, Seminar'!B70,"")</f>
        <v/>
      </c>
      <c r="B66" s="31" t="str">
        <f>IF(NOT(ISBLANK('Curs, Seminar'!C70)),'Curs, Seminar'!C70,"")</f>
        <v/>
      </c>
      <c r="C66" s="10"/>
      <c r="D66" s="10"/>
      <c r="E66" s="10"/>
      <c r="F66" s="23" t="str">
        <f>IF(NOT(ISBLANK('Curs, Seminar'!C70)),
IF('Curs, Seminar'!Z70,"Eliberat",
ROUND(SUM(C66:E66),0)),
"")</f>
        <v/>
      </c>
      <c r="G66" s="22" t="str">
        <f>IF(NOT(ISBLANK('Curs, Seminar'!C70)),
IF('Curs, Seminar'!Z70,'Curs, Seminar'!Z70,
IF(F66=0,"n/p",
IF(AND(F66&gt;=$H$3,F66&lt;=$I$3),$J$3,
IF(AND(F66&gt;=$H$4,F66&lt;=$I$4),$J$4,
IF(AND(F66&gt;=$H$5,F66&lt;=$I$5),$J$5,
IF(AND(F66&gt;=$H$6,F66&lt;=$I$6),$J$6,
IF(AND(F66&gt;=$H$7,F66&lt;=$I$7),$J$7,
IF(AND(F66&gt;=$H$8,F66&lt;=$I$8),$J$8,
IF(AND(F66&gt;=$H$9,F66&lt;=$I$9),$J$9,
IF(AND(F66&gt;=$H$10,F66&lt;=$I$10),$J$10,
IF(AND(F66&gt;=$H$11,F66&lt;=$I$11),$J$11))))))))))),
"")</f>
        <v/>
      </c>
    </row>
    <row r="67" spans="1:7" ht="18" x14ac:dyDescent="0.35">
      <c r="A67" s="30" t="str">
        <f>IF(NOT(ISBLANK('Curs, Seminar'!B71)),'Curs, Seminar'!B71,"")</f>
        <v/>
      </c>
      <c r="B67" s="31" t="str">
        <f>IF(NOT(ISBLANK('Curs, Seminar'!C71)),'Curs, Seminar'!C71,"")</f>
        <v/>
      </c>
      <c r="C67" s="10"/>
      <c r="D67" s="10"/>
      <c r="E67" s="10"/>
      <c r="F67" s="23" t="str">
        <f>IF(NOT(ISBLANK('Curs, Seminar'!C71)),
IF('Curs, Seminar'!Z71,"Eliberat",
ROUND(SUM(C67:E67),0)),
"")</f>
        <v/>
      </c>
      <c r="G67" s="22" t="str">
        <f>IF(NOT(ISBLANK('Curs, Seminar'!C71)),
IF('Curs, Seminar'!Z71,'Curs, Seminar'!Z71,
IF(F67=0,"n/p",
IF(AND(F67&gt;=$H$3,F67&lt;=$I$3),$J$3,
IF(AND(F67&gt;=$H$4,F67&lt;=$I$4),$J$4,
IF(AND(F67&gt;=$H$5,F67&lt;=$I$5),$J$5,
IF(AND(F67&gt;=$H$6,F67&lt;=$I$6),$J$6,
IF(AND(F67&gt;=$H$7,F67&lt;=$I$7),$J$7,
IF(AND(F67&gt;=$H$8,F67&lt;=$I$8),$J$8,
IF(AND(F67&gt;=$H$9,F67&lt;=$I$9),$J$9,
IF(AND(F67&gt;=$H$10,F67&lt;=$I$10),$J$10,
IF(AND(F67&gt;=$H$11,F67&lt;=$I$11),$J$11))))))))))),
"")</f>
        <v/>
      </c>
    </row>
    <row r="68" spans="1:7" ht="18" x14ac:dyDescent="0.35">
      <c r="A68" s="30" t="str">
        <f>IF(NOT(ISBLANK('Curs, Seminar'!B72)),'Curs, Seminar'!B72,"")</f>
        <v/>
      </c>
      <c r="B68" s="31" t="str">
        <f>IF(NOT(ISBLANK('Curs, Seminar'!C72)),'Curs, Seminar'!C72,"")</f>
        <v/>
      </c>
      <c r="C68" s="10"/>
      <c r="D68" s="10"/>
      <c r="E68" s="10"/>
      <c r="F68" s="23" t="str">
        <f>IF(NOT(ISBLANK('Curs, Seminar'!C72)),
IF('Curs, Seminar'!Z72,"Eliberat",
ROUND(SUM(C68:E68),0)),
"")</f>
        <v/>
      </c>
      <c r="G68" s="22" t="str">
        <f>IF(NOT(ISBLANK('Curs, Seminar'!C72)),
IF('Curs, Seminar'!Z72,'Curs, Seminar'!Z72,
IF(F68=0,"n/p",
IF(AND(F68&gt;=$H$3,F68&lt;=$I$3),$J$3,
IF(AND(F68&gt;=$H$4,F68&lt;=$I$4),$J$4,
IF(AND(F68&gt;=$H$5,F68&lt;=$I$5),$J$5,
IF(AND(F68&gt;=$H$6,F68&lt;=$I$6),$J$6,
IF(AND(F68&gt;=$H$7,F68&lt;=$I$7),$J$7,
IF(AND(F68&gt;=$H$8,F68&lt;=$I$8),$J$8,
IF(AND(F68&gt;=$H$9,F68&lt;=$I$9),$J$9,
IF(AND(F68&gt;=$H$10,F68&lt;=$I$10),$J$10,
IF(AND(F68&gt;=$H$11,F68&lt;=$I$11),$J$11))))))))))),
"")</f>
        <v/>
      </c>
    </row>
    <row r="69" spans="1:7" ht="18" x14ac:dyDescent="0.35">
      <c r="A69" s="30" t="str">
        <f>IF(NOT(ISBLANK('Curs, Seminar'!B73)),'Curs, Seminar'!B73,"")</f>
        <v/>
      </c>
      <c r="B69" s="31" t="str">
        <f>IF(NOT(ISBLANK('Curs, Seminar'!C73)),'Curs, Seminar'!C73,"")</f>
        <v/>
      </c>
      <c r="C69" s="10"/>
      <c r="D69" s="10"/>
      <c r="E69" s="10"/>
      <c r="F69" s="23" t="str">
        <f>IF(NOT(ISBLANK('Curs, Seminar'!C73)),
IF('Curs, Seminar'!Z73,"Eliberat",
ROUND(SUM(C69:E69),0)),
"")</f>
        <v/>
      </c>
      <c r="G69" s="22" t="str">
        <f>IF(NOT(ISBLANK('Curs, Seminar'!C73)),
IF('Curs, Seminar'!Z73,'Curs, Seminar'!Z73,
IF(F69=0,"n/p",
IF(AND(F69&gt;=$H$3,F69&lt;=$I$3),$J$3,
IF(AND(F69&gt;=$H$4,F69&lt;=$I$4),$J$4,
IF(AND(F69&gt;=$H$5,F69&lt;=$I$5),$J$5,
IF(AND(F69&gt;=$H$6,F69&lt;=$I$6),$J$6,
IF(AND(F69&gt;=$H$7,F69&lt;=$I$7),$J$7,
IF(AND(F69&gt;=$H$8,F69&lt;=$I$8),$J$8,
IF(AND(F69&gt;=$H$9,F69&lt;=$I$9),$J$9,
IF(AND(F69&gt;=$H$10,F69&lt;=$I$10),$J$10,
IF(AND(F69&gt;=$H$11,F69&lt;=$I$11),$J$11))))))))))),
"")</f>
        <v/>
      </c>
    </row>
    <row r="70" spans="1:7" ht="18" x14ac:dyDescent="0.35">
      <c r="A70" s="30" t="str">
        <f>IF(NOT(ISBLANK('Curs, Seminar'!B74)),'Curs, Seminar'!B74,"")</f>
        <v/>
      </c>
      <c r="B70" s="31" t="str">
        <f>IF(NOT(ISBLANK('Curs, Seminar'!C74)),'Curs, Seminar'!C74,"")</f>
        <v/>
      </c>
      <c r="C70" s="10"/>
      <c r="D70" s="10"/>
      <c r="E70" s="10"/>
      <c r="F70" s="23" t="str">
        <f>IF(NOT(ISBLANK('Curs, Seminar'!C74)),
IF('Curs, Seminar'!Z74,"Eliberat",
ROUND(SUM(C70:E70),0)),
"")</f>
        <v/>
      </c>
      <c r="G70" s="22" t="str">
        <f>IF(NOT(ISBLANK('Curs, Seminar'!C74)),
IF('Curs, Seminar'!Z74,'Curs, Seminar'!Z74,
IF(F70=0,"n/p",
IF(AND(F70&gt;=$H$3,F70&lt;=$I$3),$J$3,
IF(AND(F70&gt;=$H$4,F70&lt;=$I$4),$J$4,
IF(AND(F70&gt;=$H$5,F70&lt;=$I$5),$J$5,
IF(AND(F70&gt;=$H$6,F70&lt;=$I$6),$J$6,
IF(AND(F70&gt;=$H$7,F70&lt;=$I$7),$J$7,
IF(AND(F70&gt;=$H$8,F70&lt;=$I$8),$J$8,
IF(AND(F70&gt;=$H$9,F70&lt;=$I$9),$J$9,
IF(AND(F70&gt;=$H$10,F70&lt;=$I$10),$J$10,
IF(AND(F70&gt;=$H$11,F70&lt;=$I$11),$J$11))))))))))),
"")</f>
        <v/>
      </c>
    </row>
    <row r="71" spans="1:7" ht="18" x14ac:dyDescent="0.35">
      <c r="A71" s="30" t="str">
        <f>IF(NOT(ISBLANK('Curs, Seminar'!B75)),'Curs, Seminar'!B75,"")</f>
        <v/>
      </c>
      <c r="B71" s="31" t="str">
        <f>IF(NOT(ISBLANK('Curs, Seminar'!C75)),'Curs, Seminar'!C75,"")</f>
        <v/>
      </c>
      <c r="C71" s="10"/>
      <c r="D71" s="10"/>
      <c r="E71" s="10"/>
      <c r="F71" s="23" t="str">
        <f>IF(NOT(ISBLANK('Curs, Seminar'!C75)),
IF('Curs, Seminar'!Z75,"Eliberat",
ROUND(SUM(C71:E71),0)),
"")</f>
        <v/>
      </c>
      <c r="G71" s="22" t="str">
        <f>IF(NOT(ISBLANK('Curs, Seminar'!C75)),
IF('Curs, Seminar'!Z75,'Curs, Seminar'!Z75,
IF(F71=0,"n/p",
IF(AND(F71&gt;=$H$3,F71&lt;=$I$3),$J$3,
IF(AND(F71&gt;=$H$4,F71&lt;=$I$4),$J$4,
IF(AND(F71&gt;=$H$5,F71&lt;=$I$5),$J$5,
IF(AND(F71&gt;=$H$6,F71&lt;=$I$6),$J$6,
IF(AND(F71&gt;=$H$7,F71&lt;=$I$7),$J$7,
IF(AND(F71&gt;=$H$8,F71&lt;=$I$8),$J$8,
IF(AND(F71&gt;=$H$9,F71&lt;=$I$9),$J$9,
IF(AND(F71&gt;=$H$10,F71&lt;=$I$10),$J$10,
IF(AND(F71&gt;=$H$11,F71&lt;=$I$11),$J$11))))))))))),
"")</f>
        <v/>
      </c>
    </row>
    <row r="72" spans="1:7" ht="18" x14ac:dyDescent="0.35">
      <c r="A72" s="30" t="str">
        <f>IF(NOT(ISBLANK('Curs, Seminar'!B76)),'Curs, Seminar'!B76,"")</f>
        <v/>
      </c>
      <c r="B72" s="31" t="str">
        <f>IF(NOT(ISBLANK('Curs, Seminar'!C76)),'Curs, Seminar'!C76,"")</f>
        <v/>
      </c>
      <c r="C72" s="10"/>
      <c r="D72" s="10"/>
      <c r="E72" s="10"/>
      <c r="F72" s="23" t="str">
        <f>IF(NOT(ISBLANK('Curs, Seminar'!C76)),
IF('Curs, Seminar'!Z76,"Eliberat",
ROUND(SUM(C72:E72),0)),
"")</f>
        <v/>
      </c>
      <c r="G72" s="22" t="str">
        <f>IF(NOT(ISBLANK('Curs, Seminar'!C76)),
IF('Curs, Seminar'!Z76,'Curs, Seminar'!Z76,
IF(F72=0,"n/p",
IF(AND(F72&gt;=$H$3,F72&lt;=$I$3),$J$3,
IF(AND(F72&gt;=$H$4,F72&lt;=$I$4),$J$4,
IF(AND(F72&gt;=$H$5,F72&lt;=$I$5),$J$5,
IF(AND(F72&gt;=$H$6,F72&lt;=$I$6),$J$6,
IF(AND(F72&gt;=$H$7,F72&lt;=$I$7),$J$7,
IF(AND(F72&gt;=$H$8,F72&lt;=$I$8),$J$8,
IF(AND(F72&gt;=$H$9,F72&lt;=$I$9),$J$9,
IF(AND(F72&gt;=$H$10,F72&lt;=$I$10),$J$10,
IF(AND(F72&gt;=$H$11,F72&lt;=$I$11),$J$11))))))))))),
"")</f>
        <v/>
      </c>
    </row>
    <row r="73" spans="1:7" ht="18" x14ac:dyDescent="0.35">
      <c r="A73" s="30" t="str">
        <f>IF(NOT(ISBLANK('Curs, Seminar'!B77)),'Curs, Seminar'!B77,"")</f>
        <v/>
      </c>
      <c r="B73" s="31" t="str">
        <f>IF(NOT(ISBLANK('Curs, Seminar'!C77)),'Curs, Seminar'!C77,"")</f>
        <v/>
      </c>
      <c r="C73" s="10"/>
      <c r="D73" s="10"/>
      <c r="E73" s="10"/>
      <c r="F73" s="23" t="str">
        <f>IF(NOT(ISBLANK('Curs, Seminar'!C77)),
IF('Curs, Seminar'!Z77,"Eliberat",
ROUND(SUM(C73:E73),0)),
"")</f>
        <v/>
      </c>
      <c r="G73" s="22" t="str">
        <f>IF(NOT(ISBLANK('Curs, Seminar'!C77)),
IF('Curs, Seminar'!Z77,'Curs, Seminar'!Z77,
IF(F73=0,"n/p",
IF(AND(F73&gt;=$H$3,F73&lt;=$I$3),$J$3,
IF(AND(F73&gt;=$H$4,F73&lt;=$I$4),$J$4,
IF(AND(F73&gt;=$H$5,F73&lt;=$I$5),$J$5,
IF(AND(F73&gt;=$H$6,F73&lt;=$I$6),$J$6,
IF(AND(F73&gt;=$H$7,F73&lt;=$I$7),$J$7,
IF(AND(F73&gt;=$H$8,F73&lt;=$I$8),$J$8,
IF(AND(F73&gt;=$H$9,F73&lt;=$I$9),$J$9,
IF(AND(F73&gt;=$H$10,F73&lt;=$I$10),$J$10,
IF(AND(F73&gt;=$H$11,F73&lt;=$I$11),$J$11))))))))))),
"")</f>
        <v/>
      </c>
    </row>
    <row r="74" spans="1:7" ht="18" x14ac:dyDescent="0.35">
      <c r="A74" s="30" t="str">
        <f>IF(NOT(ISBLANK('Curs, Seminar'!B78)),'Curs, Seminar'!B78,"")</f>
        <v/>
      </c>
      <c r="B74" s="31" t="str">
        <f>IF(NOT(ISBLANK('Curs, Seminar'!C78)),'Curs, Seminar'!C78,"")</f>
        <v/>
      </c>
      <c r="C74" s="10"/>
      <c r="D74" s="10"/>
      <c r="E74" s="10"/>
      <c r="F74" s="23" t="str">
        <f>IF(NOT(ISBLANK('Curs, Seminar'!C78)),
IF('Curs, Seminar'!Z78,"Eliberat",
ROUND(SUM(C74:E74),0)),
"")</f>
        <v/>
      </c>
      <c r="G74" s="22" t="str">
        <f>IF(NOT(ISBLANK('Curs, Seminar'!C78)),
IF('Curs, Seminar'!Z78,'Curs, Seminar'!Z78,
IF(F74=0,"n/p",
IF(AND(F74&gt;=$H$3,F74&lt;=$I$3),$J$3,
IF(AND(F74&gt;=$H$4,F74&lt;=$I$4),$J$4,
IF(AND(F74&gt;=$H$5,F74&lt;=$I$5),$J$5,
IF(AND(F74&gt;=$H$6,F74&lt;=$I$6),$J$6,
IF(AND(F74&gt;=$H$7,F74&lt;=$I$7),$J$7,
IF(AND(F74&gt;=$H$8,F74&lt;=$I$8),$J$8,
IF(AND(F74&gt;=$H$9,F74&lt;=$I$9),$J$9,
IF(AND(F74&gt;=$H$10,F74&lt;=$I$10),$J$10,
IF(AND(F74&gt;=$H$11,F74&lt;=$I$11),$J$11))))))))))),
"")</f>
        <v/>
      </c>
    </row>
    <row r="75" spans="1:7" ht="18" x14ac:dyDescent="0.35">
      <c r="A75" s="30" t="str">
        <f>IF(NOT(ISBLANK('Curs, Seminar'!B79)),'Curs, Seminar'!B79,"")</f>
        <v/>
      </c>
      <c r="B75" s="31" t="str">
        <f>IF(NOT(ISBLANK('Curs, Seminar'!C79)),'Curs, Seminar'!C79,"")</f>
        <v/>
      </c>
      <c r="C75" s="10"/>
      <c r="D75" s="10"/>
      <c r="E75" s="10"/>
      <c r="F75" s="23" t="str">
        <f>IF(NOT(ISBLANK('Curs, Seminar'!C79)),
IF('Curs, Seminar'!Z79,"Eliberat",
ROUND(SUM(C75:E75),0)),
"")</f>
        <v/>
      </c>
      <c r="G75" s="22" t="str">
        <f>IF(NOT(ISBLANK('Curs, Seminar'!C79)),
IF('Curs, Seminar'!Z79,'Curs, Seminar'!Z79,
IF(F75=0,"n/p",
IF(AND(F75&gt;=$H$3,F75&lt;=$I$3),$J$3,
IF(AND(F75&gt;=$H$4,F75&lt;=$I$4),$J$4,
IF(AND(F75&gt;=$H$5,F75&lt;=$I$5),$J$5,
IF(AND(F75&gt;=$H$6,F75&lt;=$I$6),$J$6,
IF(AND(F75&gt;=$H$7,F75&lt;=$I$7),$J$7,
IF(AND(F75&gt;=$H$8,F75&lt;=$I$8),$J$8,
IF(AND(F75&gt;=$H$9,F75&lt;=$I$9),$J$9,
IF(AND(F75&gt;=$H$10,F75&lt;=$I$10),$J$10,
IF(AND(F75&gt;=$H$11,F75&lt;=$I$11),$J$11))))))))))),
"")</f>
        <v/>
      </c>
    </row>
    <row r="76" spans="1:7" ht="18" x14ac:dyDescent="0.35">
      <c r="A76" s="30" t="str">
        <f>IF(NOT(ISBLANK('Curs, Seminar'!B80)),'Curs, Seminar'!B80,"")</f>
        <v/>
      </c>
      <c r="B76" s="31" t="str">
        <f>IF(NOT(ISBLANK('Curs, Seminar'!C80)),'Curs, Seminar'!C80,"")</f>
        <v/>
      </c>
      <c r="C76" s="10"/>
      <c r="D76" s="10"/>
      <c r="E76" s="10"/>
      <c r="F76" s="23" t="str">
        <f>IF(NOT(ISBLANK('Curs, Seminar'!C80)),
IF('Curs, Seminar'!Z80,"Eliberat",
ROUND(SUM(C76:E76),0)),
"")</f>
        <v/>
      </c>
      <c r="G76" s="22" t="str">
        <f>IF(NOT(ISBLANK('Curs, Seminar'!C80)),
IF('Curs, Seminar'!Z80,'Curs, Seminar'!Z80,
IF(F76=0,"n/p",
IF(AND(F76&gt;=$H$3,F76&lt;=$I$3),$J$3,
IF(AND(F76&gt;=$H$4,F76&lt;=$I$4),$J$4,
IF(AND(F76&gt;=$H$5,F76&lt;=$I$5),$J$5,
IF(AND(F76&gt;=$H$6,F76&lt;=$I$6),$J$6,
IF(AND(F76&gt;=$H$7,F76&lt;=$I$7),$J$7,
IF(AND(F76&gt;=$H$8,F76&lt;=$I$8),$J$8,
IF(AND(F76&gt;=$H$9,F76&lt;=$I$9),$J$9,
IF(AND(F76&gt;=$H$10,F76&lt;=$I$10),$J$10,
IF(AND(F76&gt;=$H$11,F76&lt;=$I$11),$J$11))))))))))),
"")</f>
        <v/>
      </c>
    </row>
    <row r="77" spans="1:7" ht="18" x14ac:dyDescent="0.35">
      <c r="A77" s="30" t="str">
        <f>IF(NOT(ISBLANK('Curs, Seminar'!B81)),'Curs, Seminar'!B81,"")</f>
        <v/>
      </c>
      <c r="B77" s="31" t="str">
        <f>IF(NOT(ISBLANK('Curs, Seminar'!C81)),'Curs, Seminar'!C81,"")</f>
        <v/>
      </c>
      <c r="C77" s="10"/>
      <c r="D77" s="10"/>
      <c r="E77" s="10"/>
      <c r="F77" s="23" t="str">
        <f>IF(NOT(ISBLANK('Curs, Seminar'!C81)),
IF('Curs, Seminar'!Z81,"Eliberat",
ROUND(SUM(C77:E77),0)),
"")</f>
        <v/>
      </c>
      <c r="G77" s="22" t="str">
        <f>IF(NOT(ISBLANK('Curs, Seminar'!C81)),
IF('Curs, Seminar'!Z81,'Curs, Seminar'!Z81,
IF(F77=0,"n/p",
IF(AND(F77&gt;=$H$3,F77&lt;=$I$3),$J$3,
IF(AND(F77&gt;=$H$4,F77&lt;=$I$4),$J$4,
IF(AND(F77&gt;=$H$5,F77&lt;=$I$5),$J$5,
IF(AND(F77&gt;=$H$6,F77&lt;=$I$6),$J$6,
IF(AND(F77&gt;=$H$7,F77&lt;=$I$7),$J$7,
IF(AND(F77&gt;=$H$8,F77&lt;=$I$8),$J$8,
IF(AND(F77&gt;=$H$9,F77&lt;=$I$9),$J$9,
IF(AND(F77&gt;=$H$10,F77&lt;=$I$10),$J$10,
IF(AND(F77&gt;=$H$11,F77&lt;=$I$11),$J$11))))))))))),
"")</f>
        <v/>
      </c>
    </row>
    <row r="78" spans="1:7" ht="18" x14ac:dyDescent="0.35">
      <c r="A78" s="30" t="str">
        <f>IF(NOT(ISBLANK('Curs, Seminar'!B82)),'Curs, Seminar'!B82,"")</f>
        <v/>
      </c>
      <c r="B78" s="31" t="str">
        <f>IF(NOT(ISBLANK('Curs, Seminar'!C82)),'Curs, Seminar'!C82,"")</f>
        <v/>
      </c>
      <c r="C78" s="10"/>
      <c r="D78" s="10"/>
      <c r="E78" s="10"/>
      <c r="F78" s="23" t="str">
        <f>IF(NOT(ISBLANK('Curs, Seminar'!C82)),
IF('Curs, Seminar'!Z82,"Eliberat",
ROUND(SUM(C78:E78),0)),
"")</f>
        <v/>
      </c>
      <c r="G78" s="22" t="str">
        <f>IF(NOT(ISBLANK('Curs, Seminar'!C82)),
IF('Curs, Seminar'!Z82,'Curs, Seminar'!Z82,
IF(F78=0,"n/p",
IF(AND(F78&gt;=$H$3,F78&lt;=$I$3),$J$3,
IF(AND(F78&gt;=$H$4,F78&lt;=$I$4),$J$4,
IF(AND(F78&gt;=$H$5,F78&lt;=$I$5),$J$5,
IF(AND(F78&gt;=$H$6,F78&lt;=$I$6),$J$6,
IF(AND(F78&gt;=$H$7,F78&lt;=$I$7),$J$7,
IF(AND(F78&gt;=$H$8,F78&lt;=$I$8),$J$8,
IF(AND(F78&gt;=$H$9,F78&lt;=$I$9),$J$9,
IF(AND(F78&gt;=$H$10,F78&lt;=$I$10),$J$10,
IF(AND(F78&gt;=$H$11,F78&lt;=$I$11),$J$11))))))))))),
"")</f>
        <v/>
      </c>
    </row>
    <row r="79" spans="1:7" ht="18" x14ac:dyDescent="0.35">
      <c r="A79" s="30" t="str">
        <f>IF(NOT(ISBLANK('Curs, Seminar'!B83)),'Curs, Seminar'!B83,"")</f>
        <v/>
      </c>
      <c r="B79" s="31" t="str">
        <f>IF(NOT(ISBLANK('Curs, Seminar'!C83)),'Curs, Seminar'!C83,"")</f>
        <v/>
      </c>
      <c r="C79" s="10"/>
      <c r="D79" s="10"/>
      <c r="E79" s="10"/>
      <c r="F79" s="23" t="str">
        <f>IF(NOT(ISBLANK('Curs, Seminar'!C83)),
IF('Curs, Seminar'!Z83,"Eliberat",
ROUND(SUM(C79:E79),0)),
"")</f>
        <v/>
      </c>
      <c r="G79" s="22" t="str">
        <f>IF(NOT(ISBLANK('Curs, Seminar'!C83)),
IF('Curs, Seminar'!Z83,'Curs, Seminar'!Z83,
IF(F79=0,"n/p",
IF(AND(F79&gt;=$H$3,F79&lt;=$I$3),$J$3,
IF(AND(F79&gt;=$H$4,F79&lt;=$I$4),$J$4,
IF(AND(F79&gt;=$H$5,F79&lt;=$I$5),$J$5,
IF(AND(F79&gt;=$H$6,F79&lt;=$I$6),$J$6,
IF(AND(F79&gt;=$H$7,F79&lt;=$I$7),$J$7,
IF(AND(F79&gt;=$H$8,F79&lt;=$I$8),$J$8,
IF(AND(F79&gt;=$H$9,F79&lt;=$I$9),$J$9,
IF(AND(F79&gt;=$H$10,F79&lt;=$I$10),$J$10,
IF(AND(F79&gt;=$H$11,F79&lt;=$I$11),$J$11))))))))))),
"")</f>
        <v/>
      </c>
    </row>
    <row r="80" spans="1:7" ht="18" x14ac:dyDescent="0.35">
      <c r="A80" s="30" t="str">
        <f>IF(NOT(ISBLANK('Curs, Seminar'!B84)),'Curs, Seminar'!B84,"")</f>
        <v/>
      </c>
      <c r="B80" s="31" t="str">
        <f>IF(NOT(ISBLANK('Curs, Seminar'!C84)),'Curs, Seminar'!C84,"")</f>
        <v/>
      </c>
      <c r="C80" s="10"/>
      <c r="D80" s="10"/>
      <c r="E80" s="10"/>
      <c r="F80" s="23" t="str">
        <f>IF(NOT(ISBLANK('Curs, Seminar'!C84)),
IF('Curs, Seminar'!Z84,"Eliberat",
ROUND(SUM(C80:E80),0)),
"")</f>
        <v/>
      </c>
      <c r="G80" s="22" t="str">
        <f>IF(NOT(ISBLANK('Curs, Seminar'!C84)),
IF('Curs, Seminar'!Z84,'Curs, Seminar'!Z84,
IF(F80=0,"n/p",
IF(AND(F80&gt;=$H$3,F80&lt;=$I$3),$J$3,
IF(AND(F80&gt;=$H$4,F80&lt;=$I$4),$J$4,
IF(AND(F80&gt;=$H$5,F80&lt;=$I$5),$J$5,
IF(AND(F80&gt;=$H$6,F80&lt;=$I$6),$J$6,
IF(AND(F80&gt;=$H$7,F80&lt;=$I$7),$J$7,
IF(AND(F80&gt;=$H$8,F80&lt;=$I$8),$J$8,
IF(AND(F80&gt;=$H$9,F80&lt;=$I$9),$J$9,
IF(AND(F80&gt;=$H$10,F80&lt;=$I$10),$J$10,
IF(AND(F80&gt;=$H$11,F80&lt;=$I$11),$J$11))))))))))),
"")</f>
        <v/>
      </c>
    </row>
    <row r="81" spans="1:7" ht="18" x14ac:dyDescent="0.35">
      <c r="A81" s="30" t="str">
        <f>IF(NOT(ISBLANK('Curs, Seminar'!B85)),'Curs, Seminar'!B85,"")</f>
        <v/>
      </c>
      <c r="B81" s="31" t="str">
        <f>IF(NOT(ISBLANK('Curs, Seminar'!C85)),'Curs, Seminar'!C85,"")</f>
        <v/>
      </c>
      <c r="C81" s="10"/>
      <c r="D81" s="10"/>
      <c r="E81" s="10"/>
      <c r="F81" s="23" t="str">
        <f>IF(NOT(ISBLANK('Curs, Seminar'!C85)),
IF('Curs, Seminar'!Z85,"Eliberat",
ROUND(SUM(C81:E81),0)),
"")</f>
        <v/>
      </c>
      <c r="G81" s="22" t="str">
        <f>IF(NOT(ISBLANK('Curs, Seminar'!C85)),
IF('Curs, Seminar'!Z85,'Curs, Seminar'!Z85,
IF(F81=0,"n/p",
IF(AND(F81&gt;=$H$3,F81&lt;=$I$3),$J$3,
IF(AND(F81&gt;=$H$4,F81&lt;=$I$4),$J$4,
IF(AND(F81&gt;=$H$5,F81&lt;=$I$5),$J$5,
IF(AND(F81&gt;=$H$6,F81&lt;=$I$6),$J$6,
IF(AND(F81&gt;=$H$7,F81&lt;=$I$7),$J$7,
IF(AND(F81&gt;=$H$8,F81&lt;=$I$8),$J$8,
IF(AND(F81&gt;=$H$9,F81&lt;=$I$9),$J$9,
IF(AND(F81&gt;=$H$10,F81&lt;=$I$10),$J$10,
IF(AND(F81&gt;=$H$11,F81&lt;=$I$11),$J$11))))))))))),
"")</f>
        <v/>
      </c>
    </row>
    <row r="82" spans="1:7" ht="18" x14ac:dyDescent="0.35">
      <c r="A82" s="30" t="str">
        <f>IF(NOT(ISBLANK('Curs, Seminar'!B86)),'Curs, Seminar'!B86,"")</f>
        <v/>
      </c>
      <c r="B82" s="31" t="str">
        <f>IF(NOT(ISBLANK('Curs, Seminar'!C86)),'Curs, Seminar'!C86,"")</f>
        <v/>
      </c>
      <c r="C82" s="10"/>
      <c r="D82" s="10"/>
      <c r="E82" s="10"/>
      <c r="F82" s="23" t="str">
        <f>IF(NOT(ISBLANK('Curs, Seminar'!C86)),
IF('Curs, Seminar'!Z86,"Eliberat",
ROUND(SUM(C82:E82),0)),
"")</f>
        <v/>
      </c>
      <c r="G82" s="22" t="str">
        <f>IF(NOT(ISBLANK('Curs, Seminar'!C86)),
IF('Curs, Seminar'!Z86,'Curs, Seminar'!Z86,
IF(F82=0,"n/p",
IF(AND(F82&gt;=$H$3,F82&lt;=$I$3),$J$3,
IF(AND(F82&gt;=$H$4,F82&lt;=$I$4),$J$4,
IF(AND(F82&gt;=$H$5,F82&lt;=$I$5),$J$5,
IF(AND(F82&gt;=$H$6,F82&lt;=$I$6),$J$6,
IF(AND(F82&gt;=$H$7,F82&lt;=$I$7),$J$7,
IF(AND(F82&gt;=$H$8,F82&lt;=$I$8),$J$8,
IF(AND(F82&gt;=$H$9,F82&lt;=$I$9),$J$9,
IF(AND(F82&gt;=$H$10,F82&lt;=$I$10),$J$10,
IF(AND(F82&gt;=$H$11,F82&lt;=$I$11),$J$11))))))))))),
"")</f>
        <v/>
      </c>
    </row>
    <row r="83" spans="1:7" ht="18" x14ac:dyDescent="0.35">
      <c r="A83" s="30" t="str">
        <f>IF(NOT(ISBLANK('Curs, Seminar'!B87)),'Curs, Seminar'!B87,"")</f>
        <v/>
      </c>
      <c r="B83" s="31" t="str">
        <f>IF(NOT(ISBLANK('Curs, Seminar'!C87)),'Curs, Seminar'!C87,"")</f>
        <v/>
      </c>
      <c r="C83" s="10"/>
      <c r="D83" s="10"/>
      <c r="E83" s="10"/>
      <c r="F83" s="23" t="str">
        <f>IF(NOT(ISBLANK('Curs, Seminar'!C87)),
IF('Curs, Seminar'!Z87,"Eliberat",
ROUND(SUM(C83:E83),0)),
"")</f>
        <v/>
      </c>
      <c r="G83" s="22" t="str">
        <f>IF(NOT(ISBLANK('Curs, Seminar'!C87)),
IF('Curs, Seminar'!Z87,'Curs, Seminar'!Z87,
IF(F83=0,"n/p",
IF(AND(F83&gt;=$H$3,F83&lt;=$I$3),$J$3,
IF(AND(F83&gt;=$H$4,F83&lt;=$I$4),$J$4,
IF(AND(F83&gt;=$H$5,F83&lt;=$I$5),$J$5,
IF(AND(F83&gt;=$H$6,F83&lt;=$I$6),$J$6,
IF(AND(F83&gt;=$H$7,F83&lt;=$I$7),$J$7,
IF(AND(F83&gt;=$H$8,F83&lt;=$I$8),$J$8,
IF(AND(F83&gt;=$H$9,F83&lt;=$I$9),$J$9,
IF(AND(F83&gt;=$H$10,F83&lt;=$I$10),$J$10,
IF(AND(F83&gt;=$H$11,F83&lt;=$I$11),$J$11))))))))))),
"")</f>
        <v/>
      </c>
    </row>
    <row r="84" spans="1:7" ht="18" x14ac:dyDescent="0.35">
      <c r="A84" s="30" t="str">
        <f>IF(NOT(ISBLANK('Curs, Seminar'!B88)),'Curs, Seminar'!B88,"")</f>
        <v/>
      </c>
      <c r="B84" s="31" t="str">
        <f>IF(NOT(ISBLANK('Curs, Seminar'!C88)),'Curs, Seminar'!C88,"")</f>
        <v/>
      </c>
      <c r="C84" s="10"/>
      <c r="D84" s="10"/>
      <c r="E84" s="10"/>
      <c r="F84" s="23" t="str">
        <f>IF(NOT(ISBLANK('Curs, Seminar'!C88)),
IF('Curs, Seminar'!Z88,"Eliberat",
ROUND(SUM(C84:E84),0)),
"")</f>
        <v/>
      </c>
      <c r="G84" s="22" t="str">
        <f>IF(NOT(ISBLANK('Curs, Seminar'!C88)),
IF('Curs, Seminar'!Z88,'Curs, Seminar'!Z88,
IF(F84=0,"n/p",
IF(AND(F84&gt;=$H$3,F84&lt;=$I$3),$J$3,
IF(AND(F84&gt;=$H$4,F84&lt;=$I$4),$J$4,
IF(AND(F84&gt;=$H$5,F84&lt;=$I$5),$J$5,
IF(AND(F84&gt;=$H$6,F84&lt;=$I$6),$J$6,
IF(AND(F84&gt;=$H$7,F84&lt;=$I$7),$J$7,
IF(AND(F84&gt;=$H$8,F84&lt;=$I$8),$J$8,
IF(AND(F84&gt;=$H$9,F84&lt;=$I$9),$J$9,
IF(AND(F84&gt;=$H$10,F84&lt;=$I$10),$J$10,
IF(AND(F84&gt;=$H$11,F84&lt;=$I$11),$J$11))))))))))),
"")</f>
        <v/>
      </c>
    </row>
    <row r="85" spans="1:7" ht="18" x14ac:dyDescent="0.35">
      <c r="A85" s="30" t="str">
        <f>IF(NOT(ISBLANK('Curs, Seminar'!B89)),'Curs, Seminar'!B89,"")</f>
        <v/>
      </c>
      <c r="B85" s="31" t="str">
        <f>IF(NOT(ISBLANK('Curs, Seminar'!C89)),'Curs, Seminar'!C89,"")</f>
        <v/>
      </c>
      <c r="C85" s="10"/>
      <c r="D85" s="10"/>
      <c r="E85" s="10"/>
      <c r="F85" s="23" t="str">
        <f>IF(NOT(ISBLANK('Curs, Seminar'!C89)),
IF('Curs, Seminar'!Z89,"Eliberat",
ROUND(SUM(C85:E85),0)),
"")</f>
        <v/>
      </c>
      <c r="G85" s="22" t="str">
        <f>IF(NOT(ISBLANK('Curs, Seminar'!C89)),
IF('Curs, Seminar'!Z89,'Curs, Seminar'!Z89,
IF(F85=0,"n/p",
IF(AND(F85&gt;=$H$3,F85&lt;=$I$3),$J$3,
IF(AND(F85&gt;=$H$4,F85&lt;=$I$4),$J$4,
IF(AND(F85&gt;=$H$5,F85&lt;=$I$5),$J$5,
IF(AND(F85&gt;=$H$6,F85&lt;=$I$6),$J$6,
IF(AND(F85&gt;=$H$7,F85&lt;=$I$7),$J$7,
IF(AND(F85&gt;=$H$8,F85&lt;=$I$8),$J$8,
IF(AND(F85&gt;=$H$9,F85&lt;=$I$9),$J$9,
IF(AND(F85&gt;=$H$10,F85&lt;=$I$10),$J$10,
IF(AND(F85&gt;=$H$11,F85&lt;=$I$11),$J$11))))))))))),
"")</f>
        <v/>
      </c>
    </row>
    <row r="86" spans="1:7" ht="18" x14ac:dyDescent="0.35">
      <c r="A86" s="30" t="str">
        <f>IF(NOT(ISBLANK('Curs, Seminar'!B90)),'Curs, Seminar'!B90,"")</f>
        <v/>
      </c>
      <c r="B86" s="31" t="str">
        <f>IF(NOT(ISBLANK('Curs, Seminar'!C90)),'Curs, Seminar'!C90,"")</f>
        <v/>
      </c>
      <c r="C86" s="10"/>
      <c r="D86" s="10"/>
      <c r="E86" s="10"/>
      <c r="F86" s="23" t="str">
        <f>IF(NOT(ISBLANK('Curs, Seminar'!C90)),
IF('Curs, Seminar'!Z90,"Eliberat",
ROUND(SUM(C86:E86),0)),
"")</f>
        <v/>
      </c>
      <c r="G86" s="22" t="str">
        <f>IF(NOT(ISBLANK('Curs, Seminar'!C90)),
IF('Curs, Seminar'!Z90,'Curs, Seminar'!Z90,
IF(F86=0,"n/p",
IF(AND(F86&gt;=$H$3,F86&lt;=$I$3),$J$3,
IF(AND(F86&gt;=$H$4,F86&lt;=$I$4),$J$4,
IF(AND(F86&gt;=$H$5,F86&lt;=$I$5),$J$5,
IF(AND(F86&gt;=$H$6,F86&lt;=$I$6),$J$6,
IF(AND(F86&gt;=$H$7,F86&lt;=$I$7),$J$7,
IF(AND(F86&gt;=$H$8,F86&lt;=$I$8),$J$8,
IF(AND(F86&gt;=$H$9,F86&lt;=$I$9),$J$9,
IF(AND(F86&gt;=$H$10,F86&lt;=$I$10),$J$10,
IF(AND(F86&gt;=$H$11,F86&lt;=$I$11),$J$11))))))))))),
"")</f>
        <v/>
      </c>
    </row>
    <row r="87" spans="1:7" ht="18" x14ac:dyDescent="0.35">
      <c r="A87" s="30" t="str">
        <f>IF(NOT(ISBLANK('Curs, Seminar'!B91)),'Curs, Seminar'!B91,"")</f>
        <v/>
      </c>
      <c r="B87" s="31" t="str">
        <f>IF(NOT(ISBLANK('Curs, Seminar'!C91)),'Curs, Seminar'!C91,"")</f>
        <v/>
      </c>
      <c r="C87" s="10"/>
      <c r="D87" s="10"/>
      <c r="E87" s="10"/>
      <c r="F87" s="23" t="str">
        <f>IF(NOT(ISBLANK('Curs, Seminar'!C91)),
IF('Curs, Seminar'!Z91,"Eliberat",
ROUND(SUM(C87:E87),0)),
"")</f>
        <v/>
      </c>
      <c r="G87" s="22" t="str">
        <f>IF(NOT(ISBLANK('Curs, Seminar'!C91)),
IF('Curs, Seminar'!Z91,'Curs, Seminar'!Z91,
IF(F87=0,"n/p",
IF(AND(F87&gt;=$H$3,F87&lt;=$I$3),$J$3,
IF(AND(F87&gt;=$H$4,F87&lt;=$I$4),$J$4,
IF(AND(F87&gt;=$H$5,F87&lt;=$I$5),$J$5,
IF(AND(F87&gt;=$H$6,F87&lt;=$I$6),$J$6,
IF(AND(F87&gt;=$H$7,F87&lt;=$I$7),$J$7,
IF(AND(F87&gt;=$H$8,F87&lt;=$I$8),$J$8,
IF(AND(F87&gt;=$H$9,F87&lt;=$I$9),$J$9,
IF(AND(F87&gt;=$H$10,F87&lt;=$I$10),$J$10,
IF(AND(F87&gt;=$H$11,F87&lt;=$I$11),$J$11))))))))))),
"")</f>
        <v/>
      </c>
    </row>
    <row r="88" spans="1:7" ht="18" x14ac:dyDescent="0.35">
      <c r="A88" s="30" t="str">
        <f>IF(NOT(ISBLANK('Curs, Seminar'!B92)),'Curs, Seminar'!B92,"")</f>
        <v/>
      </c>
      <c r="B88" s="31" t="str">
        <f>IF(NOT(ISBLANK('Curs, Seminar'!C92)),'Curs, Seminar'!C92,"")</f>
        <v/>
      </c>
      <c r="C88" s="10"/>
      <c r="D88" s="10"/>
      <c r="E88" s="10"/>
      <c r="F88" s="23" t="str">
        <f>IF(NOT(ISBLANK('Curs, Seminar'!C92)),
IF('Curs, Seminar'!Z92,"Eliberat",
ROUND(SUM(C88:E88),0)),
"")</f>
        <v/>
      </c>
      <c r="G88" s="22" t="str">
        <f>IF(NOT(ISBLANK('Curs, Seminar'!C92)),
IF('Curs, Seminar'!Z92,'Curs, Seminar'!Z92,
IF(F88=0,"n/p",
IF(AND(F88&gt;=$H$3,F88&lt;=$I$3),$J$3,
IF(AND(F88&gt;=$H$4,F88&lt;=$I$4),$J$4,
IF(AND(F88&gt;=$H$5,F88&lt;=$I$5),$J$5,
IF(AND(F88&gt;=$H$6,F88&lt;=$I$6),$J$6,
IF(AND(F88&gt;=$H$7,F88&lt;=$I$7),$J$7,
IF(AND(F88&gt;=$H$8,F88&lt;=$I$8),$J$8,
IF(AND(F88&gt;=$H$9,F88&lt;=$I$9),$J$9,
IF(AND(F88&gt;=$H$10,F88&lt;=$I$10),$J$10,
IF(AND(F88&gt;=$H$11,F88&lt;=$I$11),$J$11))))))))))),
"")</f>
        <v/>
      </c>
    </row>
    <row r="89" spans="1:7" ht="18" x14ac:dyDescent="0.35">
      <c r="A89" s="30" t="str">
        <f>IF(NOT(ISBLANK('Curs, Seminar'!B93)),'Curs, Seminar'!B93,"")</f>
        <v/>
      </c>
      <c r="B89" s="31" t="str">
        <f>IF(NOT(ISBLANK('Curs, Seminar'!C93)),'Curs, Seminar'!C93,"")</f>
        <v/>
      </c>
      <c r="C89" s="10"/>
      <c r="D89" s="10"/>
      <c r="E89" s="10"/>
      <c r="F89" s="23" t="str">
        <f>IF(NOT(ISBLANK('Curs, Seminar'!C93)),
IF('Curs, Seminar'!Z93,"Eliberat",
ROUND(SUM(C89:E89),0)),
"")</f>
        <v/>
      </c>
      <c r="G89" s="22" t="str">
        <f>IF(NOT(ISBLANK('Curs, Seminar'!C93)),
IF('Curs, Seminar'!Z93,'Curs, Seminar'!Z93,
IF(F89=0,"n/p",
IF(AND(F89&gt;=$H$3,F89&lt;=$I$3),$J$3,
IF(AND(F89&gt;=$H$4,F89&lt;=$I$4),$J$4,
IF(AND(F89&gt;=$H$5,F89&lt;=$I$5),$J$5,
IF(AND(F89&gt;=$H$6,F89&lt;=$I$6),$J$6,
IF(AND(F89&gt;=$H$7,F89&lt;=$I$7),$J$7,
IF(AND(F89&gt;=$H$8,F89&lt;=$I$8),$J$8,
IF(AND(F89&gt;=$H$9,F89&lt;=$I$9),$J$9,
IF(AND(F89&gt;=$H$10,F89&lt;=$I$10),$J$10,
IF(AND(F89&gt;=$H$11,F89&lt;=$I$11),$J$11))))))))))),
"")</f>
        <v/>
      </c>
    </row>
    <row r="90" spans="1:7" ht="18" x14ac:dyDescent="0.35">
      <c r="A90" s="30" t="str">
        <f>IF(NOT(ISBLANK('Curs, Seminar'!B94)),'Curs, Seminar'!B94,"")</f>
        <v/>
      </c>
      <c r="B90" s="31" t="str">
        <f>IF(NOT(ISBLANK('Curs, Seminar'!C94)),'Curs, Seminar'!C94,"")</f>
        <v/>
      </c>
      <c r="C90" s="10"/>
      <c r="D90" s="10"/>
      <c r="E90" s="10"/>
      <c r="F90" s="23" t="str">
        <f>IF(NOT(ISBLANK('Curs, Seminar'!C94)),
IF('Curs, Seminar'!Z94,"Eliberat",
ROUND(SUM(C90:E90),0)),
"")</f>
        <v/>
      </c>
      <c r="G90" s="22" t="str">
        <f>IF(NOT(ISBLANK('Curs, Seminar'!C94)),
IF('Curs, Seminar'!Z94,'Curs, Seminar'!Z94,
IF(F90=0,"n/p",
IF(AND(F90&gt;=$H$3,F90&lt;=$I$3),$J$3,
IF(AND(F90&gt;=$H$4,F90&lt;=$I$4),$J$4,
IF(AND(F90&gt;=$H$5,F90&lt;=$I$5),$J$5,
IF(AND(F90&gt;=$H$6,F90&lt;=$I$6),$J$6,
IF(AND(F90&gt;=$H$7,F90&lt;=$I$7),$J$7,
IF(AND(F90&gt;=$H$8,F90&lt;=$I$8),$J$8,
IF(AND(F90&gt;=$H$9,F90&lt;=$I$9),$J$9,
IF(AND(F90&gt;=$H$10,F90&lt;=$I$10),$J$10,
IF(AND(F90&gt;=$H$11,F90&lt;=$I$11),$J$11))))))))))),
"")</f>
        <v/>
      </c>
    </row>
    <row r="91" spans="1:7" ht="18" x14ac:dyDescent="0.35">
      <c r="A91" s="30" t="str">
        <f>IF(NOT(ISBLANK('Curs, Seminar'!B95)),'Curs, Seminar'!B95,"")</f>
        <v/>
      </c>
      <c r="B91" s="31" t="str">
        <f>IF(NOT(ISBLANK('Curs, Seminar'!C95)),'Curs, Seminar'!C95,"")</f>
        <v/>
      </c>
      <c r="C91" s="10"/>
      <c r="D91" s="10"/>
      <c r="E91" s="10"/>
      <c r="F91" s="23" t="str">
        <f>IF(NOT(ISBLANK('Curs, Seminar'!C95)),
IF('Curs, Seminar'!Z95,"Eliberat",
ROUND(SUM(C91:E91),0)),
"")</f>
        <v/>
      </c>
      <c r="G91" s="22" t="str">
        <f>IF(NOT(ISBLANK('Curs, Seminar'!C95)),
IF('Curs, Seminar'!Z95,'Curs, Seminar'!Z95,
IF(F91=0,"n/p",
IF(AND(F91&gt;=$H$3,F91&lt;=$I$3),$J$3,
IF(AND(F91&gt;=$H$4,F91&lt;=$I$4),$J$4,
IF(AND(F91&gt;=$H$5,F91&lt;=$I$5),$J$5,
IF(AND(F91&gt;=$H$6,F91&lt;=$I$6),$J$6,
IF(AND(F91&gt;=$H$7,F91&lt;=$I$7),$J$7,
IF(AND(F91&gt;=$H$8,F91&lt;=$I$8),$J$8,
IF(AND(F91&gt;=$H$9,F91&lt;=$I$9),$J$9,
IF(AND(F91&gt;=$H$10,F91&lt;=$I$10),$J$10,
IF(AND(F91&gt;=$H$11,F91&lt;=$I$11),$J$11))))))))))),
"")</f>
        <v/>
      </c>
    </row>
    <row r="92" spans="1:7" ht="18" x14ac:dyDescent="0.35">
      <c r="A92" s="30" t="str">
        <f>IF(NOT(ISBLANK('Curs, Seminar'!B96)),'Curs, Seminar'!B96,"")</f>
        <v/>
      </c>
      <c r="B92" s="31" t="str">
        <f>IF(NOT(ISBLANK('Curs, Seminar'!C96)),'Curs, Seminar'!C96,"")</f>
        <v/>
      </c>
      <c r="C92" s="10"/>
      <c r="D92" s="10"/>
      <c r="E92" s="10"/>
      <c r="F92" s="23" t="str">
        <f>IF(NOT(ISBLANK('Curs, Seminar'!C96)),
IF('Curs, Seminar'!Z96,"Eliberat",
ROUND(SUM(C92:E92),0)),
"")</f>
        <v/>
      </c>
      <c r="G92" s="22" t="str">
        <f>IF(NOT(ISBLANK('Curs, Seminar'!C96)),
IF('Curs, Seminar'!Z96,'Curs, Seminar'!Z96,
IF(F92=0,"n/p",
IF(AND(F92&gt;=$H$3,F92&lt;=$I$3),$J$3,
IF(AND(F92&gt;=$H$4,F92&lt;=$I$4),$J$4,
IF(AND(F92&gt;=$H$5,F92&lt;=$I$5),$J$5,
IF(AND(F92&gt;=$H$6,F92&lt;=$I$6),$J$6,
IF(AND(F92&gt;=$H$7,F92&lt;=$I$7),$J$7,
IF(AND(F92&gt;=$H$8,F92&lt;=$I$8),$J$8,
IF(AND(F92&gt;=$H$9,F92&lt;=$I$9),$J$9,
IF(AND(F92&gt;=$H$10,F92&lt;=$I$10),$J$10,
IF(AND(F92&gt;=$H$11,F92&lt;=$I$11),$J$11))))))))))),
"")</f>
        <v/>
      </c>
    </row>
    <row r="93" spans="1:7" ht="18" x14ac:dyDescent="0.35">
      <c r="A93" s="30" t="str">
        <f>IF(NOT(ISBLANK('Curs, Seminar'!B97)),'Curs, Seminar'!B97,"")</f>
        <v/>
      </c>
      <c r="B93" s="31" t="str">
        <f>IF(NOT(ISBLANK('Curs, Seminar'!C97)),'Curs, Seminar'!C97,"")</f>
        <v/>
      </c>
      <c r="C93" s="10"/>
      <c r="D93" s="10"/>
      <c r="E93" s="10"/>
      <c r="F93" s="23" t="str">
        <f>IF(NOT(ISBLANK('Curs, Seminar'!C97)),
IF('Curs, Seminar'!Z97,"Eliberat",
ROUND(SUM(C93:E93),0)),
"")</f>
        <v/>
      </c>
      <c r="G93" s="22" t="str">
        <f>IF(NOT(ISBLANK('Curs, Seminar'!C97)),
IF('Curs, Seminar'!Z97,'Curs, Seminar'!Z97,
IF(F93=0,"n/p",
IF(AND(F93&gt;=$H$3,F93&lt;=$I$3),$J$3,
IF(AND(F93&gt;=$H$4,F93&lt;=$I$4),$J$4,
IF(AND(F93&gt;=$H$5,F93&lt;=$I$5),$J$5,
IF(AND(F93&gt;=$H$6,F93&lt;=$I$6),$J$6,
IF(AND(F93&gt;=$H$7,F93&lt;=$I$7),$J$7,
IF(AND(F93&gt;=$H$8,F93&lt;=$I$8),$J$8,
IF(AND(F93&gt;=$H$9,F93&lt;=$I$9),$J$9,
IF(AND(F93&gt;=$H$10,F93&lt;=$I$10),$J$10,
IF(AND(F93&gt;=$H$11,F93&lt;=$I$11),$J$11))))))))))),
"")</f>
        <v/>
      </c>
    </row>
    <row r="94" spans="1:7" ht="18" x14ac:dyDescent="0.35">
      <c r="A94" s="30" t="str">
        <f>IF(NOT(ISBLANK('Curs, Seminar'!B98)),'Curs, Seminar'!B98,"")</f>
        <v/>
      </c>
      <c r="B94" s="31" t="str">
        <f>IF(NOT(ISBLANK('Curs, Seminar'!C98)),'Curs, Seminar'!C98,"")</f>
        <v/>
      </c>
      <c r="C94" s="10"/>
      <c r="D94" s="10"/>
      <c r="E94" s="10"/>
      <c r="F94" s="23" t="str">
        <f>IF(NOT(ISBLANK('Curs, Seminar'!C98)),
IF('Curs, Seminar'!Z98,"Eliberat",
ROUND(SUM(C94:E94),0)),
"")</f>
        <v/>
      </c>
      <c r="G94" s="22" t="str">
        <f>IF(NOT(ISBLANK('Curs, Seminar'!C98)),
IF('Curs, Seminar'!Z98,'Curs, Seminar'!Z98,
IF(F94=0,"n/p",
IF(AND(F94&gt;=$H$3,F94&lt;=$I$3),$J$3,
IF(AND(F94&gt;=$H$4,F94&lt;=$I$4),$J$4,
IF(AND(F94&gt;=$H$5,F94&lt;=$I$5),$J$5,
IF(AND(F94&gt;=$H$6,F94&lt;=$I$6),$J$6,
IF(AND(F94&gt;=$H$7,F94&lt;=$I$7),$J$7,
IF(AND(F94&gt;=$H$8,F94&lt;=$I$8),$J$8,
IF(AND(F94&gt;=$H$9,F94&lt;=$I$9),$J$9,
IF(AND(F94&gt;=$H$10,F94&lt;=$I$10),$J$10,
IF(AND(F94&gt;=$H$11,F94&lt;=$I$11),$J$11))))))))))),
"")</f>
        <v/>
      </c>
    </row>
    <row r="95" spans="1:7" ht="18" x14ac:dyDescent="0.35">
      <c r="A95" s="30" t="str">
        <f>IF(NOT(ISBLANK('Curs, Seminar'!B99)),'Curs, Seminar'!B99,"")</f>
        <v/>
      </c>
      <c r="B95" s="31" t="str">
        <f>IF(NOT(ISBLANK('Curs, Seminar'!C99)),'Curs, Seminar'!C99,"")</f>
        <v/>
      </c>
      <c r="C95" s="10"/>
      <c r="D95" s="10"/>
      <c r="E95" s="10"/>
      <c r="F95" s="23" t="str">
        <f>IF(NOT(ISBLANK('Curs, Seminar'!C99)),
IF('Curs, Seminar'!Z99,"Eliberat",
ROUND(SUM(C95:E95),0)),
"")</f>
        <v/>
      </c>
      <c r="G95" s="22" t="str">
        <f>IF(NOT(ISBLANK('Curs, Seminar'!C99)),
IF('Curs, Seminar'!Z99,'Curs, Seminar'!Z99,
IF(F95=0,"n/p",
IF(AND(F95&gt;=$H$3,F95&lt;=$I$3),$J$3,
IF(AND(F95&gt;=$H$4,F95&lt;=$I$4),$J$4,
IF(AND(F95&gt;=$H$5,F95&lt;=$I$5),$J$5,
IF(AND(F95&gt;=$H$6,F95&lt;=$I$6),$J$6,
IF(AND(F95&gt;=$H$7,F95&lt;=$I$7),$J$7,
IF(AND(F95&gt;=$H$8,F95&lt;=$I$8),$J$8,
IF(AND(F95&gt;=$H$9,F95&lt;=$I$9),$J$9,
IF(AND(F95&gt;=$H$10,F95&lt;=$I$10),$J$10,
IF(AND(F95&gt;=$H$11,F95&lt;=$I$11),$J$11))))))))))),
"")</f>
        <v/>
      </c>
    </row>
    <row r="96" spans="1:7" ht="18" x14ac:dyDescent="0.35">
      <c r="A96" s="30" t="str">
        <f>IF(NOT(ISBLANK('Curs, Seminar'!B100)),'Curs, Seminar'!B100,"")</f>
        <v/>
      </c>
      <c r="B96" s="31" t="str">
        <f>IF(NOT(ISBLANK('Curs, Seminar'!C100)),'Curs, Seminar'!C100,"")</f>
        <v/>
      </c>
      <c r="C96" s="10"/>
      <c r="D96" s="10"/>
      <c r="E96" s="10"/>
      <c r="F96" s="23" t="str">
        <f>IF(NOT(ISBLANK('Curs, Seminar'!C100)),
IF('Curs, Seminar'!Z100,"Eliberat",
ROUND(SUM(C96:E96),0)),
"")</f>
        <v/>
      </c>
      <c r="G96" s="22" t="str">
        <f>IF(NOT(ISBLANK('Curs, Seminar'!C100)),
IF('Curs, Seminar'!Z100,'Curs, Seminar'!Z100,
IF(F96=0,"n/p",
IF(AND(F96&gt;=$H$3,F96&lt;=$I$3),$J$3,
IF(AND(F96&gt;=$H$4,F96&lt;=$I$4),$J$4,
IF(AND(F96&gt;=$H$5,F96&lt;=$I$5),$J$5,
IF(AND(F96&gt;=$H$6,F96&lt;=$I$6),$J$6,
IF(AND(F96&gt;=$H$7,F96&lt;=$I$7),$J$7,
IF(AND(F96&gt;=$H$8,F96&lt;=$I$8),$J$8,
IF(AND(F96&gt;=$H$9,F96&lt;=$I$9),$J$9,
IF(AND(F96&gt;=$H$10,F96&lt;=$I$10),$J$10,
IF(AND(F96&gt;=$H$11,F96&lt;=$I$11),$J$11))))))))))),
"")</f>
        <v/>
      </c>
    </row>
    <row r="97" spans="1:7" ht="18" x14ac:dyDescent="0.35">
      <c r="A97" s="30" t="str">
        <f>IF(NOT(ISBLANK('Curs, Seminar'!B101)),'Curs, Seminar'!B101,"")</f>
        <v/>
      </c>
      <c r="B97" s="31" t="str">
        <f>IF(NOT(ISBLANK('Curs, Seminar'!C101)),'Curs, Seminar'!C101,"")</f>
        <v/>
      </c>
      <c r="C97" s="10"/>
      <c r="D97" s="10"/>
      <c r="E97" s="10"/>
      <c r="F97" s="23" t="str">
        <f>IF(NOT(ISBLANK('Curs, Seminar'!C101)),
IF('Curs, Seminar'!Z101,"Eliberat",
ROUND(SUM(C97:E97),0)),
"")</f>
        <v/>
      </c>
      <c r="G97" s="22" t="str">
        <f>IF(NOT(ISBLANK('Curs, Seminar'!C101)),
IF('Curs, Seminar'!Z101,'Curs, Seminar'!Z101,
IF(F97=0,"n/p",
IF(AND(F97&gt;=$H$3,F97&lt;=$I$3),$J$3,
IF(AND(F97&gt;=$H$4,F97&lt;=$I$4),$J$4,
IF(AND(F97&gt;=$H$5,F97&lt;=$I$5),$J$5,
IF(AND(F97&gt;=$H$6,F97&lt;=$I$6),$J$6,
IF(AND(F97&gt;=$H$7,F97&lt;=$I$7),$J$7,
IF(AND(F97&gt;=$H$8,F97&lt;=$I$8),$J$8,
IF(AND(F97&gt;=$H$9,F97&lt;=$I$9),$J$9,
IF(AND(F97&gt;=$H$10,F97&lt;=$I$10),$J$10,
IF(AND(F97&gt;=$H$11,F97&lt;=$I$11),$J$11))))))))))),
"")</f>
        <v/>
      </c>
    </row>
    <row r="98" spans="1:7" ht="18" x14ac:dyDescent="0.35">
      <c r="A98" s="30" t="str">
        <f>IF(NOT(ISBLANK('Curs, Seminar'!B102)),'Curs, Seminar'!B102,"")</f>
        <v/>
      </c>
      <c r="B98" s="31" t="str">
        <f>IF(NOT(ISBLANK('Curs, Seminar'!C102)),'Curs, Seminar'!C102,"")</f>
        <v/>
      </c>
      <c r="C98" s="10"/>
      <c r="D98" s="10"/>
      <c r="E98" s="10"/>
      <c r="F98" s="23" t="str">
        <f>IF(NOT(ISBLANK('Curs, Seminar'!C102)),
IF('Curs, Seminar'!Z102,"Eliberat",
ROUND(SUM(C98:E98),0)),
"")</f>
        <v/>
      </c>
      <c r="G98" s="22" t="str">
        <f>IF(NOT(ISBLANK('Curs, Seminar'!C102)),
IF('Curs, Seminar'!Z102,'Curs, Seminar'!Z102,
IF(F98=0,"n/p",
IF(AND(F98&gt;=$H$3,F98&lt;=$I$3),$J$3,
IF(AND(F98&gt;=$H$4,F98&lt;=$I$4),$J$4,
IF(AND(F98&gt;=$H$5,F98&lt;=$I$5),$J$5,
IF(AND(F98&gt;=$H$6,F98&lt;=$I$6),$J$6,
IF(AND(F98&gt;=$H$7,F98&lt;=$I$7),$J$7,
IF(AND(F98&gt;=$H$8,F98&lt;=$I$8),$J$8,
IF(AND(F98&gt;=$H$9,F98&lt;=$I$9),$J$9,
IF(AND(F98&gt;=$H$10,F98&lt;=$I$10),$J$10,
IF(AND(F98&gt;=$H$11,F98&lt;=$I$11),$J$11))))))))))),
"")</f>
        <v/>
      </c>
    </row>
    <row r="99" spans="1:7" ht="18" x14ac:dyDescent="0.35">
      <c r="A99" s="30" t="str">
        <f>IF(NOT(ISBLANK('Curs, Seminar'!B103)),'Curs, Seminar'!B103,"")</f>
        <v/>
      </c>
      <c r="B99" s="31" t="str">
        <f>IF(NOT(ISBLANK('Curs, Seminar'!C103)),'Curs, Seminar'!C103,"")</f>
        <v/>
      </c>
      <c r="C99" s="10"/>
      <c r="D99" s="10"/>
      <c r="E99" s="10"/>
      <c r="F99" s="23" t="str">
        <f>IF(NOT(ISBLANK('Curs, Seminar'!C103)),
IF('Curs, Seminar'!Z103,"Eliberat",
ROUND(SUM(C99:E99),0)),
"")</f>
        <v/>
      </c>
      <c r="G99" s="22" t="str">
        <f>IF(NOT(ISBLANK('Curs, Seminar'!C103)),
IF('Curs, Seminar'!Z103,'Curs, Seminar'!Z103,
IF(F99=0,"n/p",
IF(AND(F99&gt;=$H$3,F99&lt;=$I$3),$J$3,
IF(AND(F99&gt;=$H$4,F99&lt;=$I$4),$J$4,
IF(AND(F99&gt;=$H$5,F99&lt;=$I$5),$J$5,
IF(AND(F99&gt;=$H$6,F99&lt;=$I$6),$J$6,
IF(AND(F99&gt;=$H$7,F99&lt;=$I$7),$J$7,
IF(AND(F99&gt;=$H$8,F99&lt;=$I$8),$J$8,
IF(AND(F99&gt;=$H$9,F99&lt;=$I$9),$J$9,
IF(AND(F99&gt;=$H$10,F99&lt;=$I$10),$J$10,
IF(AND(F99&gt;=$H$11,F99&lt;=$I$11),$J$11))))))))))),
"")</f>
        <v/>
      </c>
    </row>
    <row r="100" spans="1:7" ht="18" x14ac:dyDescent="0.35">
      <c r="A100" s="30" t="str">
        <f>IF(NOT(ISBLANK('Curs, Seminar'!B104)),'Curs, Seminar'!B104,"")</f>
        <v/>
      </c>
      <c r="B100" s="31" t="str">
        <f>IF(NOT(ISBLANK('Curs, Seminar'!C104)),'Curs, Seminar'!C104,"")</f>
        <v/>
      </c>
      <c r="C100" s="10"/>
      <c r="D100" s="10"/>
      <c r="E100" s="10"/>
      <c r="F100" s="23" t="str">
        <f>IF(NOT(ISBLANK('Curs, Seminar'!C104)),
IF('Curs, Seminar'!Z104,"Eliberat",
ROUND(SUM(C100:E100),0)),
"")</f>
        <v/>
      </c>
      <c r="G100" s="22" t="str">
        <f>IF(NOT(ISBLANK('Curs, Seminar'!C104)),
IF('Curs, Seminar'!Z104,'Curs, Seminar'!Z104,
IF(F100=0,"n/p",
IF(AND(F100&gt;=$H$3,F100&lt;=$I$3),$J$3,
IF(AND(F100&gt;=$H$4,F100&lt;=$I$4),$J$4,
IF(AND(F100&gt;=$H$5,F100&lt;=$I$5),$J$5,
IF(AND(F100&gt;=$H$6,F100&lt;=$I$6),$J$6,
IF(AND(F100&gt;=$H$7,F100&lt;=$I$7),$J$7,
IF(AND(F100&gt;=$H$8,F100&lt;=$I$8),$J$8,
IF(AND(F100&gt;=$H$9,F100&lt;=$I$9),$J$9,
IF(AND(F100&gt;=$H$10,F100&lt;=$I$10),$J$10,
IF(AND(F100&gt;=$H$11,F100&lt;=$I$11),$J$11))))))))))),
"")</f>
        <v/>
      </c>
    </row>
    <row r="101" spans="1:7" ht="18" x14ac:dyDescent="0.35">
      <c r="A101" s="30" t="str">
        <f>IF(NOT(ISBLANK('Curs, Seminar'!B105)),'Curs, Seminar'!B105,"")</f>
        <v/>
      </c>
      <c r="B101" s="31" t="str">
        <f>IF(NOT(ISBLANK('Curs, Seminar'!C105)),'Curs, Seminar'!C105,"")</f>
        <v/>
      </c>
      <c r="C101" s="10"/>
      <c r="D101" s="10"/>
      <c r="E101" s="10"/>
      <c r="F101" s="23" t="str">
        <f>IF(NOT(ISBLANK('Curs, Seminar'!C105)),
IF('Curs, Seminar'!Z105,"Eliberat",
ROUND(SUM(C101:E101),0)),
"")</f>
        <v/>
      </c>
      <c r="G101" s="22" t="str">
        <f>IF(NOT(ISBLANK('Curs, Seminar'!C105)),
IF('Curs, Seminar'!Z105,'Curs, Seminar'!Z105,
IF(F101=0,"n/p",
IF(AND(F101&gt;=$H$3,F101&lt;=$I$3),$J$3,
IF(AND(F101&gt;=$H$4,F101&lt;=$I$4),$J$4,
IF(AND(F101&gt;=$H$5,F101&lt;=$I$5),$J$5,
IF(AND(F101&gt;=$H$6,F101&lt;=$I$6),$J$6,
IF(AND(F101&gt;=$H$7,F101&lt;=$I$7),$J$7,
IF(AND(F101&gt;=$H$8,F101&lt;=$I$8),$J$8,
IF(AND(F101&gt;=$H$9,F101&lt;=$I$9),$J$9,
IF(AND(F101&gt;=$H$10,F101&lt;=$I$10),$J$10,
IF(AND(F101&gt;=$H$11,F101&lt;=$I$11),$J$11))))))))))),
"")</f>
        <v/>
      </c>
    </row>
  </sheetData>
  <mergeCells count="1">
    <mergeCell ref="K1:L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06"/>
  <sheetViews>
    <sheetView zoomScale="70" zoomScaleNormal="70" workbookViewId="0">
      <selection activeCell="I9" sqref="I9"/>
    </sheetView>
  </sheetViews>
  <sheetFormatPr defaultColWidth="9.109375" defaultRowHeight="18" x14ac:dyDescent="0.35"/>
  <cols>
    <col min="1" max="1" width="4.88671875" style="88" customWidth="1"/>
    <col min="2" max="2" width="31.109375" style="88" customWidth="1"/>
    <col min="3" max="8" width="4.33203125" style="75" customWidth="1"/>
    <col min="9" max="10" width="6.33203125" style="75" customWidth="1"/>
    <col min="11" max="11" width="12.109375" style="75" customWidth="1"/>
    <col min="12" max="13" width="9.109375" style="75"/>
    <col min="14" max="14" width="120" style="75" customWidth="1"/>
    <col min="15" max="15" width="8" style="75" customWidth="1"/>
    <col min="16" max="16" width="19.6640625" style="75" customWidth="1"/>
    <col min="17" max="24" width="9.109375" style="75"/>
    <col min="25" max="25" width="9.109375" style="75" customWidth="1"/>
    <col min="26" max="16384" width="9.109375" style="75"/>
  </cols>
  <sheetData>
    <row r="1" spans="1:16" x14ac:dyDescent="0.35">
      <c r="N1" s="76" t="s">
        <v>57</v>
      </c>
    </row>
    <row r="2" spans="1:16" x14ac:dyDescent="0.35">
      <c r="M2" s="75" t="s">
        <v>69</v>
      </c>
    </row>
    <row r="3" spans="1:16" x14ac:dyDescent="0.35">
      <c r="B3" s="89" t="s">
        <v>58</v>
      </c>
      <c r="M3" s="75" t="s">
        <v>70</v>
      </c>
      <c r="N3" s="76"/>
    </row>
    <row r="4" spans="1:16" x14ac:dyDescent="0.35">
      <c r="C4" s="151" t="str">
        <f>'Curs, Seminar'!E3</f>
        <v>Curs</v>
      </c>
      <c r="D4" s="151"/>
      <c r="E4" s="151"/>
      <c r="F4" s="151"/>
      <c r="G4" s="151"/>
      <c r="H4" s="104"/>
      <c r="M4" s="75" t="s">
        <v>71</v>
      </c>
      <c r="N4" s="77"/>
    </row>
    <row r="5" spans="1:16" ht="15.6" customHeight="1" x14ac:dyDescent="0.3">
      <c r="A5" s="155" t="s">
        <v>59</v>
      </c>
      <c r="B5" s="155" t="s">
        <v>68</v>
      </c>
      <c r="C5" s="156" t="str">
        <f>IF('Curs, Seminar'!E5&lt;&gt;"",'Curs, Seminar'!E5,"")</f>
        <v/>
      </c>
      <c r="D5" s="156" t="str">
        <f>IF('Curs, Seminar'!F5&lt;&gt;"",'Curs, Seminar'!F5,"")</f>
        <v/>
      </c>
      <c r="E5" s="156" t="str">
        <f>IF('Curs, Seminar'!G5&lt;&gt;"",'Curs, Seminar'!G5,"")</f>
        <v/>
      </c>
      <c r="F5" s="156" t="str">
        <f>IF('Curs, Seminar'!H5&lt;&gt;"",'Curs, Seminar'!H5,"")</f>
        <v/>
      </c>
      <c r="G5" s="156" t="str">
        <f>IF('Curs, Seminar'!I5&lt;&gt;"",'Curs, Seminar'!I5,"")</f>
        <v/>
      </c>
      <c r="H5" s="156" t="str">
        <f>IF('Curs, Seminar'!J5&lt;&gt;"",'Curs, Seminar'!J5,"")</f>
        <v/>
      </c>
      <c r="I5" s="154" t="s">
        <v>60</v>
      </c>
      <c r="J5" s="154"/>
      <c r="K5" s="154"/>
      <c r="M5" s="152" t="s">
        <v>61</v>
      </c>
      <c r="N5" s="152" t="s">
        <v>62</v>
      </c>
      <c r="O5" s="152" t="s">
        <v>63</v>
      </c>
      <c r="P5" s="152" t="s">
        <v>64</v>
      </c>
    </row>
    <row r="6" spans="1:16" ht="40.200000000000003" customHeight="1" x14ac:dyDescent="0.3">
      <c r="A6" s="155"/>
      <c r="B6" s="155"/>
      <c r="C6" s="157"/>
      <c r="D6" s="157"/>
      <c r="E6" s="157"/>
      <c r="F6" s="157"/>
      <c r="G6" s="157"/>
      <c r="H6" s="157"/>
      <c r="I6" s="78" t="s">
        <v>11</v>
      </c>
      <c r="J6" s="78" t="s">
        <v>12</v>
      </c>
      <c r="K6" s="78" t="s">
        <v>65</v>
      </c>
      <c r="M6" s="153"/>
      <c r="N6" s="153"/>
      <c r="O6" s="153"/>
      <c r="P6" s="153"/>
    </row>
    <row r="7" spans="1:16" ht="19.95" customHeight="1" x14ac:dyDescent="0.3">
      <c r="A7" s="91">
        <f>'Curs, Seminar'!B6</f>
        <v>1</v>
      </c>
      <c r="B7" s="92" t="str">
        <f>IF(NOT(ISBLANK('Curs, Seminar'!C6)),'Curs, Seminar'!C6,"")</f>
        <v>Nume, Prenume</v>
      </c>
      <c r="C7" s="83" t="str">
        <f>IF('Curs, Seminar'!E6&lt;&gt;"a","",'Curs, Seminar'!E6)</f>
        <v/>
      </c>
      <c r="D7" s="83" t="str">
        <f>IF('Curs, Seminar'!F6&lt;&gt;"a","",'Curs, Seminar'!F6)</f>
        <v/>
      </c>
      <c r="E7" s="83" t="str">
        <f>IF('Curs, Seminar'!G6&lt;&gt;"a","",'Curs, Seminar'!G6)</f>
        <v/>
      </c>
      <c r="F7" s="83" t="str">
        <f>IF('Curs, Seminar'!H6&lt;&gt;"a","",'Curs, Seminar'!H6)</f>
        <v/>
      </c>
      <c r="G7" s="83" t="str">
        <f>IF('Curs, Seminar'!I6&lt;&gt;"a","",'Curs, Seminar'!I6)</f>
        <v/>
      </c>
      <c r="H7" s="83" t="str">
        <f>IF('Curs, Seminar'!K6&lt;&gt;"a","",'Curs, Seminar'!K6)</f>
        <v/>
      </c>
      <c r="I7" s="80"/>
      <c r="J7" s="80"/>
      <c r="K7" s="79"/>
      <c r="M7" s="162" t="str">
        <f>C5</f>
        <v/>
      </c>
      <c r="N7" s="158" t="s">
        <v>84</v>
      </c>
      <c r="O7" s="152">
        <v>2</v>
      </c>
      <c r="P7" s="152"/>
    </row>
    <row r="8" spans="1:16" ht="19.95" customHeight="1" x14ac:dyDescent="0.3">
      <c r="A8" s="91" t="str">
        <f>'Curs, Seminar'!B7</f>
        <v/>
      </c>
      <c r="B8" s="92" t="str">
        <f>IF(NOT(ISBLANK('Curs, Seminar'!C7)),'Curs, Seminar'!C7,"")</f>
        <v/>
      </c>
      <c r="C8" s="83" t="str">
        <f>IF('Curs, Seminar'!E7&lt;&gt;"a","",'Curs, Seminar'!E7)</f>
        <v/>
      </c>
      <c r="D8" s="83" t="str">
        <f>IF('Curs, Seminar'!F7&lt;&gt;"a","",'Curs, Seminar'!F7)</f>
        <v/>
      </c>
      <c r="E8" s="83" t="str">
        <f>IF('Curs, Seminar'!G7&lt;&gt;"a","",'Curs, Seminar'!G7)</f>
        <v/>
      </c>
      <c r="F8" s="83" t="str">
        <f>IF('Curs, Seminar'!H7&lt;&gt;"a","",'Curs, Seminar'!H7)</f>
        <v/>
      </c>
      <c r="G8" s="83" t="str">
        <f>IF('Curs, Seminar'!I7&lt;&gt;"a","",'Curs, Seminar'!I7)</f>
        <v/>
      </c>
      <c r="H8" s="83" t="str">
        <f>IF('Curs, Seminar'!K7&lt;&gt;"a","",'Curs, Seminar'!K7)</f>
        <v/>
      </c>
      <c r="I8" s="80"/>
      <c r="J8" s="80"/>
      <c r="K8" s="79"/>
      <c r="M8" s="163"/>
      <c r="N8" s="159"/>
      <c r="O8" s="161"/>
      <c r="P8" s="161"/>
    </row>
    <row r="9" spans="1:16" ht="19.95" customHeight="1" x14ac:dyDescent="0.3">
      <c r="A9" s="91" t="str">
        <f>'Curs, Seminar'!B8</f>
        <v/>
      </c>
      <c r="B9" s="92" t="str">
        <f>IF(NOT(ISBLANK('Curs, Seminar'!C8)),'Curs, Seminar'!C8,"")</f>
        <v/>
      </c>
      <c r="C9" s="83" t="str">
        <f>IF('Curs, Seminar'!E8&lt;&gt;"a","",'Curs, Seminar'!E8)</f>
        <v/>
      </c>
      <c r="D9" s="83" t="str">
        <f>IF('Curs, Seminar'!F8&lt;&gt;"a","",'Curs, Seminar'!F8)</f>
        <v/>
      </c>
      <c r="E9" s="83" t="str">
        <f>IF('Curs, Seminar'!G8&lt;&gt;"a","",'Curs, Seminar'!G8)</f>
        <v/>
      </c>
      <c r="F9" s="83" t="str">
        <f>IF('Curs, Seminar'!H8&lt;&gt;"a","",'Curs, Seminar'!H8)</f>
        <v/>
      </c>
      <c r="G9" s="83" t="str">
        <f>IF('Curs, Seminar'!I8&lt;&gt;"a","",'Curs, Seminar'!I8)</f>
        <v/>
      </c>
      <c r="H9" s="83" t="str">
        <f>IF('Curs, Seminar'!K8&lt;&gt;"a","",'Curs, Seminar'!K8)</f>
        <v/>
      </c>
      <c r="I9" s="80"/>
      <c r="J9" s="80"/>
      <c r="K9" s="79"/>
      <c r="M9" s="164"/>
      <c r="N9" s="160"/>
      <c r="O9" s="153"/>
      <c r="P9" s="153"/>
    </row>
    <row r="10" spans="1:16" ht="19.95" customHeight="1" x14ac:dyDescent="0.3">
      <c r="A10" s="91" t="str">
        <f>'Curs, Seminar'!B9</f>
        <v/>
      </c>
      <c r="B10" s="92" t="str">
        <f>IF(NOT(ISBLANK('Curs, Seminar'!C9)),'Curs, Seminar'!C9,"")</f>
        <v/>
      </c>
      <c r="C10" s="83" t="str">
        <f>IF('Curs, Seminar'!E9&lt;&gt;"a","",'Curs, Seminar'!E9)</f>
        <v/>
      </c>
      <c r="D10" s="83" t="str">
        <f>IF('Curs, Seminar'!F9&lt;&gt;"a","",'Curs, Seminar'!F9)</f>
        <v/>
      </c>
      <c r="E10" s="83" t="str">
        <f>IF('Curs, Seminar'!G9&lt;&gt;"a","",'Curs, Seminar'!G9)</f>
        <v/>
      </c>
      <c r="F10" s="83" t="str">
        <f>IF('Curs, Seminar'!H9&lt;&gt;"a","",'Curs, Seminar'!H9)</f>
        <v/>
      </c>
      <c r="G10" s="83" t="str">
        <f>IF('Curs, Seminar'!I9&lt;&gt;"a","",'Curs, Seminar'!I9)</f>
        <v/>
      </c>
      <c r="H10" s="83" t="str">
        <f>IF('Curs, Seminar'!K9&lt;&gt;"a","",'Curs, Seminar'!K9)</f>
        <v/>
      </c>
      <c r="I10" s="80"/>
      <c r="J10" s="80"/>
      <c r="K10" s="79"/>
      <c r="M10" s="162" t="str">
        <f>D5</f>
        <v/>
      </c>
      <c r="N10" s="165" t="s">
        <v>85</v>
      </c>
      <c r="O10" s="152"/>
      <c r="P10" s="152"/>
    </row>
    <row r="11" spans="1:16" ht="19.95" customHeight="1" x14ac:dyDescent="0.3">
      <c r="A11" s="91" t="str">
        <f>'Curs, Seminar'!B10</f>
        <v/>
      </c>
      <c r="B11" s="92" t="str">
        <f>IF(NOT(ISBLANK('Curs, Seminar'!C10)),'Curs, Seminar'!C10,"")</f>
        <v/>
      </c>
      <c r="C11" s="83" t="str">
        <f>IF('Curs, Seminar'!E10&lt;&gt;"a","",'Curs, Seminar'!E10)</f>
        <v/>
      </c>
      <c r="D11" s="83" t="str">
        <f>IF('Curs, Seminar'!F10&lt;&gt;"a","",'Curs, Seminar'!F10)</f>
        <v/>
      </c>
      <c r="E11" s="83" t="str">
        <f>IF('Curs, Seminar'!G10&lt;&gt;"a","",'Curs, Seminar'!G10)</f>
        <v/>
      </c>
      <c r="F11" s="83" t="str">
        <f>IF('Curs, Seminar'!H10&lt;&gt;"a","",'Curs, Seminar'!H10)</f>
        <v/>
      </c>
      <c r="G11" s="83" t="str">
        <f>IF('Curs, Seminar'!I10&lt;&gt;"a","",'Curs, Seminar'!I10)</f>
        <v/>
      </c>
      <c r="H11" s="83" t="str">
        <f>IF('Curs, Seminar'!K10&lt;&gt;"a","",'Curs, Seminar'!K10)</f>
        <v/>
      </c>
      <c r="I11" s="80"/>
      <c r="J11" s="80"/>
      <c r="K11" s="79"/>
      <c r="M11" s="163"/>
      <c r="N11" s="166"/>
      <c r="O11" s="161"/>
      <c r="P11" s="161"/>
    </row>
    <row r="12" spans="1:16" ht="19.95" customHeight="1" x14ac:dyDescent="0.3">
      <c r="A12" s="91" t="str">
        <f>'Curs, Seminar'!B11</f>
        <v/>
      </c>
      <c r="B12" s="92" t="str">
        <f>IF(NOT(ISBLANK('Curs, Seminar'!C11)),'Curs, Seminar'!C11,"")</f>
        <v/>
      </c>
      <c r="C12" s="83" t="str">
        <f>IF('Curs, Seminar'!E11&lt;&gt;"a","",'Curs, Seminar'!E11)</f>
        <v/>
      </c>
      <c r="D12" s="83" t="str">
        <f>IF('Curs, Seminar'!F11&lt;&gt;"a","",'Curs, Seminar'!F11)</f>
        <v/>
      </c>
      <c r="E12" s="83" t="str">
        <f>IF('Curs, Seminar'!G11&lt;&gt;"a","",'Curs, Seminar'!G11)</f>
        <v/>
      </c>
      <c r="F12" s="83" t="str">
        <f>IF('Curs, Seminar'!H11&lt;&gt;"a","",'Curs, Seminar'!H11)</f>
        <v/>
      </c>
      <c r="G12" s="83" t="str">
        <f>IF('Curs, Seminar'!I11&lt;&gt;"a","",'Curs, Seminar'!I11)</f>
        <v/>
      </c>
      <c r="H12" s="83" t="str">
        <f>IF('Curs, Seminar'!K11&lt;&gt;"a","",'Curs, Seminar'!K11)</f>
        <v/>
      </c>
      <c r="I12" s="80"/>
      <c r="J12" s="80"/>
      <c r="K12" s="79"/>
      <c r="M12" s="164"/>
      <c r="N12" s="167"/>
      <c r="O12" s="153"/>
      <c r="P12" s="153"/>
    </row>
    <row r="13" spans="1:16" ht="19.95" customHeight="1" x14ac:dyDescent="0.3">
      <c r="A13" s="91" t="str">
        <f>'Curs, Seminar'!B12</f>
        <v/>
      </c>
      <c r="B13" s="92" t="str">
        <f>IF(NOT(ISBLANK('Curs, Seminar'!C12)),'Curs, Seminar'!C12,"")</f>
        <v/>
      </c>
      <c r="C13" s="83" t="str">
        <f>IF('Curs, Seminar'!E12&lt;&gt;"a","",'Curs, Seminar'!E12)</f>
        <v/>
      </c>
      <c r="D13" s="83" t="str">
        <f>IF('Curs, Seminar'!F12&lt;&gt;"a","",'Curs, Seminar'!F12)</f>
        <v/>
      </c>
      <c r="E13" s="83" t="str">
        <f>IF('Curs, Seminar'!G12&lt;&gt;"a","",'Curs, Seminar'!G12)</f>
        <v/>
      </c>
      <c r="F13" s="83" t="str">
        <f>IF('Curs, Seminar'!H12&lt;&gt;"a","",'Curs, Seminar'!H12)</f>
        <v/>
      </c>
      <c r="G13" s="83" t="str">
        <f>IF('Curs, Seminar'!I12&lt;&gt;"a","",'Curs, Seminar'!I12)</f>
        <v/>
      </c>
      <c r="H13" s="83" t="str">
        <f>IF('Curs, Seminar'!K12&lt;&gt;"a","",'Curs, Seminar'!K12)</f>
        <v/>
      </c>
      <c r="I13" s="80"/>
      <c r="J13" s="80"/>
      <c r="K13" s="79"/>
      <c r="M13" s="162" t="str">
        <f>E5</f>
        <v/>
      </c>
      <c r="N13" s="168" t="s">
        <v>86</v>
      </c>
      <c r="O13" s="152"/>
      <c r="P13" s="152"/>
    </row>
    <row r="14" spans="1:16" ht="19.95" customHeight="1" x14ac:dyDescent="0.3">
      <c r="A14" s="91" t="str">
        <f>'Curs, Seminar'!B13</f>
        <v/>
      </c>
      <c r="B14" s="92" t="str">
        <f>IF(NOT(ISBLANK('Curs, Seminar'!C13)),'Curs, Seminar'!C13,"")</f>
        <v/>
      </c>
      <c r="C14" s="83" t="str">
        <f>IF('Curs, Seminar'!E13&lt;&gt;"a","",'Curs, Seminar'!E13)</f>
        <v/>
      </c>
      <c r="D14" s="83" t="str">
        <f>IF('Curs, Seminar'!F13&lt;&gt;"a","",'Curs, Seminar'!F13)</f>
        <v/>
      </c>
      <c r="E14" s="83" t="str">
        <f>IF('Curs, Seminar'!G13&lt;&gt;"a","",'Curs, Seminar'!G13)</f>
        <v/>
      </c>
      <c r="F14" s="83" t="str">
        <f>IF('Curs, Seminar'!H13&lt;&gt;"a","",'Curs, Seminar'!H13)</f>
        <v/>
      </c>
      <c r="G14" s="83" t="str">
        <f>IF('Curs, Seminar'!I13&lt;&gt;"a","",'Curs, Seminar'!I13)</f>
        <v/>
      </c>
      <c r="H14" s="83" t="str">
        <f>IF('Curs, Seminar'!K13&lt;&gt;"a","",'Curs, Seminar'!K13)</f>
        <v/>
      </c>
      <c r="I14" s="80"/>
      <c r="J14" s="80"/>
      <c r="K14" s="79"/>
      <c r="M14" s="163"/>
      <c r="N14" s="169"/>
      <c r="O14" s="161"/>
      <c r="P14" s="161"/>
    </row>
    <row r="15" spans="1:16" ht="19.95" customHeight="1" x14ac:dyDescent="0.3">
      <c r="A15" s="91" t="str">
        <f>'Curs, Seminar'!B14</f>
        <v/>
      </c>
      <c r="B15" s="92" t="str">
        <f>IF(NOT(ISBLANK('Curs, Seminar'!C14)),'Curs, Seminar'!C14,"")</f>
        <v/>
      </c>
      <c r="C15" s="83" t="str">
        <f>IF('Curs, Seminar'!E14&lt;&gt;"a","",'Curs, Seminar'!E14)</f>
        <v/>
      </c>
      <c r="D15" s="83" t="str">
        <f>IF('Curs, Seminar'!F14&lt;&gt;"a","",'Curs, Seminar'!F14)</f>
        <v/>
      </c>
      <c r="E15" s="83" t="str">
        <f>IF('Curs, Seminar'!G14&lt;&gt;"a","",'Curs, Seminar'!G14)</f>
        <v/>
      </c>
      <c r="F15" s="83" t="str">
        <f>IF('Curs, Seminar'!H14&lt;&gt;"a","",'Curs, Seminar'!H14)</f>
        <v/>
      </c>
      <c r="G15" s="83" t="str">
        <f>IF('Curs, Seminar'!I14&lt;&gt;"a","",'Curs, Seminar'!I14)</f>
        <v/>
      </c>
      <c r="H15" s="83" t="str">
        <f>IF('Curs, Seminar'!K14&lt;&gt;"a","",'Curs, Seminar'!K14)</f>
        <v/>
      </c>
      <c r="I15" s="80"/>
      <c r="J15" s="80"/>
      <c r="K15" s="79"/>
      <c r="M15" s="164"/>
      <c r="N15" s="170"/>
      <c r="O15" s="153"/>
      <c r="P15" s="153"/>
    </row>
    <row r="16" spans="1:16" ht="19.95" customHeight="1" x14ac:dyDescent="0.3">
      <c r="A16" s="91" t="str">
        <f>'Curs, Seminar'!B15</f>
        <v/>
      </c>
      <c r="B16" s="92" t="str">
        <f>IF(NOT(ISBLANK('Curs, Seminar'!C15)),'Curs, Seminar'!C15,"")</f>
        <v/>
      </c>
      <c r="C16" s="83" t="str">
        <f>IF('Curs, Seminar'!E15&lt;&gt;"a","",'Curs, Seminar'!E15)</f>
        <v/>
      </c>
      <c r="D16" s="83" t="str">
        <f>IF('Curs, Seminar'!F15&lt;&gt;"a","",'Curs, Seminar'!F15)</f>
        <v/>
      </c>
      <c r="E16" s="83" t="str">
        <f>IF('Curs, Seminar'!G15&lt;&gt;"a","",'Curs, Seminar'!G15)</f>
        <v/>
      </c>
      <c r="F16" s="83" t="str">
        <f>IF('Curs, Seminar'!H15&lt;&gt;"a","",'Curs, Seminar'!H15)</f>
        <v/>
      </c>
      <c r="G16" s="83" t="str">
        <f>IF('Curs, Seminar'!I15&lt;&gt;"a","",'Curs, Seminar'!I15)</f>
        <v/>
      </c>
      <c r="H16" s="83" t="str">
        <f>IF('Curs, Seminar'!K15&lt;&gt;"a","",'Curs, Seminar'!K15)</f>
        <v/>
      </c>
      <c r="I16" s="80"/>
      <c r="J16" s="80"/>
      <c r="K16" s="79"/>
      <c r="M16" s="162" t="str">
        <f>F5</f>
        <v/>
      </c>
      <c r="N16" s="165" t="s">
        <v>87</v>
      </c>
      <c r="O16" s="152"/>
      <c r="P16" s="152"/>
    </row>
    <row r="17" spans="1:16" ht="19.95" customHeight="1" x14ac:dyDescent="0.3">
      <c r="A17" s="91" t="str">
        <f>'Curs, Seminar'!B16</f>
        <v/>
      </c>
      <c r="B17" s="92" t="str">
        <f>IF(NOT(ISBLANK('Curs, Seminar'!C16)),'Curs, Seminar'!C16,"")</f>
        <v/>
      </c>
      <c r="C17" s="83" t="str">
        <f>IF('Curs, Seminar'!E16&lt;&gt;"a","",'Curs, Seminar'!E16)</f>
        <v/>
      </c>
      <c r="D17" s="83" t="str">
        <f>IF('Curs, Seminar'!F16&lt;&gt;"a","",'Curs, Seminar'!F16)</f>
        <v/>
      </c>
      <c r="E17" s="83" t="str">
        <f>IF('Curs, Seminar'!G16&lt;&gt;"a","",'Curs, Seminar'!G16)</f>
        <v/>
      </c>
      <c r="F17" s="83" t="str">
        <f>IF('Curs, Seminar'!H16&lt;&gt;"a","",'Curs, Seminar'!H16)</f>
        <v/>
      </c>
      <c r="G17" s="83" t="str">
        <f>IF('Curs, Seminar'!I16&lt;&gt;"a","",'Curs, Seminar'!I16)</f>
        <v/>
      </c>
      <c r="H17" s="83" t="str">
        <f>IF('Curs, Seminar'!K16&lt;&gt;"a","",'Curs, Seminar'!K16)</f>
        <v/>
      </c>
      <c r="I17" s="80"/>
      <c r="J17" s="80"/>
      <c r="K17" s="79"/>
      <c r="M17" s="163"/>
      <c r="N17" s="166"/>
      <c r="O17" s="161"/>
      <c r="P17" s="161"/>
    </row>
    <row r="18" spans="1:16" ht="19.95" customHeight="1" x14ac:dyDescent="0.3">
      <c r="A18" s="91" t="str">
        <f>'Curs, Seminar'!B17</f>
        <v/>
      </c>
      <c r="B18" s="92" t="str">
        <f>IF(NOT(ISBLANK('Curs, Seminar'!C17)),'Curs, Seminar'!C17,"")</f>
        <v/>
      </c>
      <c r="C18" s="83" t="str">
        <f>IF('Curs, Seminar'!E17&lt;&gt;"a","",'Curs, Seminar'!E17)</f>
        <v/>
      </c>
      <c r="D18" s="83" t="str">
        <f>IF('Curs, Seminar'!F17&lt;&gt;"a","",'Curs, Seminar'!F17)</f>
        <v/>
      </c>
      <c r="E18" s="83" t="str">
        <f>IF('Curs, Seminar'!G17&lt;&gt;"a","",'Curs, Seminar'!G17)</f>
        <v/>
      </c>
      <c r="F18" s="83" t="str">
        <f>IF('Curs, Seminar'!H17&lt;&gt;"a","",'Curs, Seminar'!H17)</f>
        <v/>
      </c>
      <c r="G18" s="83" t="str">
        <f>IF('Curs, Seminar'!I17&lt;&gt;"a","",'Curs, Seminar'!I17)</f>
        <v/>
      </c>
      <c r="H18" s="83" t="str">
        <f>IF('Curs, Seminar'!K17&lt;&gt;"a","",'Curs, Seminar'!K17)</f>
        <v/>
      </c>
      <c r="I18" s="80"/>
      <c r="J18" s="80"/>
      <c r="K18" s="79"/>
      <c r="M18" s="164"/>
      <c r="N18" s="167"/>
      <c r="O18" s="153"/>
      <c r="P18" s="153"/>
    </row>
    <row r="19" spans="1:16" ht="19.95" customHeight="1" x14ac:dyDescent="0.3">
      <c r="A19" s="91" t="str">
        <f>'Curs, Seminar'!B18</f>
        <v/>
      </c>
      <c r="B19" s="92" t="str">
        <f>IF(NOT(ISBLANK('Curs, Seminar'!C18)),'Curs, Seminar'!C18,"")</f>
        <v/>
      </c>
      <c r="C19" s="83" t="str">
        <f>IF('Curs, Seminar'!E18&lt;&gt;"a","",'Curs, Seminar'!E18)</f>
        <v/>
      </c>
      <c r="D19" s="83" t="str">
        <f>IF('Curs, Seminar'!F18&lt;&gt;"a","",'Curs, Seminar'!F18)</f>
        <v/>
      </c>
      <c r="E19" s="83" t="str">
        <f>IF('Curs, Seminar'!G18&lt;&gt;"a","",'Curs, Seminar'!G18)</f>
        <v/>
      </c>
      <c r="F19" s="83" t="str">
        <f>IF('Curs, Seminar'!H18&lt;&gt;"a","",'Curs, Seminar'!H18)</f>
        <v/>
      </c>
      <c r="G19" s="83" t="str">
        <f>IF('Curs, Seminar'!I18&lt;&gt;"a","",'Curs, Seminar'!I18)</f>
        <v/>
      </c>
      <c r="H19" s="83" t="str">
        <f>IF('Curs, Seminar'!K18&lt;&gt;"a","",'Curs, Seminar'!K18)</f>
        <v/>
      </c>
      <c r="I19" s="80"/>
      <c r="J19" s="80"/>
      <c r="K19" s="79"/>
      <c r="M19" s="162" t="str">
        <f>G5</f>
        <v/>
      </c>
      <c r="N19" s="165" t="s">
        <v>88</v>
      </c>
      <c r="O19" s="177"/>
      <c r="P19" s="152"/>
    </row>
    <row r="20" spans="1:16" ht="19.95" customHeight="1" x14ac:dyDescent="0.3">
      <c r="A20" s="91" t="str">
        <f>'Curs, Seminar'!B19</f>
        <v/>
      </c>
      <c r="B20" s="92" t="str">
        <f>IF(NOT(ISBLANK('Curs, Seminar'!C19)),'Curs, Seminar'!C19,"")</f>
        <v/>
      </c>
      <c r="C20" s="83" t="str">
        <f>IF('Curs, Seminar'!E19&lt;&gt;"a","",'Curs, Seminar'!E19)</f>
        <v/>
      </c>
      <c r="D20" s="83" t="str">
        <f>IF('Curs, Seminar'!F19&lt;&gt;"a","",'Curs, Seminar'!F19)</f>
        <v/>
      </c>
      <c r="E20" s="83" t="str">
        <f>IF('Curs, Seminar'!G19&lt;&gt;"a","",'Curs, Seminar'!G19)</f>
        <v/>
      </c>
      <c r="F20" s="83" t="str">
        <f>IF('Curs, Seminar'!H19&lt;&gt;"a","",'Curs, Seminar'!H19)</f>
        <v/>
      </c>
      <c r="G20" s="83" t="str">
        <f>IF('Curs, Seminar'!I19&lt;&gt;"a","",'Curs, Seminar'!I19)</f>
        <v/>
      </c>
      <c r="H20" s="83" t="str">
        <f>IF('Curs, Seminar'!K19&lt;&gt;"a","",'Curs, Seminar'!K19)</f>
        <v/>
      </c>
      <c r="I20" s="80"/>
      <c r="J20" s="80"/>
      <c r="K20" s="79"/>
      <c r="M20" s="163"/>
      <c r="N20" s="166"/>
      <c r="O20" s="178"/>
      <c r="P20" s="161"/>
    </row>
    <row r="21" spans="1:16" ht="19.95" customHeight="1" x14ac:dyDescent="0.3">
      <c r="A21" s="91" t="str">
        <f>'Curs, Seminar'!B20</f>
        <v/>
      </c>
      <c r="B21" s="92" t="str">
        <f>IF(NOT(ISBLANK('Curs, Seminar'!C20)),'Curs, Seminar'!C20,"")</f>
        <v/>
      </c>
      <c r="C21" s="83" t="str">
        <f>IF('Curs, Seminar'!E20&lt;&gt;"a","",'Curs, Seminar'!E20)</f>
        <v/>
      </c>
      <c r="D21" s="83" t="str">
        <f>IF('Curs, Seminar'!F20&lt;&gt;"a","",'Curs, Seminar'!F20)</f>
        <v/>
      </c>
      <c r="E21" s="83" t="str">
        <f>IF('Curs, Seminar'!G20&lt;&gt;"a","",'Curs, Seminar'!G20)</f>
        <v/>
      </c>
      <c r="F21" s="83" t="str">
        <f>IF('Curs, Seminar'!H20&lt;&gt;"a","",'Curs, Seminar'!H20)</f>
        <v/>
      </c>
      <c r="G21" s="83" t="str">
        <f>IF('Curs, Seminar'!I20&lt;&gt;"a","",'Curs, Seminar'!I20)</f>
        <v/>
      </c>
      <c r="H21" s="83" t="str">
        <f>IF('Curs, Seminar'!K20&lt;&gt;"a","",'Curs, Seminar'!K20)</f>
        <v/>
      </c>
      <c r="I21" s="80"/>
      <c r="J21" s="80"/>
      <c r="K21" s="79"/>
      <c r="M21" s="164"/>
      <c r="N21" s="167"/>
      <c r="O21" s="179"/>
      <c r="P21" s="153"/>
    </row>
    <row r="22" spans="1:16" ht="19.95" customHeight="1" x14ac:dyDescent="0.3">
      <c r="A22" s="91" t="str">
        <f>'Curs, Seminar'!B21</f>
        <v/>
      </c>
      <c r="B22" s="92" t="str">
        <f>IF(NOT(ISBLANK('Curs, Seminar'!C21)),'Curs, Seminar'!C21,"")</f>
        <v/>
      </c>
      <c r="C22" s="83" t="str">
        <f>IF('Curs, Seminar'!E21&lt;&gt;"a","",'Curs, Seminar'!E21)</f>
        <v/>
      </c>
      <c r="D22" s="83" t="str">
        <f>IF('Curs, Seminar'!F21&lt;&gt;"a","",'Curs, Seminar'!F21)</f>
        <v/>
      </c>
      <c r="E22" s="83" t="str">
        <f>IF('Curs, Seminar'!G21&lt;&gt;"a","",'Curs, Seminar'!G21)</f>
        <v/>
      </c>
      <c r="F22" s="83" t="str">
        <f>IF('Curs, Seminar'!H21&lt;&gt;"a","",'Curs, Seminar'!H21)</f>
        <v/>
      </c>
      <c r="G22" s="83" t="str">
        <f>IF('Curs, Seminar'!I21&lt;&gt;"a","",'Curs, Seminar'!I21)</f>
        <v/>
      </c>
      <c r="H22" s="83" t="str">
        <f>IF('Curs, Seminar'!K21&lt;&gt;"a","",'Curs, Seminar'!K21)</f>
        <v/>
      </c>
      <c r="I22" s="80"/>
      <c r="J22" s="80"/>
      <c r="K22" s="79"/>
      <c r="M22" s="162" t="str">
        <f>H5</f>
        <v/>
      </c>
      <c r="N22" s="171" t="s">
        <v>89</v>
      </c>
      <c r="O22" s="174"/>
      <c r="P22" s="152"/>
    </row>
    <row r="23" spans="1:16" ht="19.95" customHeight="1" x14ac:dyDescent="0.3">
      <c r="A23" s="91" t="str">
        <f>'Curs, Seminar'!B22</f>
        <v/>
      </c>
      <c r="B23" s="92" t="str">
        <f>IF(NOT(ISBLANK('Curs, Seminar'!C22)),'Curs, Seminar'!C22,"")</f>
        <v/>
      </c>
      <c r="C23" s="83" t="str">
        <f>IF('Curs, Seminar'!E22&lt;&gt;"a","",'Curs, Seminar'!E22)</f>
        <v/>
      </c>
      <c r="D23" s="83" t="str">
        <f>IF('Curs, Seminar'!F22&lt;&gt;"a","",'Curs, Seminar'!F22)</f>
        <v/>
      </c>
      <c r="E23" s="83" t="str">
        <f>IF('Curs, Seminar'!G22&lt;&gt;"a","",'Curs, Seminar'!G22)</f>
        <v/>
      </c>
      <c r="F23" s="83" t="str">
        <f>IF('Curs, Seminar'!H22&lt;&gt;"a","",'Curs, Seminar'!H22)</f>
        <v/>
      </c>
      <c r="G23" s="83" t="str">
        <f>IF('Curs, Seminar'!I22&lt;&gt;"a","",'Curs, Seminar'!I22)</f>
        <v/>
      </c>
      <c r="H23" s="83" t="str">
        <f>IF('Curs, Seminar'!K22&lt;&gt;"a","",'Curs, Seminar'!K22)</f>
        <v/>
      </c>
      <c r="I23" s="80"/>
      <c r="J23" s="80"/>
      <c r="K23" s="79"/>
      <c r="M23" s="163"/>
      <c r="N23" s="172"/>
      <c r="O23" s="175"/>
      <c r="P23" s="161"/>
    </row>
    <row r="24" spans="1:16" ht="19.8" customHeight="1" x14ac:dyDescent="0.3">
      <c r="A24" s="91" t="str">
        <f>'Curs, Seminar'!B23</f>
        <v/>
      </c>
      <c r="B24" s="92" t="str">
        <f>IF(NOT(ISBLANK('Curs, Seminar'!C23)),'Curs, Seminar'!C23,"")</f>
        <v/>
      </c>
      <c r="C24" s="83" t="str">
        <f>IF('Curs, Seminar'!E23&lt;&gt;"a","",'Curs, Seminar'!E23)</f>
        <v/>
      </c>
      <c r="D24" s="83" t="str">
        <f>IF('Curs, Seminar'!F23&lt;&gt;"a","",'Curs, Seminar'!F23)</f>
        <v/>
      </c>
      <c r="E24" s="83" t="str">
        <f>IF('Curs, Seminar'!G23&lt;&gt;"a","",'Curs, Seminar'!G23)</f>
        <v/>
      </c>
      <c r="F24" s="83" t="str">
        <f>IF('Curs, Seminar'!H23&lt;&gt;"a","",'Curs, Seminar'!H23)</f>
        <v/>
      </c>
      <c r="G24" s="83" t="str">
        <f>IF('Curs, Seminar'!I23&lt;&gt;"a","",'Curs, Seminar'!I23)</f>
        <v/>
      </c>
      <c r="H24" s="83" t="str">
        <f>IF('Curs, Seminar'!K23&lt;&gt;"a","",'Curs, Seminar'!K23)</f>
        <v/>
      </c>
      <c r="I24" s="80"/>
      <c r="J24" s="80"/>
      <c r="K24" s="79"/>
      <c r="M24" s="163"/>
      <c r="N24" s="172"/>
      <c r="O24" s="175"/>
      <c r="P24" s="161"/>
    </row>
    <row r="25" spans="1:16" ht="19.95" customHeight="1" x14ac:dyDescent="0.3">
      <c r="A25" s="91" t="str">
        <f>'Curs, Seminar'!B24</f>
        <v/>
      </c>
      <c r="B25" s="92" t="str">
        <f>IF(NOT(ISBLANK('Curs, Seminar'!C24)),'Curs, Seminar'!C24,"")</f>
        <v/>
      </c>
      <c r="C25" s="83" t="str">
        <f>IF('Curs, Seminar'!E24&lt;&gt;"a","",'Curs, Seminar'!E24)</f>
        <v/>
      </c>
      <c r="D25" s="83" t="str">
        <f>IF('Curs, Seminar'!F24&lt;&gt;"a","",'Curs, Seminar'!F24)</f>
        <v/>
      </c>
      <c r="E25" s="83" t="str">
        <f>IF('Curs, Seminar'!G24&lt;&gt;"a","",'Curs, Seminar'!G24)</f>
        <v/>
      </c>
      <c r="F25" s="83" t="str">
        <f>IF('Curs, Seminar'!H24&lt;&gt;"a","",'Curs, Seminar'!H24)</f>
        <v/>
      </c>
      <c r="G25" s="83" t="str">
        <f>IF('Curs, Seminar'!I24&lt;&gt;"a","",'Curs, Seminar'!I24)</f>
        <v/>
      </c>
      <c r="H25" s="83" t="str">
        <f>IF('Curs, Seminar'!K24&lt;&gt;"a","",'Curs, Seminar'!K24)</f>
        <v/>
      </c>
      <c r="I25" s="80"/>
      <c r="J25" s="80"/>
      <c r="K25" s="79"/>
      <c r="M25" s="164"/>
      <c r="N25" s="173"/>
      <c r="O25" s="176"/>
      <c r="P25" s="153"/>
    </row>
    <row r="26" spans="1:16" ht="19.95" customHeight="1" x14ac:dyDescent="0.3">
      <c r="A26" s="91" t="str">
        <f>'Curs, Seminar'!B25</f>
        <v/>
      </c>
      <c r="B26" s="92" t="str">
        <f>IF(NOT(ISBLANK('Curs, Seminar'!C25)),'Curs, Seminar'!C25,"")</f>
        <v/>
      </c>
      <c r="C26" s="83" t="str">
        <f>IF('Curs, Seminar'!E25&lt;&gt;"a","",'Curs, Seminar'!E25)</f>
        <v/>
      </c>
      <c r="D26" s="83" t="str">
        <f>IF('Curs, Seminar'!F25&lt;&gt;"a","",'Curs, Seminar'!F25)</f>
        <v/>
      </c>
      <c r="E26" s="83" t="str">
        <f>IF('Curs, Seminar'!G25&lt;&gt;"a","",'Curs, Seminar'!G25)</f>
        <v/>
      </c>
      <c r="F26" s="83" t="str">
        <f>IF('Curs, Seminar'!H25&lt;&gt;"a","",'Curs, Seminar'!H25)</f>
        <v/>
      </c>
      <c r="G26" s="83" t="str">
        <f>IF('Curs, Seminar'!I25&lt;&gt;"a","",'Curs, Seminar'!I25)</f>
        <v/>
      </c>
      <c r="H26" s="83" t="str">
        <f>IF('Curs, Seminar'!K25&lt;&gt;"a","",'Curs, Seminar'!K25)</f>
        <v/>
      </c>
      <c r="I26" s="80"/>
      <c r="J26" s="80"/>
      <c r="K26" s="79"/>
      <c r="M26" s="95"/>
      <c r="N26" s="97"/>
      <c r="O26" s="98"/>
      <c r="P26" s="90"/>
    </row>
    <row r="27" spans="1:16" ht="19.95" customHeight="1" x14ac:dyDescent="0.3">
      <c r="A27" s="91" t="str">
        <f>'Curs, Seminar'!B26</f>
        <v/>
      </c>
      <c r="B27" s="92" t="str">
        <f>IF(NOT(ISBLANK('Curs, Seminar'!C26)),'Curs, Seminar'!C26,"")</f>
        <v/>
      </c>
      <c r="C27" s="83" t="str">
        <f>IF('Curs, Seminar'!E26&lt;&gt;"a","",'Curs, Seminar'!E26)</f>
        <v/>
      </c>
      <c r="D27" s="83" t="str">
        <f>IF('Curs, Seminar'!F26&lt;&gt;"a","",'Curs, Seminar'!F26)</f>
        <v/>
      </c>
      <c r="E27" s="83" t="str">
        <f>IF('Curs, Seminar'!G26&lt;&gt;"a","",'Curs, Seminar'!G26)</f>
        <v/>
      </c>
      <c r="F27" s="83" t="str">
        <f>IF('Curs, Seminar'!H26&lt;&gt;"a","",'Curs, Seminar'!H26)</f>
        <v/>
      </c>
      <c r="G27" s="83" t="str">
        <f>IF('Curs, Seminar'!I26&lt;&gt;"a","",'Curs, Seminar'!I26)</f>
        <v/>
      </c>
      <c r="H27" s="83" t="str">
        <f>IF('Curs, Seminar'!K26&lt;&gt;"a","",'Curs, Seminar'!K26)</f>
        <v/>
      </c>
      <c r="I27" s="80"/>
      <c r="J27" s="80"/>
      <c r="K27" s="79"/>
      <c r="M27" s="95"/>
      <c r="N27" s="97" t="s">
        <v>66</v>
      </c>
      <c r="O27" s="98">
        <v>12</v>
      </c>
      <c r="P27" s="90"/>
    </row>
    <row r="28" spans="1:16" ht="19.95" customHeight="1" x14ac:dyDescent="0.3">
      <c r="A28" s="91" t="str">
        <f>'Curs, Seminar'!B27</f>
        <v/>
      </c>
      <c r="B28" s="92" t="str">
        <f>IF(NOT(ISBLANK('Curs, Seminar'!C27)),'Curs, Seminar'!C27,"")</f>
        <v/>
      </c>
      <c r="C28" s="83" t="str">
        <f>IF('Curs, Seminar'!E27&lt;&gt;"a","",'Curs, Seminar'!E27)</f>
        <v/>
      </c>
      <c r="D28" s="83" t="str">
        <f>IF('Curs, Seminar'!F27&lt;&gt;"a","",'Curs, Seminar'!F27)</f>
        <v/>
      </c>
      <c r="E28" s="83" t="str">
        <f>IF('Curs, Seminar'!G27&lt;&gt;"a","",'Curs, Seminar'!G27)</f>
        <v/>
      </c>
      <c r="F28" s="83" t="str">
        <f>IF('Curs, Seminar'!H27&lt;&gt;"a","",'Curs, Seminar'!H27)</f>
        <v/>
      </c>
      <c r="G28" s="83" t="str">
        <f>IF('Curs, Seminar'!I27&lt;&gt;"a","",'Curs, Seminar'!I27)</f>
        <v/>
      </c>
      <c r="H28" s="83" t="str">
        <f>IF('Curs, Seminar'!K27&lt;&gt;"a","",'Curs, Seminar'!K27)</f>
        <v/>
      </c>
      <c r="I28" s="80"/>
      <c r="J28" s="80"/>
      <c r="K28" s="79"/>
      <c r="M28" s="95"/>
      <c r="N28" s="97" t="s">
        <v>67</v>
      </c>
      <c r="O28" s="98">
        <f>SUM(O7:O25)</f>
        <v>2</v>
      </c>
      <c r="P28" s="90"/>
    </row>
    <row r="29" spans="1:16" ht="19.95" customHeight="1" x14ac:dyDescent="0.3">
      <c r="A29" s="91" t="str">
        <f>'Curs, Seminar'!B28</f>
        <v/>
      </c>
      <c r="B29" s="92" t="str">
        <f>IF(NOT(ISBLANK('Curs, Seminar'!C28)),'Curs, Seminar'!C28,"")</f>
        <v/>
      </c>
      <c r="C29" s="83" t="str">
        <f>IF('Curs, Seminar'!E28&lt;&gt;"a","",'Curs, Seminar'!E28)</f>
        <v/>
      </c>
      <c r="D29" s="83" t="str">
        <f>IF('Curs, Seminar'!F28&lt;&gt;"a","",'Curs, Seminar'!F28)</f>
        <v/>
      </c>
      <c r="E29" s="83" t="str">
        <f>IF('Curs, Seminar'!G28&lt;&gt;"a","",'Curs, Seminar'!G28)</f>
        <v/>
      </c>
      <c r="F29" s="83" t="str">
        <f>IF('Curs, Seminar'!H28&lt;&gt;"a","",'Curs, Seminar'!H28)</f>
        <v/>
      </c>
      <c r="G29" s="83" t="str">
        <f>IF('Curs, Seminar'!I28&lt;&gt;"a","",'Curs, Seminar'!I28)</f>
        <v/>
      </c>
      <c r="H29" s="83" t="str">
        <f>IF('Curs, Seminar'!K28&lt;&gt;"a","",'Curs, Seminar'!K28)</f>
        <v/>
      </c>
      <c r="I29" s="80"/>
      <c r="J29" s="80"/>
      <c r="K29" s="79"/>
      <c r="M29" s="95"/>
      <c r="N29" s="94"/>
      <c r="O29" s="90"/>
      <c r="P29" s="90"/>
    </row>
    <row r="30" spans="1:16" ht="19.95" customHeight="1" x14ac:dyDescent="0.3">
      <c r="A30" s="91" t="str">
        <f>'Curs, Seminar'!B29</f>
        <v/>
      </c>
      <c r="B30" s="92" t="str">
        <f>IF(NOT(ISBLANK('Curs, Seminar'!C29)),'Curs, Seminar'!C29,"")</f>
        <v/>
      </c>
      <c r="C30" s="83" t="str">
        <f>IF('Curs, Seminar'!E29&lt;&gt;"a","",'Curs, Seminar'!E29)</f>
        <v/>
      </c>
      <c r="D30" s="83" t="str">
        <f>IF('Curs, Seminar'!F29&lt;&gt;"a","",'Curs, Seminar'!F29)</f>
        <v/>
      </c>
      <c r="E30" s="83" t="str">
        <f>IF('Curs, Seminar'!G29&lt;&gt;"a","",'Curs, Seminar'!G29)</f>
        <v/>
      </c>
      <c r="F30" s="83" t="str">
        <f>IF('Curs, Seminar'!H29&lt;&gt;"a","",'Curs, Seminar'!H29)</f>
        <v/>
      </c>
      <c r="G30" s="83" t="str">
        <f>IF('Curs, Seminar'!I29&lt;&gt;"a","",'Curs, Seminar'!I29)</f>
        <v/>
      </c>
      <c r="H30" s="83" t="str">
        <f>IF('Curs, Seminar'!K29&lt;&gt;"a","",'Curs, Seminar'!K29)</f>
        <v/>
      </c>
      <c r="I30" s="80"/>
      <c r="J30" s="80"/>
      <c r="K30" s="79"/>
      <c r="M30" s="95"/>
      <c r="N30" s="94"/>
      <c r="O30" s="90"/>
      <c r="P30" s="90"/>
    </row>
    <row r="31" spans="1:16" ht="19.95" customHeight="1" x14ac:dyDescent="0.3">
      <c r="A31" s="91" t="str">
        <f>'Curs, Seminar'!B30</f>
        <v/>
      </c>
      <c r="B31" s="92" t="str">
        <f>IF(NOT(ISBLANK('Curs, Seminar'!C30)),'Curs, Seminar'!C30,"")</f>
        <v/>
      </c>
      <c r="C31" s="83" t="str">
        <f>IF('Curs, Seminar'!E30&lt;&gt;"a","",'Curs, Seminar'!E30)</f>
        <v/>
      </c>
      <c r="D31" s="83" t="str">
        <f>IF('Curs, Seminar'!F30&lt;&gt;"a","",'Curs, Seminar'!F30)</f>
        <v/>
      </c>
      <c r="E31" s="83" t="str">
        <f>IF('Curs, Seminar'!G30&lt;&gt;"a","",'Curs, Seminar'!G30)</f>
        <v/>
      </c>
      <c r="F31" s="83" t="str">
        <f>IF('Curs, Seminar'!H30&lt;&gt;"a","",'Curs, Seminar'!H30)</f>
        <v/>
      </c>
      <c r="G31" s="83" t="str">
        <f>IF('Curs, Seminar'!I30&lt;&gt;"a","",'Curs, Seminar'!I30)</f>
        <v/>
      </c>
      <c r="H31" s="83" t="str">
        <f>IF('Curs, Seminar'!K30&lt;&gt;"a","",'Curs, Seminar'!K30)</f>
        <v/>
      </c>
      <c r="I31" s="80"/>
      <c r="J31" s="80"/>
      <c r="K31" s="79"/>
      <c r="M31" s="95"/>
      <c r="N31" s="94"/>
      <c r="O31" s="90"/>
      <c r="P31" s="90"/>
    </row>
    <row r="32" spans="1:16" ht="19.95" customHeight="1" x14ac:dyDescent="0.3">
      <c r="A32" s="91" t="str">
        <f>'Curs, Seminar'!B31</f>
        <v/>
      </c>
      <c r="B32" s="92" t="str">
        <f>IF(NOT(ISBLANK('Curs, Seminar'!C31)),'Curs, Seminar'!C31,"")</f>
        <v/>
      </c>
      <c r="C32" s="83" t="str">
        <f>IF('Curs, Seminar'!E31&lt;&gt;"a","",'Curs, Seminar'!E31)</f>
        <v/>
      </c>
      <c r="D32" s="83" t="str">
        <f>IF('Curs, Seminar'!F31&lt;&gt;"a","",'Curs, Seminar'!F31)</f>
        <v/>
      </c>
      <c r="E32" s="83" t="str">
        <f>IF('Curs, Seminar'!G31&lt;&gt;"a","",'Curs, Seminar'!G31)</f>
        <v/>
      </c>
      <c r="F32" s="83" t="str">
        <f>IF('Curs, Seminar'!H31&lt;&gt;"a","",'Curs, Seminar'!H31)</f>
        <v/>
      </c>
      <c r="G32" s="83" t="str">
        <f>IF('Curs, Seminar'!I31&lt;&gt;"a","",'Curs, Seminar'!I31)</f>
        <v/>
      </c>
      <c r="H32" s="83" t="str">
        <f>IF('Curs, Seminar'!K31&lt;&gt;"a","",'Curs, Seminar'!K31)</f>
        <v/>
      </c>
      <c r="I32" s="80"/>
      <c r="J32" s="80"/>
      <c r="K32" s="79"/>
      <c r="M32" s="95"/>
      <c r="N32" s="94"/>
      <c r="O32" s="90"/>
      <c r="P32" s="90"/>
    </row>
    <row r="33" spans="1:16" ht="19.95" customHeight="1" x14ac:dyDescent="0.3">
      <c r="A33" s="91" t="str">
        <f>'Curs, Seminar'!B32</f>
        <v/>
      </c>
      <c r="B33" s="92" t="str">
        <f>IF(NOT(ISBLANK('Curs, Seminar'!C32)),'Curs, Seminar'!C32,"")</f>
        <v/>
      </c>
      <c r="C33" s="83" t="str">
        <f>IF('Curs, Seminar'!E32&lt;&gt;"a","",'Curs, Seminar'!E32)</f>
        <v/>
      </c>
      <c r="D33" s="83" t="str">
        <f>IF('Curs, Seminar'!F32&lt;&gt;"a","",'Curs, Seminar'!F32)</f>
        <v/>
      </c>
      <c r="E33" s="83" t="str">
        <f>IF('Curs, Seminar'!G32&lt;&gt;"a","",'Curs, Seminar'!G32)</f>
        <v/>
      </c>
      <c r="F33" s="83" t="str">
        <f>IF('Curs, Seminar'!H32&lt;&gt;"a","",'Curs, Seminar'!H32)</f>
        <v/>
      </c>
      <c r="G33" s="83" t="str">
        <f>IF('Curs, Seminar'!I32&lt;&gt;"a","",'Curs, Seminar'!I32)</f>
        <v/>
      </c>
      <c r="H33" s="83" t="str">
        <f>IF('Curs, Seminar'!K32&lt;&gt;"a","",'Curs, Seminar'!K32)</f>
        <v/>
      </c>
      <c r="I33" s="80"/>
      <c r="J33" s="80"/>
      <c r="K33" s="79"/>
      <c r="M33" s="95"/>
      <c r="N33" s="94"/>
      <c r="O33" s="90"/>
      <c r="P33" s="90"/>
    </row>
    <row r="34" spans="1:16" ht="19.95" customHeight="1" x14ac:dyDescent="0.3">
      <c r="A34" s="91" t="str">
        <f>'Curs, Seminar'!B33</f>
        <v/>
      </c>
      <c r="B34" s="92" t="str">
        <f>IF(NOT(ISBLANK('Curs, Seminar'!C33)),'Curs, Seminar'!C33,"")</f>
        <v/>
      </c>
      <c r="C34" s="83" t="str">
        <f>IF('Curs, Seminar'!E33&lt;&gt;"a","",'Curs, Seminar'!E33)</f>
        <v/>
      </c>
      <c r="D34" s="83" t="str">
        <f>IF('Curs, Seminar'!F33&lt;&gt;"a","",'Curs, Seminar'!F33)</f>
        <v/>
      </c>
      <c r="E34" s="83" t="str">
        <f>IF('Curs, Seminar'!G33&lt;&gt;"a","",'Curs, Seminar'!G33)</f>
        <v/>
      </c>
      <c r="F34" s="83" t="str">
        <f>IF('Curs, Seminar'!H33&lt;&gt;"a","",'Curs, Seminar'!H33)</f>
        <v/>
      </c>
      <c r="G34" s="83" t="str">
        <f>IF('Curs, Seminar'!I33&lt;&gt;"a","",'Curs, Seminar'!I33)</f>
        <v/>
      </c>
      <c r="H34" s="83" t="str">
        <f>IF('Curs, Seminar'!K33&lt;&gt;"a","",'Curs, Seminar'!K33)</f>
        <v/>
      </c>
      <c r="I34" s="80"/>
      <c r="J34" s="80"/>
      <c r="K34" s="79"/>
      <c r="M34" s="95"/>
      <c r="N34" s="94"/>
      <c r="O34" s="90"/>
      <c r="P34" s="90"/>
    </row>
    <row r="35" spans="1:16" ht="19.95" customHeight="1" x14ac:dyDescent="0.3">
      <c r="A35" s="91" t="str">
        <f>'Curs, Seminar'!B34</f>
        <v/>
      </c>
      <c r="B35" s="92" t="str">
        <f>IF(NOT(ISBLANK('Curs, Seminar'!C34)),'Curs, Seminar'!C34,"")</f>
        <v/>
      </c>
      <c r="C35" s="83" t="str">
        <f>IF('Curs, Seminar'!E34&lt;&gt;"a","",'Curs, Seminar'!E34)</f>
        <v/>
      </c>
      <c r="D35" s="83" t="str">
        <f>IF('Curs, Seminar'!F34&lt;&gt;"a","",'Curs, Seminar'!F34)</f>
        <v/>
      </c>
      <c r="E35" s="83" t="str">
        <f>IF('Curs, Seminar'!G34&lt;&gt;"a","",'Curs, Seminar'!G34)</f>
        <v/>
      </c>
      <c r="F35" s="83" t="str">
        <f>IF('Curs, Seminar'!H34&lt;&gt;"a","",'Curs, Seminar'!H34)</f>
        <v/>
      </c>
      <c r="G35" s="83" t="str">
        <f>IF('Curs, Seminar'!I34&lt;&gt;"a","",'Curs, Seminar'!I34)</f>
        <v/>
      </c>
      <c r="H35" s="83" t="str">
        <f>IF('Curs, Seminar'!K34&lt;&gt;"a","",'Curs, Seminar'!K34)</f>
        <v/>
      </c>
      <c r="I35" s="80"/>
      <c r="J35" s="80"/>
      <c r="K35" s="79"/>
      <c r="M35" s="95"/>
      <c r="N35" s="94"/>
      <c r="O35" s="90"/>
      <c r="P35" s="90"/>
    </row>
    <row r="36" spans="1:16" ht="19.95" customHeight="1" x14ac:dyDescent="0.3">
      <c r="A36" s="91" t="str">
        <f>'Curs, Seminar'!B35</f>
        <v/>
      </c>
      <c r="B36" s="92" t="str">
        <f>IF(NOT(ISBLANK('Curs, Seminar'!C35)),'Curs, Seminar'!C35,"")</f>
        <v/>
      </c>
      <c r="C36" s="83" t="str">
        <f>IF('Curs, Seminar'!E35&lt;&gt;"a","",'Curs, Seminar'!E35)</f>
        <v/>
      </c>
      <c r="D36" s="83" t="str">
        <f>IF('Curs, Seminar'!F35&lt;&gt;"a","",'Curs, Seminar'!F35)</f>
        <v/>
      </c>
      <c r="E36" s="83" t="str">
        <f>IF('Curs, Seminar'!G35&lt;&gt;"a","",'Curs, Seminar'!G35)</f>
        <v/>
      </c>
      <c r="F36" s="83" t="str">
        <f>IF('Curs, Seminar'!H35&lt;&gt;"a","",'Curs, Seminar'!H35)</f>
        <v/>
      </c>
      <c r="G36" s="83" t="str">
        <f>IF('Curs, Seminar'!I35&lt;&gt;"a","",'Curs, Seminar'!I35)</f>
        <v/>
      </c>
      <c r="H36" s="83" t="str">
        <f>IF('Curs, Seminar'!K35&lt;&gt;"a","",'Curs, Seminar'!K35)</f>
        <v/>
      </c>
      <c r="I36" s="80"/>
      <c r="J36" s="80"/>
      <c r="K36" s="79"/>
      <c r="M36" s="95"/>
      <c r="N36" s="94"/>
      <c r="O36" s="90"/>
      <c r="P36" s="90"/>
    </row>
    <row r="37" spans="1:16" ht="19.95" customHeight="1" x14ac:dyDescent="0.3">
      <c r="A37" s="91" t="str">
        <f>'Curs, Seminar'!B36</f>
        <v/>
      </c>
      <c r="B37" s="92" t="str">
        <f>IF(NOT(ISBLANK('Curs, Seminar'!C36)),'Curs, Seminar'!C36,"")</f>
        <v/>
      </c>
      <c r="C37" s="83" t="str">
        <f>IF('Curs, Seminar'!E36&lt;&gt;"a","",'Curs, Seminar'!E36)</f>
        <v/>
      </c>
      <c r="D37" s="83" t="str">
        <f>IF('Curs, Seminar'!F36&lt;&gt;"a","",'Curs, Seminar'!F36)</f>
        <v/>
      </c>
      <c r="E37" s="83" t="str">
        <f>IF('Curs, Seminar'!G36&lt;&gt;"a","",'Curs, Seminar'!G36)</f>
        <v/>
      </c>
      <c r="F37" s="83" t="str">
        <f>IF('Curs, Seminar'!H36&lt;&gt;"a","",'Curs, Seminar'!H36)</f>
        <v/>
      </c>
      <c r="G37" s="83" t="str">
        <f>IF('Curs, Seminar'!I36&lt;&gt;"a","",'Curs, Seminar'!I36)</f>
        <v/>
      </c>
      <c r="H37" s="83" t="str">
        <f>IF('Curs, Seminar'!K36&lt;&gt;"a","",'Curs, Seminar'!K36)</f>
        <v/>
      </c>
      <c r="I37" s="80"/>
      <c r="J37" s="80"/>
      <c r="K37" s="79"/>
      <c r="M37" s="95"/>
      <c r="N37" s="94"/>
      <c r="O37" s="90"/>
      <c r="P37" s="90"/>
    </row>
    <row r="38" spans="1:16" ht="19.95" customHeight="1" x14ac:dyDescent="0.3">
      <c r="A38" s="91" t="str">
        <f>'Curs, Seminar'!B37</f>
        <v/>
      </c>
      <c r="B38" s="92" t="str">
        <f>IF(NOT(ISBLANK('Curs, Seminar'!C37)),'Curs, Seminar'!C37,"")</f>
        <v/>
      </c>
      <c r="C38" s="83" t="str">
        <f>IF('Curs, Seminar'!E37&lt;&gt;"a","",'Curs, Seminar'!E37)</f>
        <v/>
      </c>
      <c r="D38" s="83" t="str">
        <f>IF('Curs, Seminar'!F37&lt;&gt;"a","",'Curs, Seminar'!F37)</f>
        <v/>
      </c>
      <c r="E38" s="83" t="str">
        <f>IF('Curs, Seminar'!G37&lt;&gt;"a","",'Curs, Seminar'!G37)</f>
        <v/>
      </c>
      <c r="F38" s="83" t="str">
        <f>IF('Curs, Seminar'!H37&lt;&gt;"a","",'Curs, Seminar'!H37)</f>
        <v/>
      </c>
      <c r="G38" s="83" t="str">
        <f>IF('Curs, Seminar'!I37&lt;&gt;"a","",'Curs, Seminar'!I37)</f>
        <v/>
      </c>
      <c r="H38" s="83" t="str">
        <f>IF('Curs, Seminar'!K37&lt;&gt;"a","",'Curs, Seminar'!K37)</f>
        <v/>
      </c>
      <c r="I38" s="80"/>
      <c r="J38" s="80"/>
      <c r="K38" s="79"/>
      <c r="M38" s="95"/>
      <c r="N38" s="94"/>
      <c r="O38" s="98"/>
      <c r="P38" s="90"/>
    </row>
    <row r="39" spans="1:16" ht="19.95" customHeight="1" x14ac:dyDescent="0.3">
      <c r="A39" s="91" t="str">
        <f>'Curs, Seminar'!B38</f>
        <v/>
      </c>
      <c r="B39" s="92" t="str">
        <f>IF(NOT(ISBLANK('Curs, Seminar'!C38)),'Curs, Seminar'!C38,"")</f>
        <v/>
      </c>
      <c r="C39" s="83" t="str">
        <f>IF('Curs, Seminar'!E38&lt;&gt;"a","",'Curs, Seminar'!E38)</f>
        <v/>
      </c>
      <c r="D39" s="83" t="str">
        <f>IF('Curs, Seminar'!F38&lt;&gt;"a","",'Curs, Seminar'!F38)</f>
        <v/>
      </c>
      <c r="E39" s="83" t="str">
        <f>IF('Curs, Seminar'!G38&lt;&gt;"a","",'Curs, Seminar'!G38)</f>
        <v/>
      </c>
      <c r="F39" s="83" t="str">
        <f>IF('Curs, Seminar'!H38&lt;&gt;"a","",'Curs, Seminar'!H38)</f>
        <v/>
      </c>
      <c r="G39" s="83" t="str">
        <f>IF('Curs, Seminar'!I38&lt;&gt;"a","",'Curs, Seminar'!I38)</f>
        <v/>
      </c>
      <c r="H39" s="83" t="str">
        <f>IF('Curs, Seminar'!K38&lt;&gt;"a","",'Curs, Seminar'!K38)</f>
        <v/>
      </c>
      <c r="I39" s="80"/>
      <c r="J39" s="80"/>
      <c r="K39" s="79"/>
      <c r="M39" s="95"/>
      <c r="N39" s="97"/>
      <c r="O39" s="98"/>
      <c r="P39" s="90"/>
    </row>
    <row r="40" spans="1:16" ht="19.95" customHeight="1" x14ac:dyDescent="0.3">
      <c r="A40" s="91" t="str">
        <f>'Curs, Seminar'!B39</f>
        <v/>
      </c>
      <c r="B40" s="92" t="str">
        <f>IF(NOT(ISBLANK('Curs, Seminar'!C39)),'Curs, Seminar'!C39,"")</f>
        <v/>
      </c>
      <c r="C40" s="83" t="str">
        <f>IF('Curs, Seminar'!E39&lt;&gt;"a","",'Curs, Seminar'!E39)</f>
        <v/>
      </c>
      <c r="D40" s="83" t="str">
        <f>IF('Curs, Seminar'!F39&lt;&gt;"a","",'Curs, Seminar'!F39)</f>
        <v/>
      </c>
      <c r="E40" s="83" t="str">
        <f>IF('Curs, Seminar'!G39&lt;&gt;"a","",'Curs, Seminar'!G39)</f>
        <v/>
      </c>
      <c r="F40" s="83" t="str">
        <f>IF('Curs, Seminar'!H39&lt;&gt;"a","",'Curs, Seminar'!H39)</f>
        <v/>
      </c>
      <c r="G40" s="83" t="str">
        <f>IF('Curs, Seminar'!I39&lt;&gt;"a","",'Curs, Seminar'!I39)</f>
        <v/>
      </c>
      <c r="H40" s="83" t="str">
        <f>IF('Curs, Seminar'!K39&lt;&gt;"a","",'Curs, Seminar'!K39)</f>
        <v/>
      </c>
      <c r="I40" s="80"/>
      <c r="J40" s="80"/>
      <c r="K40" s="79"/>
      <c r="M40" s="95"/>
      <c r="N40" s="97"/>
      <c r="O40" s="98"/>
      <c r="P40" s="90"/>
    </row>
    <row r="41" spans="1:16" ht="19.95" customHeight="1" x14ac:dyDescent="0.3">
      <c r="A41" s="91" t="str">
        <f>'Curs, Seminar'!B40</f>
        <v/>
      </c>
      <c r="B41" s="92" t="str">
        <f>IF(NOT(ISBLANK('Curs, Seminar'!C40)),'Curs, Seminar'!C40,"")</f>
        <v/>
      </c>
      <c r="C41" s="83" t="str">
        <f>IF('Curs, Seminar'!E40&lt;&gt;"a","",'Curs, Seminar'!E40)</f>
        <v/>
      </c>
      <c r="D41" s="83" t="str">
        <f>IF('Curs, Seminar'!F40&lt;&gt;"a","",'Curs, Seminar'!F40)</f>
        <v/>
      </c>
      <c r="E41" s="83" t="str">
        <f>IF('Curs, Seminar'!G40&lt;&gt;"a","",'Curs, Seminar'!G40)</f>
        <v/>
      </c>
      <c r="F41" s="83" t="str">
        <f>IF('Curs, Seminar'!H40&lt;&gt;"a","",'Curs, Seminar'!H40)</f>
        <v/>
      </c>
      <c r="G41" s="83" t="str">
        <f>IF('Curs, Seminar'!I40&lt;&gt;"a","",'Curs, Seminar'!I40)</f>
        <v/>
      </c>
      <c r="H41" s="83" t="str">
        <f>IF('Curs, Seminar'!K40&lt;&gt;"a","",'Curs, Seminar'!K40)</f>
        <v/>
      </c>
      <c r="I41" s="80"/>
      <c r="J41" s="80"/>
      <c r="K41" s="79"/>
      <c r="M41" s="95"/>
      <c r="N41" s="97"/>
      <c r="O41" s="98"/>
      <c r="P41" s="90"/>
    </row>
    <row r="42" spans="1:16" ht="19.95" customHeight="1" x14ac:dyDescent="0.3">
      <c r="A42" s="91" t="str">
        <f>'Curs, Seminar'!B41</f>
        <v/>
      </c>
      <c r="B42" s="92" t="str">
        <f>IF(NOT(ISBLANK('Curs, Seminar'!C41)),'Curs, Seminar'!C41,"")</f>
        <v/>
      </c>
      <c r="C42" s="83" t="str">
        <f>IF('Curs, Seminar'!E41&lt;&gt;"a","",'Curs, Seminar'!E41)</f>
        <v/>
      </c>
      <c r="D42" s="83" t="str">
        <f>IF('Curs, Seminar'!F41&lt;&gt;"a","",'Curs, Seminar'!F41)</f>
        <v/>
      </c>
      <c r="E42" s="83" t="str">
        <f>IF('Curs, Seminar'!G41&lt;&gt;"a","",'Curs, Seminar'!G41)</f>
        <v/>
      </c>
      <c r="F42" s="83" t="str">
        <f>IF('Curs, Seminar'!H41&lt;&gt;"a","",'Curs, Seminar'!H41)</f>
        <v/>
      </c>
      <c r="G42" s="83" t="str">
        <f>IF('Curs, Seminar'!I41&lt;&gt;"a","",'Curs, Seminar'!I41)</f>
        <v/>
      </c>
      <c r="H42" s="83" t="str">
        <f>IF('Curs, Seminar'!K41&lt;&gt;"a","",'Curs, Seminar'!K41)</f>
        <v/>
      </c>
      <c r="I42" s="80"/>
      <c r="J42" s="80"/>
      <c r="K42" s="79"/>
      <c r="M42" s="95"/>
      <c r="N42" s="97"/>
      <c r="O42" s="98"/>
      <c r="P42" s="90"/>
    </row>
    <row r="43" spans="1:16" ht="19.95" customHeight="1" x14ac:dyDescent="0.3">
      <c r="A43" s="91" t="str">
        <f>'Curs, Seminar'!B42</f>
        <v/>
      </c>
      <c r="B43" s="92" t="str">
        <f>IF(NOT(ISBLANK('Curs, Seminar'!C42)),'Curs, Seminar'!C42,"")</f>
        <v/>
      </c>
      <c r="C43" s="83" t="str">
        <f>IF('Curs, Seminar'!E42&lt;&gt;"a","",'Curs, Seminar'!E42)</f>
        <v/>
      </c>
      <c r="D43" s="83" t="str">
        <f>IF('Curs, Seminar'!F42&lt;&gt;"a","",'Curs, Seminar'!F42)</f>
        <v/>
      </c>
      <c r="E43" s="83" t="str">
        <f>IF('Curs, Seminar'!G42&lt;&gt;"a","",'Curs, Seminar'!G42)</f>
        <v/>
      </c>
      <c r="F43" s="83" t="str">
        <f>IF('Curs, Seminar'!H42&lt;&gt;"a","",'Curs, Seminar'!H42)</f>
        <v/>
      </c>
      <c r="G43" s="83" t="str">
        <f>IF('Curs, Seminar'!I42&lt;&gt;"a","",'Curs, Seminar'!I42)</f>
        <v/>
      </c>
      <c r="H43" s="83" t="str">
        <f>IF('Curs, Seminar'!K42&lt;&gt;"a","",'Curs, Seminar'!K42)</f>
        <v/>
      </c>
      <c r="I43" s="80"/>
      <c r="J43" s="80"/>
      <c r="K43" s="79"/>
      <c r="M43" s="95"/>
      <c r="N43" s="94"/>
      <c r="O43" s="90"/>
      <c r="P43" s="90"/>
    </row>
    <row r="44" spans="1:16" ht="19.95" customHeight="1" x14ac:dyDescent="0.3">
      <c r="A44" s="91" t="str">
        <f>'Curs, Seminar'!B43</f>
        <v/>
      </c>
      <c r="B44" s="92" t="str">
        <f>IF(NOT(ISBLANK('Curs, Seminar'!C43)),'Curs, Seminar'!C43,"")</f>
        <v/>
      </c>
      <c r="C44" s="83" t="str">
        <f>IF('Curs, Seminar'!E43&lt;&gt;"a","",'Curs, Seminar'!E43)</f>
        <v/>
      </c>
      <c r="D44" s="83" t="str">
        <f>IF('Curs, Seminar'!F43&lt;&gt;"a","",'Curs, Seminar'!F43)</f>
        <v/>
      </c>
      <c r="E44" s="83" t="str">
        <f>IF('Curs, Seminar'!G43&lt;&gt;"a","",'Curs, Seminar'!G43)</f>
        <v/>
      </c>
      <c r="F44" s="83" t="str">
        <f>IF('Curs, Seminar'!H43&lt;&gt;"a","",'Curs, Seminar'!H43)</f>
        <v/>
      </c>
      <c r="G44" s="83" t="str">
        <f>IF('Curs, Seminar'!I43&lt;&gt;"a","",'Curs, Seminar'!I43)</f>
        <v/>
      </c>
      <c r="H44" s="83" t="str">
        <f>IF('Curs, Seminar'!K43&lt;&gt;"a","",'Curs, Seminar'!K43)</f>
        <v/>
      </c>
      <c r="I44" s="80"/>
      <c r="J44" s="80"/>
      <c r="K44" s="79"/>
    </row>
    <row r="45" spans="1:16" ht="19.95" customHeight="1" x14ac:dyDescent="0.3">
      <c r="A45" s="91" t="str">
        <f>'Curs, Seminar'!B44</f>
        <v/>
      </c>
      <c r="B45" s="92" t="str">
        <f>IF(NOT(ISBLANK('Curs, Seminar'!C44)),'Curs, Seminar'!C44,"")</f>
        <v/>
      </c>
      <c r="C45" s="83" t="str">
        <f>IF('Curs, Seminar'!E44&lt;&gt;"a","",'Curs, Seminar'!E44)</f>
        <v/>
      </c>
      <c r="D45" s="83" t="str">
        <f>IF('Curs, Seminar'!F44&lt;&gt;"a","",'Curs, Seminar'!F44)</f>
        <v/>
      </c>
      <c r="E45" s="83" t="str">
        <f>IF('Curs, Seminar'!G44&lt;&gt;"a","",'Curs, Seminar'!G44)</f>
        <v/>
      </c>
      <c r="F45" s="83" t="str">
        <f>IF('Curs, Seminar'!H44&lt;&gt;"a","",'Curs, Seminar'!H44)</f>
        <v/>
      </c>
      <c r="G45" s="83" t="str">
        <f>IF('Curs, Seminar'!I44&lt;&gt;"a","",'Curs, Seminar'!I44)</f>
        <v/>
      </c>
      <c r="H45" s="83" t="str">
        <f>IF('Curs, Seminar'!K44&lt;&gt;"a","",'Curs, Seminar'!K44)</f>
        <v/>
      </c>
      <c r="I45" s="80"/>
      <c r="J45" s="80"/>
      <c r="K45" s="79"/>
    </row>
    <row r="46" spans="1:16" ht="19.95" customHeight="1" x14ac:dyDescent="0.3">
      <c r="A46" s="91" t="str">
        <f>'Curs, Seminar'!B45</f>
        <v/>
      </c>
      <c r="B46" s="92" t="str">
        <f>IF(NOT(ISBLANK('Curs, Seminar'!C45)),'Curs, Seminar'!C45,"")</f>
        <v/>
      </c>
      <c r="C46" s="83" t="str">
        <f>IF('Curs, Seminar'!E45&lt;&gt;"a","",'Curs, Seminar'!E45)</f>
        <v/>
      </c>
      <c r="D46" s="83" t="str">
        <f>IF('Curs, Seminar'!F45&lt;&gt;"a","",'Curs, Seminar'!F45)</f>
        <v/>
      </c>
      <c r="E46" s="83" t="str">
        <f>IF('Curs, Seminar'!G45&lt;&gt;"a","",'Curs, Seminar'!G45)</f>
        <v/>
      </c>
      <c r="F46" s="83" t="str">
        <f>IF('Curs, Seminar'!H45&lt;&gt;"a","",'Curs, Seminar'!H45)</f>
        <v/>
      </c>
      <c r="G46" s="83" t="str">
        <f>IF('Curs, Seminar'!I45&lt;&gt;"a","",'Curs, Seminar'!I45)</f>
        <v/>
      </c>
      <c r="H46" s="83" t="str">
        <f>IF('Curs, Seminar'!K45&lt;&gt;"a","",'Curs, Seminar'!K45)</f>
        <v/>
      </c>
      <c r="I46" s="80"/>
      <c r="J46" s="80"/>
      <c r="K46" s="79"/>
    </row>
    <row r="47" spans="1:16" ht="19.95" customHeight="1" x14ac:dyDescent="0.3">
      <c r="A47" s="91" t="str">
        <f>'Curs, Seminar'!B46</f>
        <v/>
      </c>
      <c r="B47" s="92" t="str">
        <f>IF(NOT(ISBLANK('Curs, Seminar'!C46)),'Curs, Seminar'!C46,"")</f>
        <v/>
      </c>
      <c r="C47" s="83" t="str">
        <f>IF('Curs, Seminar'!E46&lt;&gt;"a","",'Curs, Seminar'!E46)</f>
        <v/>
      </c>
      <c r="D47" s="83" t="str">
        <f>IF('Curs, Seminar'!F46&lt;&gt;"a","",'Curs, Seminar'!F46)</f>
        <v/>
      </c>
      <c r="E47" s="83" t="str">
        <f>IF('Curs, Seminar'!G46&lt;&gt;"a","",'Curs, Seminar'!G46)</f>
        <v/>
      </c>
      <c r="F47" s="83" t="str">
        <f>IF('Curs, Seminar'!H46&lt;&gt;"a","",'Curs, Seminar'!H46)</f>
        <v/>
      </c>
      <c r="G47" s="83" t="str">
        <f>IF('Curs, Seminar'!I46&lt;&gt;"a","",'Curs, Seminar'!I46)</f>
        <v/>
      </c>
      <c r="H47" s="83" t="str">
        <f>IF('Curs, Seminar'!K46&lt;&gt;"a","",'Curs, Seminar'!K46)</f>
        <v/>
      </c>
      <c r="I47" s="80"/>
      <c r="J47" s="80"/>
      <c r="K47" s="79"/>
    </row>
    <row r="48" spans="1:16" ht="19.95" customHeight="1" x14ac:dyDescent="0.3">
      <c r="A48" s="91" t="str">
        <f>'Curs, Seminar'!B47</f>
        <v/>
      </c>
      <c r="B48" s="92" t="str">
        <f>IF(NOT(ISBLANK('Curs, Seminar'!C47)),'Curs, Seminar'!C47,"")</f>
        <v/>
      </c>
      <c r="C48" s="83" t="str">
        <f>IF('Curs, Seminar'!E47&lt;&gt;"a","",'Curs, Seminar'!E47)</f>
        <v/>
      </c>
      <c r="D48" s="83" t="str">
        <f>IF('Curs, Seminar'!F47&lt;&gt;"a","",'Curs, Seminar'!F47)</f>
        <v/>
      </c>
      <c r="E48" s="83" t="str">
        <f>IF('Curs, Seminar'!G47&lt;&gt;"a","",'Curs, Seminar'!G47)</f>
        <v/>
      </c>
      <c r="F48" s="83" t="str">
        <f>IF('Curs, Seminar'!H47&lt;&gt;"a","",'Curs, Seminar'!H47)</f>
        <v/>
      </c>
      <c r="G48" s="83" t="str">
        <f>IF('Curs, Seminar'!I47&lt;&gt;"a","",'Curs, Seminar'!I47)</f>
        <v/>
      </c>
      <c r="H48" s="83" t="str">
        <f>IF('Curs, Seminar'!K47&lt;&gt;"a","",'Curs, Seminar'!K47)</f>
        <v/>
      </c>
      <c r="I48" s="80"/>
      <c r="J48" s="80"/>
      <c r="K48" s="79"/>
    </row>
    <row r="49" spans="1:11" ht="19.95" customHeight="1" x14ac:dyDescent="0.3">
      <c r="A49" s="91" t="str">
        <f>'Curs, Seminar'!B48</f>
        <v/>
      </c>
      <c r="B49" s="92" t="str">
        <f>IF(NOT(ISBLANK('Curs, Seminar'!C48)),'Curs, Seminar'!C48,"")</f>
        <v/>
      </c>
      <c r="C49" s="83" t="str">
        <f>IF('Curs, Seminar'!E48&lt;&gt;"a","",'Curs, Seminar'!E48)</f>
        <v/>
      </c>
      <c r="D49" s="83" t="str">
        <f>IF('Curs, Seminar'!F48&lt;&gt;"a","",'Curs, Seminar'!F48)</f>
        <v/>
      </c>
      <c r="E49" s="83" t="str">
        <f>IF('Curs, Seminar'!G48&lt;&gt;"a","",'Curs, Seminar'!G48)</f>
        <v/>
      </c>
      <c r="F49" s="83" t="str">
        <f>IF('Curs, Seminar'!H48&lt;&gt;"a","",'Curs, Seminar'!H48)</f>
        <v/>
      </c>
      <c r="G49" s="83" t="str">
        <f>IF('Curs, Seminar'!I48&lt;&gt;"a","",'Curs, Seminar'!I48)</f>
        <v/>
      </c>
      <c r="H49" s="83" t="str">
        <f>IF('Curs, Seminar'!K48&lt;&gt;"a","",'Curs, Seminar'!K48)</f>
        <v/>
      </c>
      <c r="I49" s="80"/>
      <c r="J49" s="80"/>
      <c r="K49" s="79"/>
    </row>
    <row r="50" spans="1:11" ht="19.95" customHeight="1" x14ac:dyDescent="0.3">
      <c r="A50" s="91" t="str">
        <f>'Curs, Seminar'!B49</f>
        <v/>
      </c>
      <c r="B50" s="92" t="str">
        <f>IF(NOT(ISBLANK('Curs, Seminar'!C49)),'Curs, Seminar'!C49,"")</f>
        <v/>
      </c>
      <c r="C50" s="83" t="str">
        <f>IF('Curs, Seminar'!E49&lt;&gt;"a","",'Curs, Seminar'!E49)</f>
        <v/>
      </c>
      <c r="D50" s="83" t="str">
        <f>IF('Curs, Seminar'!F49&lt;&gt;"a","",'Curs, Seminar'!F49)</f>
        <v/>
      </c>
      <c r="E50" s="83" t="str">
        <f>IF('Curs, Seminar'!G49&lt;&gt;"a","",'Curs, Seminar'!G49)</f>
        <v/>
      </c>
      <c r="F50" s="83" t="str">
        <f>IF('Curs, Seminar'!H49&lt;&gt;"a","",'Curs, Seminar'!H49)</f>
        <v/>
      </c>
      <c r="G50" s="83" t="str">
        <f>IF('Curs, Seminar'!I49&lt;&gt;"a","",'Curs, Seminar'!I49)</f>
        <v/>
      </c>
      <c r="H50" s="83" t="str">
        <f>IF('Curs, Seminar'!K49&lt;&gt;"a","",'Curs, Seminar'!K49)</f>
        <v/>
      </c>
      <c r="I50" s="80"/>
      <c r="J50" s="80"/>
      <c r="K50" s="79"/>
    </row>
    <row r="51" spans="1:11" ht="19.95" customHeight="1" x14ac:dyDescent="0.3">
      <c r="A51" s="91" t="str">
        <f>'Curs, Seminar'!B50</f>
        <v/>
      </c>
      <c r="B51" s="92" t="str">
        <f>IF(NOT(ISBLANK('Curs, Seminar'!C50)),'Curs, Seminar'!C50,"")</f>
        <v/>
      </c>
      <c r="C51" s="83" t="str">
        <f>IF('Curs, Seminar'!E50&lt;&gt;"a","",'Curs, Seminar'!E50)</f>
        <v/>
      </c>
      <c r="D51" s="83" t="str">
        <f>IF('Curs, Seminar'!F50&lt;&gt;"a","",'Curs, Seminar'!F50)</f>
        <v/>
      </c>
      <c r="E51" s="83" t="str">
        <f>IF('Curs, Seminar'!G50&lt;&gt;"a","",'Curs, Seminar'!G50)</f>
        <v/>
      </c>
      <c r="F51" s="83" t="str">
        <f>IF('Curs, Seminar'!H50&lt;&gt;"a","",'Curs, Seminar'!H50)</f>
        <v/>
      </c>
      <c r="G51" s="83" t="str">
        <f>IF('Curs, Seminar'!I50&lt;&gt;"a","",'Curs, Seminar'!I50)</f>
        <v/>
      </c>
      <c r="H51" s="83" t="str">
        <f>IF('Curs, Seminar'!K50&lt;&gt;"a","",'Curs, Seminar'!K50)</f>
        <v/>
      </c>
      <c r="I51" s="80"/>
      <c r="J51" s="80"/>
      <c r="K51" s="79"/>
    </row>
    <row r="52" spans="1:11" ht="19.95" customHeight="1" x14ac:dyDescent="0.3">
      <c r="A52" s="91" t="str">
        <f>'Curs, Seminar'!B51</f>
        <v/>
      </c>
      <c r="B52" s="92" t="str">
        <f>IF(NOT(ISBLANK('Curs, Seminar'!C51)),'Curs, Seminar'!C51,"")</f>
        <v/>
      </c>
      <c r="C52" s="83" t="str">
        <f>IF('Curs, Seminar'!E51&lt;&gt;"a","",'Curs, Seminar'!E51)</f>
        <v/>
      </c>
      <c r="D52" s="83" t="str">
        <f>IF('Curs, Seminar'!F51&lt;&gt;"a","",'Curs, Seminar'!F51)</f>
        <v/>
      </c>
      <c r="E52" s="83" t="str">
        <f>IF('Curs, Seminar'!G51&lt;&gt;"a","",'Curs, Seminar'!G51)</f>
        <v/>
      </c>
      <c r="F52" s="83" t="str">
        <f>IF('Curs, Seminar'!H51&lt;&gt;"a","",'Curs, Seminar'!H51)</f>
        <v/>
      </c>
      <c r="G52" s="83" t="str">
        <f>IF('Curs, Seminar'!I51&lt;&gt;"a","",'Curs, Seminar'!I51)</f>
        <v/>
      </c>
      <c r="H52" s="83" t="str">
        <f>IF('Curs, Seminar'!K51&lt;&gt;"a","",'Curs, Seminar'!K51)</f>
        <v/>
      </c>
      <c r="I52" s="80"/>
      <c r="J52" s="80"/>
      <c r="K52" s="79"/>
    </row>
    <row r="53" spans="1:11" ht="19.95" customHeight="1" x14ac:dyDescent="0.3">
      <c r="A53" s="91" t="str">
        <f>'Curs, Seminar'!B52</f>
        <v/>
      </c>
      <c r="B53" s="92" t="str">
        <f>IF(NOT(ISBLANK('Curs, Seminar'!C52)),'Curs, Seminar'!C52,"")</f>
        <v/>
      </c>
      <c r="C53" s="83" t="str">
        <f>IF('Curs, Seminar'!E52&lt;&gt;"a","",'Curs, Seminar'!E52)</f>
        <v/>
      </c>
      <c r="D53" s="83" t="str">
        <f>IF('Curs, Seminar'!F52&lt;&gt;"a","",'Curs, Seminar'!F52)</f>
        <v/>
      </c>
      <c r="E53" s="83" t="str">
        <f>IF('Curs, Seminar'!G52&lt;&gt;"a","",'Curs, Seminar'!G52)</f>
        <v/>
      </c>
      <c r="F53" s="83" t="str">
        <f>IF('Curs, Seminar'!H52&lt;&gt;"a","",'Curs, Seminar'!H52)</f>
        <v/>
      </c>
      <c r="G53" s="83" t="str">
        <f>IF('Curs, Seminar'!I52&lt;&gt;"a","",'Curs, Seminar'!I52)</f>
        <v/>
      </c>
      <c r="H53" s="83" t="str">
        <f>IF('Curs, Seminar'!K52&lt;&gt;"a","",'Curs, Seminar'!K52)</f>
        <v/>
      </c>
      <c r="I53" s="80"/>
      <c r="J53" s="80"/>
      <c r="K53" s="79"/>
    </row>
    <row r="54" spans="1:11" ht="19.95" customHeight="1" x14ac:dyDescent="0.3">
      <c r="A54" s="91" t="str">
        <f>'Curs, Seminar'!B53</f>
        <v/>
      </c>
      <c r="B54" s="92" t="str">
        <f>IF(NOT(ISBLANK('Curs, Seminar'!C53)),'Curs, Seminar'!C53,"")</f>
        <v/>
      </c>
      <c r="C54" s="83" t="str">
        <f>IF('Curs, Seminar'!E53&lt;&gt;"a","",'Curs, Seminar'!E53)</f>
        <v/>
      </c>
      <c r="D54" s="83" t="str">
        <f>IF('Curs, Seminar'!F53&lt;&gt;"a","",'Curs, Seminar'!F53)</f>
        <v/>
      </c>
      <c r="E54" s="83" t="str">
        <f>IF('Curs, Seminar'!G53&lt;&gt;"a","",'Curs, Seminar'!G53)</f>
        <v/>
      </c>
      <c r="F54" s="83" t="str">
        <f>IF('Curs, Seminar'!H53&lt;&gt;"a","",'Curs, Seminar'!H53)</f>
        <v/>
      </c>
      <c r="G54" s="83" t="str">
        <f>IF('Curs, Seminar'!I53&lt;&gt;"a","",'Curs, Seminar'!I53)</f>
        <v/>
      </c>
      <c r="H54" s="83" t="str">
        <f>IF('Curs, Seminar'!K53&lt;&gt;"a","",'Curs, Seminar'!K53)</f>
        <v/>
      </c>
      <c r="I54" s="80"/>
      <c r="J54" s="80"/>
      <c r="K54" s="79"/>
    </row>
    <row r="55" spans="1:11" ht="19.95" customHeight="1" x14ac:dyDescent="0.3">
      <c r="A55" s="91" t="str">
        <f>'Curs, Seminar'!B54</f>
        <v/>
      </c>
      <c r="B55" s="92" t="str">
        <f>IF(NOT(ISBLANK('Curs, Seminar'!C54)),'Curs, Seminar'!C54,"")</f>
        <v/>
      </c>
      <c r="C55" s="83" t="str">
        <f>IF('Curs, Seminar'!E54&lt;&gt;"a","",'Curs, Seminar'!E54)</f>
        <v/>
      </c>
      <c r="D55" s="83" t="str">
        <f>IF('Curs, Seminar'!F54&lt;&gt;"a","",'Curs, Seminar'!F54)</f>
        <v/>
      </c>
      <c r="E55" s="83" t="str">
        <f>IF('Curs, Seminar'!G54&lt;&gt;"a","",'Curs, Seminar'!G54)</f>
        <v/>
      </c>
      <c r="F55" s="83" t="str">
        <f>IF('Curs, Seminar'!H54&lt;&gt;"a","",'Curs, Seminar'!H54)</f>
        <v/>
      </c>
      <c r="G55" s="83" t="str">
        <f>IF('Curs, Seminar'!I54&lt;&gt;"a","",'Curs, Seminar'!I54)</f>
        <v/>
      </c>
      <c r="H55" s="83" t="str">
        <f>IF('Curs, Seminar'!K54&lt;&gt;"a","",'Curs, Seminar'!K54)</f>
        <v/>
      </c>
      <c r="I55" s="80"/>
      <c r="J55" s="80"/>
      <c r="K55" s="79"/>
    </row>
    <row r="56" spans="1:11" ht="19.95" customHeight="1" x14ac:dyDescent="0.3">
      <c r="A56" s="91" t="str">
        <f>'Curs, Seminar'!B55</f>
        <v/>
      </c>
      <c r="B56" s="92" t="str">
        <f>IF(NOT(ISBLANK('Curs, Seminar'!C55)),'Curs, Seminar'!C55,"")</f>
        <v/>
      </c>
      <c r="C56" s="83" t="str">
        <f>IF('Curs, Seminar'!E55&lt;&gt;"a","",'Curs, Seminar'!E55)</f>
        <v/>
      </c>
      <c r="D56" s="83" t="str">
        <f>IF('Curs, Seminar'!F55&lt;&gt;"a","",'Curs, Seminar'!F55)</f>
        <v/>
      </c>
      <c r="E56" s="83" t="str">
        <f>IF('Curs, Seminar'!G55&lt;&gt;"a","",'Curs, Seminar'!G55)</f>
        <v/>
      </c>
      <c r="F56" s="83" t="str">
        <f>IF('Curs, Seminar'!H55&lt;&gt;"a","",'Curs, Seminar'!H55)</f>
        <v/>
      </c>
      <c r="G56" s="83" t="str">
        <f>IF('Curs, Seminar'!I55&lt;&gt;"a","",'Curs, Seminar'!I55)</f>
        <v/>
      </c>
      <c r="H56" s="83" t="str">
        <f>IF('Curs, Seminar'!K55&lt;&gt;"a","",'Curs, Seminar'!K55)</f>
        <v/>
      </c>
      <c r="I56" s="80"/>
      <c r="J56" s="80"/>
      <c r="K56" s="79"/>
    </row>
    <row r="57" spans="1:11" ht="19.95" customHeight="1" x14ac:dyDescent="0.3">
      <c r="A57" s="91" t="str">
        <f>'Curs, Seminar'!B56</f>
        <v/>
      </c>
      <c r="B57" s="92" t="str">
        <f>IF(NOT(ISBLANK('Curs, Seminar'!C56)),'Curs, Seminar'!C56,"")</f>
        <v/>
      </c>
      <c r="C57" s="83" t="str">
        <f>IF('Curs, Seminar'!E56&lt;&gt;"a","",'Curs, Seminar'!E56)</f>
        <v/>
      </c>
      <c r="D57" s="83" t="str">
        <f>IF('Curs, Seminar'!F56&lt;&gt;"a","",'Curs, Seminar'!F56)</f>
        <v/>
      </c>
      <c r="E57" s="83" t="str">
        <f>IF('Curs, Seminar'!G56&lt;&gt;"a","",'Curs, Seminar'!G56)</f>
        <v/>
      </c>
      <c r="F57" s="83" t="str">
        <f>IF('Curs, Seminar'!H56&lt;&gt;"a","",'Curs, Seminar'!H56)</f>
        <v/>
      </c>
      <c r="G57" s="83" t="str">
        <f>IF('Curs, Seminar'!I56&lt;&gt;"a","",'Curs, Seminar'!I56)</f>
        <v/>
      </c>
      <c r="H57" s="83" t="str">
        <f>IF('Curs, Seminar'!K56&lt;&gt;"a","",'Curs, Seminar'!K56)</f>
        <v/>
      </c>
      <c r="I57" s="80"/>
      <c r="J57" s="80"/>
      <c r="K57" s="79"/>
    </row>
    <row r="58" spans="1:11" ht="19.95" customHeight="1" x14ac:dyDescent="0.3">
      <c r="A58" s="91" t="str">
        <f>'Curs, Seminar'!B57</f>
        <v/>
      </c>
      <c r="B58" s="92" t="str">
        <f>IF(NOT(ISBLANK('Curs, Seminar'!C57)),'Curs, Seminar'!C57,"")</f>
        <v/>
      </c>
      <c r="C58" s="83" t="str">
        <f>IF('Curs, Seminar'!E57&lt;&gt;"a","",'Curs, Seminar'!E57)</f>
        <v/>
      </c>
      <c r="D58" s="83" t="str">
        <f>IF('Curs, Seminar'!F57&lt;&gt;"a","",'Curs, Seminar'!F57)</f>
        <v/>
      </c>
      <c r="E58" s="83" t="str">
        <f>IF('Curs, Seminar'!G57&lt;&gt;"a","",'Curs, Seminar'!G57)</f>
        <v/>
      </c>
      <c r="F58" s="83" t="str">
        <f>IF('Curs, Seminar'!H57&lt;&gt;"a","",'Curs, Seminar'!H57)</f>
        <v/>
      </c>
      <c r="G58" s="83" t="str">
        <f>IF('Curs, Seminar'!I57&lt;&gt;"a","",'Curs, Seminar'!I57)</f>
        <v/>
      </c>
      <c r="H58" s="83" t="str">
        <f>IF('Curs, Seminar'!K57&lt;&gt;"a","",'Curs, Seminar'!K57)</f>
        <v/>
      </c>
      <c r="I58" s="80"/>
      <c r="J58" s="80"/>
      <c r="K58" s="79"/>
    </row>
    <row r="59" spans="1:11" ht="19.95" customHeight="1" x14ac:dyDescent="0.3">
      <c r="A59" s="91" t="str">
        <f>'Curs, Seminar'!B58</f>
        <v/>
      </c>
      <c r="B59" s="92" t="str">
        <f>IF(NOT(ISBLANK('Curs, Seminar'!C58)),'Curs, Seminar'!C58,"")</f>
        <v/>
      </c>
      <c r="C59" s="83" t="str">
        <f>IF('Curs, Seminar'!E58&lt;&gt;"a","",'Curs, Seminar'!E58)</f>
        <v/>
      </c>
      <c r="D59" s="83" t="str">
        <f>IF('Curs, Seminar'!F58&lt;&gt;"a","",'Curs, Seminar'!F58)</f>
        <v/>
      </c>
      <c r="E59" s="83" t="str">
        <f>IF('Curs, Seminar'!G58&lt;&gt;"a","",'Curs, Seminar'!G58)</f>
        <v/>
      </c>
      <c r="F59" s="83" t="str">
        <f>IF('Curs, Seminar'!H58&lt;&gt;"a","",'Curs, Seminar'!H58)</f>
        <v/>
      </c>
      <c r="G59" s="83" t="str">
        <f>IF('Curs, Seminar'!I58&lt;&gt;"a","",'Curs, Seminar'!I58)</f>
        <v/>
      </c>
      <c r="H59" s="83" t="str">
        <f>IF('Curs, Seminar'!K58&lt;&gt;"a","",'Curs, Seminar'!K58)</f>
        <v/>
      </c>
      <c r="I59" s="80"/>
      <c r="J59" s="80"/>
      <c r="K59" s="79"/>
    </row>
    <row r="60" spans="1:11" ht="19.95" customHeight="1" x14ac:dyDescent="0.3">
      <c r="A60" s="91" t="str">
        <f>'Curs, Seminar'!B59</f>
        <v/>
      </c>
      <c r="B60" s="92" t="str">
        <f>IF(NOT(ISBLANK('Curs, Seminar'!C59)),'Curs, Seminar'!C59,"")</f>
        <v/>
      </c>
      <c r="C60" s="83" t="str">
        <f>IF('Curs, Seminar'!E59&lt;&gt;"a","",'Curs, Seminar'!E59)</f>
        <v/>
      </c>
      <c r="D60" s="83" t="str">
        <f>IF('Curs, Seminar'!F59&lt;&gt;"a","",'Curs, Seminar'!F59)</f>
        <v/>
      </c>
      <c r="E60" s="83" t="str">
        <f>IF('Curs, Seminar'!G59&lt;&gt;"a","",'Curs, Seminar'!G59)</f>
        <v/>
      </c>
      <c r="F60" s="83" t="str">
        <f>IF('Curs, Seminar'!H59&lt;&gt;"a","",'Curs, Seminar'!H59)</f>
        <v/>
      </c>
      <c r="G60" s="83" t="str">
        <f>IF('Curs, Seminar'!I59&lt;&gt;"a","",'Curs, Seminar'!I59)</f>
        <v/>
      </c>
      <c r="H60" s="83" t="str">
        <f>IF('Curs, Seminar'!K59&lt;&gt;"a","",'Curs, Seminar'!K59)</f>
        <v/>
      </c>
      <c r="I60" s="80"/>
      <c r="J60" s="80"/>
      <c r="K60" s="79"/>
    </row>
    <row r="61" spans="1:11" ht="19.95" customHeight="1" x14ac:dyDescent="0.3">
      <c r="A61" s="91" t="str">
        <f>'Curs, Seminar'!B60</f>
        <v/>
      </c>
      <c r="B61" s="92" t="str">
        <f>IF(NOT(ISBLANK('Curs, Seminar'!C60)),'Curs, Seminar'!C60,"")</f>
        <v/>
      </c>
      <c r="C61" s="83" t="str">
        <f>IF('Curs, Seminar'!E60&lt;&gt;"a","",'Curs, Seminar'!E60)</f>
        <v/>
      </c>
      <c r="D61" s="83" t="str">
        <f>IF('Curs, Seminar'!F60&lt;&gt;"a","",'Curs, Seminar'!F60)</f>
        <v/>
      </c>
      <c r="E61" s="83" t="str">
        <f>IF('Curs, Seminar'!G60&lt;&gt;"a","",'Curs, Seminar'!G60)</f>
        <v/>
      </c>
      <c r="F61" s="83" t="str">
        <f>IF('Curs, Seminar'!H60&lt;&gt;"a","",'Curs, Seminar'!H60)</f>
        <v/>
      </c>
      <c r="G61" s="83" t="str">
        <f>IF('Curs, Seminar'!I60&lt;&gt;"a","",'Curs, Seminar'!I60)</f>
        <v/>
      </c>
      <c r="H61" s="83" t="str">
        <f>IF('Curs, Seminar'!K60&lt;&gt;"a","",'Curs, Seminar'!K60)</f>
        <v/>
      </c>
      <c r="I61" s="80"/>
      <c r="J61" s="80"/>
      <c r="K61" s="79"/>
    </row>
    <row r="62" spans="1:11" ht="19.95" customHeight="1" x14ac:dyDescent="0.3">
      <c r="A62" s="91" t="str">
        <f>'Curs, Seminar'!B61</f>
        <v/>
      </c>
      <c r="B62" s="92" t="str">
        <f>IF(NOT(ISBLANK('Curs, Seminar'!C61)),'Curs, Seminar'!C61,"")</f>
        <v/>
      </c>
      <c r="C62" s="83" t="str">
        <f>IF('Curs, Seminar'!E61&lt;&gt;"a","",'Curs, Seminar'!E61)</f>
        <v/>
      </c>
      <c r="D62" s="83" t="str">
        <f>IF('Curs, Seminar'!F61&lt;&gt;"a","",'Curs, Seminar'!F61)</f>
        <v/>
      </c>
      <c r="E62" s="83" t="str">
        <f>IF('Curs, Seminar'!G61&lt;&gt;"a","",'Curs, Seminar'!G61)</f>
        <v/>
      </c>
      <c r="F62" s="83" t="str">
        <f>IF('Curs, Seminar'!H61&lt;&gt;"a","",'Curs, Seminar'!H61)</f>
        <v/>
      </c>
      <c r="G62" s="83" t="str">
        <f>IF('Curs, Seminar'!I61&lt;&gt;"a","",'Curs, Seminar'!I61)</f>
        <v/>
      </c>
      <c r="H62" s="83" t="str">
        <f>IF('Curs, Seminar'!K61&lt;&gt;"a","",'Curs, Seminar'!K61)</f>
        <v/>
      </c>
      <c r="I62" s="80"/>
      <c r="J62" s="80"/>
      <c r="K62" s="79"/>
    </row>
    <row r="63" spans="1:11" ht="19.95" customHeight="1" x14ac:dyDescent="0.3">
      <c r="A63" s="91" t="str">
        <f>'Curs, Seminar'!B62</f>
        <v/>
      </c>
      <c r="B63" s="92" t="str">
        <f>IF(NOT(ISBLANK('Curs, Seminar'!C62)),'Curs, Seminar'!C62,"")</f>
        <v/>
      </c>
      <c r="C63" s="83" t="str">
        <f>IF('Curs, Seminar'!E62&lt;&gt;"a","",'Curs, Seminar'!E62)</f>
        <v/>
      </c>
      <c r="D63" s="83" t="str">
        <f>IF('Curs, Seminar'!F62&lt;&gt;"a","",'Curs, Seminar'!F62)</f>
        <v/>
      </c>
      <c r="E63" s="83" t="str">
        <f>IF('Curs, Seminar'!G62&lt;&gt;"a","",'Curs, Seminar'!G62)</f>
        <v/>
      </c>
      <c r="F63" s="83" t="str">
        <f>IF('Curs, Seminar'!H62&lt;&gt;"a","",'Curs, Seminar'!H62)</f>
        <v/>
      </c>
      <c r="G63" s="83" t="str">
        <f>IF('Curs, Seminar'!I62&lt;&gt;"a","",'Curs, Seminar'!I62)</f>
        <v/>
      </c>
      <c r="H63" s="83" t="str">
        <f>IF('Curs, Seminar'!K62&lt;&gt;"a","",'Curs, Seminar'!K62)</f>
        <v/>
      </c>
      <c r="I63" s="80"/>
      <c r="J63" s="80"/>
      <c r="K63" s="79"/>
    </row>
    <row r="64" spans="1:11" ht="19.95" customHeight="1" x14ac:dyDescent="0.3">
      <c r="A64" s="91" t="str">
        <f>'Curs, Seminar'!B63</f>
        <v/>
      </c>
      <c r="B64" s="92" t="str">
        <f>IF(NOT(ISBLANK('Curs, Seminar'!C63)),'Curs, Seminar'!C63,"")</f>
        <v/>
      </c>
      <c r="C64" s="83" t="str">
        <f>IF('Curs, Seminar'!E63&lt;&gt;"a","",'Curs, Seminar'!E63)</f>
        <v/>
      </c>
      <c r="D64" s="83" t="str">
        <f>IF('Curs, Seminar'!F63&lt;&gt;"a","",'Curs, Seminar'!F63)</f>
        <v/>
      </c>
      <c r="E64" s="83" t="str">
        <f>IF('Curs, Seminar'!G63&lt;&gt;"a","",'Curs, Seminar'!G63)</f>
        <v/>
      </c>
      <c r="F64" s="83" t="str">
        <f>IF('Curs, Seminar'!H63&lt;&gt;"a","",'Curs, Seminar'!H63)</f>
        <v/>
      </c>
      <c r="G64" s="83" t="str">
        <f>IF('Curs, Seminar'!I63&lt;&gt;"a","",'Curs, Seminar'!I63)</f>
        <v/>
      </c>
      <c r="H64" s="83" t="str">
        <f>IF('Curs, Seminar'!K63&lt;&gt;"a","",'Curs, Seminar'!K63)</f>
        <v/>
      </c>
      <c r="I64" s="80"/>
      <c r="J64" s="80"/>
      <c r="K64" s="79"/>
    </row>
    <row r="65" spans="1:11" ht="19.95" customHeight="1" x14ac:dyDescent="0.3">
      <c r="A65" s="91" t="str">
        <f>'Curs, Seminar'!B64</f>
        <v/>
      </c>
      <c r="B65" s="92" t="str">
        <f>IF(NOT(ISBLANK('Curs, Seminar'!C64)),'Curs, Seminar'!C64,"")</f>
        <v/>
      </c>
      <c r="C65" s="83" t="str">
        <f>IF('Curs, Seminar'!E64&lt;&gt;"a","",'Curs, Seminar'!E64)</f>
        <v/>
      </c>
      <c r="D65" s="83" t="str">
        <f>IF('Curs, Seminar'!F64&lt;&gt;"a","",'Curs, Seminar'!F64)</f>
        <v/>
      </c>
      <c r="E65" s="83" t="str">
        <f>IF('Curs, Seminar'!G64&lt;&gt;"a","",'Curs, Seminar'!G64)</f>
        <v/>
      </c>
      <c r="F65" s="83" t="str">
        <f>IF('Curs, Seminar'!H64&lt;&gt;"a","",'Curs, Seminar'!H64)</f>
        <v/>
      </c>
      <c r="G65" s="83" t="str">
        <f>IF('Curs, Seminar'!I64&lt;&gt;"a","",'Curs, Seminar'!I64)</f>
        <v/>
      </c>
      <c r="H65" s="83" t="str">
        <f>IF('Curs, Seminar'!K64&lt;&gt;"a","",'Curs, Seminar'!K64)</f>
        <v/>
      </c>
      <c r="I65" s="80"/>
      <c r="J65" s="80"/>
      <c r="K65" s="79"/>
    </row>
    <row r="66" spans="1:11" ht="19.95" customHeight="1" x14ac:dyDescent="0.3">
      <c r="A66" s="91" t="str">
        <f>'Curs, Seminar'!B65</f>
        <v/>
      </c>
      <c r="B66" s="92" t="str">
        <f>IF(NOT(ISBLANK('Curs, Seminar'!C65)),'Curs, Seminar'!C65,"")</f>
        <v/>
      </c>
      <c r="C66" s="83" t="str">
        <f>IF('Curs, Seminar'!E65&lt;&gt;"a","",'Curs, Seminar'!E65)</f>
        <v/>
      </c>
      <c r="D66" s="83" t="str">
        <f>IF('Curs, Seminar'!F65&lt;&gt;"a","",'Curs, Seminar'!F65)</f>
        <v/>
      </c>
      <c r="E66" s="83" t="str">
        <f>IF('Curs, Seminar'!G65&lt;&gt;"a","",'Curs, Seminar'!G65)</f>
        <v/>
      </c>
      <c r="F66" s="83" t="str">
        <f>IF('Curs, Seminar'!H65&lt;&gt;"a","",'Curs, Seminar'!H65)</f>
        <v/>
      </c>
      <c r="G66" s="83" t="str">
        <f>IF('Curs, Seminar'!I65&lt;&gt;"a","",'Curs, Seminar'!I65)</f>
        <v/>
      </c>
      <c r="H66" s="83" t="str">
        <f>IF('Curs, Seminar'!K65&lt;&gt;"a","",'Curs, Seminar'!K65)</f>
        <v/>
      </c>
      <c r="I66" s="80"/>
      <c r="J66" s="80"/>
      <c r="K66" s="79"/>
    </row>
    <row r="67" spans="1:11" ht="19.95" customHeight="1" x14ac:dyDescent="0.3">
      <c r="A67" s="91" t="str">
        <f>'Curs, Seminar'!B66</f>
        <v/>
      </c>
      <c r="B67" s="92" t="str">
        <f>IF(NOT(ISBLANK('Curs, Seminar'!C66)),'Curs, Seminar'!C66,"")</f>
        <v/>
      </c>
      <c r="C67" s="83" t="str">
        <f>IF('Curs, Seminar'!E66&lt;&gt;"a","",'Curs, Seminar'!E66)</f>
        <v/>
      </c>
      <c r="D67" s="83" t="str">
        <f>IF('Curs, Seminar'!F66&lt;&gt;"a","",'Curs, Seminar'!F66)</f>
        <v/>
      </c>
      <c r="E67" s="83" t="str">
        <f>IF('Curs, Seminar'!G66&lt;&gt;"a","",'Curs, Seminar'!G66)</f>
        <v/>
      </c>
      <c r="F67" s="83" t="str">
        <f>IF('Curs, Seminar'!H66&lt;&gt;"a","",'Curs, Seminar'!H66)</f>
        <v/>
      </c>
      <c r="G67" s="83" t="str">
        <f>IF('Curs, Seminar'!I66&lt;&gt;"a","",'Curs, Seminar'!I66)</f>
        <v/>
      </c>
      <c r="H67" s="83" t="str">
        <f>IF('Curs, Seminar'!K66&lt;&gt;"a","",'Curs, Seminar'!K66)</f>
        <v/>
      </c>
      <c r="I67" s="80"/>
      <c r="J67" s="80"/>
      <c r="K67" s="79"/>
    </row>
    <row r="68" spans="1:11" ht="19.95" customHeight="1" x14ac:dyDescent="0.3">
      <c r="A68" s="91" t="str">
        <f>'Curs, Seminar'!B67</f>
        <v/>
      </c>
      <c r="B68" s="92" t="str">
        <f>IF(NOT(ISBLANK('Curs, Seminar'!C67)),'Curs, Seminar'!C67,"")</f>
        <v/>
      </c>
      <c r="C68" s="83" t="str">
        <f>IF('Curs, Seminar'!E67&lt;&gt;"a","",'Curs, Seminar'!E67)</f>
        <v/>
      </c>
      <c r="D68" s="83" t="str">
        <f>IF('Curs, Seminar'!F67&lt;&gt;"a","",'Curs, Seminar'!F67)</f>
        <v/>
      </c>
      <c r="E68" s="83" t="str">
        <f>IF('Curs, Seminar'!G67&lt;&gt;"a","",'Curs, Seminar'!G67)</f>
        <v/>
      </c>
      <c r="F68" s="83" t="str">
        <f>IF('Curs, Seminar'!H67&lt;&gt;"a","",'Curs, Seminar'!H67)</f>
        <v/>
      </c>
      <c r="G68" s="83" t="str">
        <f>IF('Curs, Seminar'!I67&lt;&gt;"a","",'Curs, Seminar'!I67)</f>
        <v/>
      </c>
      <c r="H68" s="83" t="str">
        <f>IF('Curs, Seminar'!K67&lt;&gt;"a","",'Curs, Seminar'!K67)</f>
        <v/>
      </c>
      <c r="I68" s="80"/>
      <c r="J68" s="80"/>
      <c r="K68" s="79"/>
    </row>
    <row r="69" spans="1:11" ht="19.95" customHeight="1" x14ac:dyDescent="0.3">
      <c r="A69" s="91" t="str">
        <f>'Curs, Seminar'!B68</f>
        <v/>
      </c>
      <c r="B69" s="92" t="str">
        <f>IF(NOT(ISBLANK('Curs, Seminar'!C68)),'Curs, Seminar'!C68,"")</f>
        <v/>
      </c>
      <c r="C69" s="83" t="str">
        <f>IF('Curs, Seminar'!E68&lt;&gt;"a","",'Curs, Seminar'!E68)</f>
        <v/>
      </c>
      <c r="D69" s="83" t="str">
        <f>IF('Curs, Seminar'!F68&lt;&gt;"a","",'Curs, Seminar'!F68)</f>
        <v/>
      </c>
      <c r="E69" s="83" t="str">
        <f>IF('Curs, Seminar'!G68&lt;&gt;"a","",'Curs, Seminar'!G68)</f>
        <v/>
      </c>
      <c r="F69" s="83" t="str">
        <f>IF('Curs, Seminar'!H68&lt;&gt;"a","",'Curs, Seminar'!H68)</f>
        <v/>
      </c>
      <c r="G69" s="83" t="str">
        <f>IF('Curs, Seminar'!I68&lt;&gt;"a","",'Curs, Seminar'!I68)</f>
        <v/>
      </c>
      <c r="H69" s="83" t="str">
        <f>IF('Curs, Seminar'!K68&lt;&gt;"a","",'Curs, Seminar'!K68)</f>
        <v/>
      </c>
      <c r="I69" s="80"/>
      <c r="J69" s="80"/>
      <c r="K69" s="79"/>
    </row>
    <row r="70" spans="1:11" ht="19.95" customHeight="1" x14ac:dyDescent="0.3">
      <c r="A70" s="91" t="str">
        <f>'Curs, Seminar'!B69</f>
        <v/>
      </c>
      <c r="B70" s="92" t="str">
        <f>IF(NOT(ISBLANK('Curs, Seminar'!C69)),'Curs, Seminar'!C69,"")</f>
        <v/>
      </c>
      <c r="C70" s="83" t="str">
        <f>IF('Curs, Seminar'!E69&lt;&gt;"a","",'Curs, Seminar'!E69)</f>
        <v/>
      </c>
      <c r="D70" s="83" t="str">
        <f>IF('Curs, Seminar'!F69&lt;&gt;"a","",'Curs, Seminar'!F69)</f>
        <v/>
      </c>
      <c r="E70" s="83" t="str">
        <f>IF('Curs, Seminar'!G69&lt;&gt;"a","",'Curs, Seminar'!G69)</f>
        <v/>
      </c>
      <c r="F70" s="83" t="str">
        <f>IF('Curs, Seminar'!H69&lt;&gt;"a","",'Curs, Seminar'!H69)</f>
        <v/>
      </c>
      <c r="G70" s="83" t="str">
        <f>IF('Curs, Seminar'!I69&lt;&gt;"a","",'Curs, Seminar'!I69)</f>
        <v/>
      </c>
      <c r="H70" s="83" t="str">
        <f>IF('Curs, Seminar'!K69&lt;&gt;"a","",'Curs, Seminar'!K69)</f>
        <v/>
      </c>
      <c r="I70" s="80"/>
      <c r="J70" s="80"/>
      <c r="K70" s="79"/>
    </row>
    <row r="71" spans="1:11" ht="19.95" customHeight="1" x14ac:dyDescent="0.3">
      <c r="A71" s="91" t="str">
        <f>'Curs, Seminar'!B70</f>
        <v/>
      </c>
      <c r="B71" s="92" t="str">
        <f>IF(NOT(ISBLANK('Curs, Seminar'!C70)),'Curs, Seminar'!C70,"")</f>
        <v/>
      </c>
      <c r="C71" s="83" t="str">
        <f>IF('Curs, Seminar'!E70&lt;&gt;"a","",'Curs, Seminar'!E70)</f>
        <v/>
      </c>
      <c r="D71" s="83" t="str">
        <f>IF('Curs, Seminar'!F70&lt;&gt;"a","",'Curs, Seminar'!F70)</f>
        <v/>
      </c>
      <c r="E71" s="83" t="str">
        <f>IF('Curs, Seminar'!G70&lt;&gt;"a","",'Curs, Seminar'!G70)</f>
        <v/>
      </c>
      <c r="F71" s="83" t="str">
        <f>IF('Curs, Seminar'!H70&lt;&gt;"a","",'Curs, Seminar'!H70)</f>
        <v/>
      </c>
      <c r="G71" s="83" t="str">
        <f>IF('Curs, Seminar'!I70&lt;&gt;"a","",'Curs, Seminar'!I70)</f>
        <v/>
      </c>
      <c r="H71" s="83" t="str">
        <f>IF('Curs, Seminar'!K70&lt;&gt;"a","",'Curs, Seminar'!K70)</f>
        <v/>
      </c>
      <c r="I71" s="80"/>
      <c r="J71" s="80"/>
      <c r="K71" s="79"/>
    </row>
    <row r="72" spans="1:11" ht="19.95" customHeight="1" x14ac:dyDescent="0.3">
      <c r="A72" s="91" t="str">
        <f>'Curs, Seminar'!B71</f>
        <v/>
      </c>
      <c r="B72" s="92" t="str">
        <f>IF(NOT(ISBLANK('Curs, Seminar'!C71)),'Curs, Seminar'!C71,"")</f>
        <v/>
      </c>
      <c r="C72" s="83" t="str">
        <f>IF('Curs, Seminar'!E71&lt;&gt;"a","",'Curs, Seminar'!E71)</f>
        <v/>
      </c>
      <c r="D72" s="83" t="str">
        <f>IF('Curs, Seminar'!F71&lt;&gt;"a","",'Curs, Seminar'!F71)</f>
        <v/>
      </c>
      <c r="E72" s="83" t="str">
        <f>IF('Curs, Seminar'!G71&lt;&gt;"a","",'Curs, Seminar'!G71)</f>
        <v/>
      </c>
      <c r="F72" s="83" t="str">
        <f>IF('Curs, Seminar'!H71&lt;&gt;"a","",'Curs, Seminar'!H71)</f>
        <v/>
      </c>
      <c r="G72" s="83" t="str">
        <f>IF('Curs, Seminar'!I71&lt;&gt;"a","",'Curs, Seminar'!I71)</f>
        <v/>
      </c>
      <c r="H72" s="83" t="str">
        <f>IF('Curs, Seminar'!K71&lt;&gt;"a","",'Curs, Seminar'!K71)</f>
        <v/>
      </c>
      <c r="I72" s="80"/>
      <c r="J72" s="80"/>
      <c r="K72" s="79"/>
    </row>
    <row r="73" spans="1:11" ht="19.95" customHeight="1" x14ac:dyDescent="0.3">
      <c r="A73" s="91" t="str">
        <f>'Curs, Seminar'!B72</f>
        <v/>
      </c>
      <c r="B73" s="92" t="str">
        <f>IF(NOT(ISBLANK('Curs, Seminar'!C72)),'Curs, Seminar'!C72,"")</f>
        <v/>
      </c>
      <c r="C73" s="83" t="str">
        <f>IF('Curs, Seminar'!E72&lt;&gt;"a","",'Curs, Seminar'!E72)</f>
        <v/>
      </c>
      <c r="D73" s="83" t="str">
        <f>IF('Curs, Seminar'!F72&lt;&gt;"a","",'Curs, Seminar'!F72)</f>
        <v/>
      </c>
      <c r="E73" s="83" t="str">
        <f>IF('Curs, Seminar'!G72&lt;&gt;"a","",'Curs, Seminar'!G72)</f>
        <v/>
      </c>
      <c r="F73" s="83" t="str">
        <f>IF('Curs, Seminar'!H72&lt;&gt;"a","",'Curs, Seminar'!H72)</f>
        <v/>
      </c>
      <c r="G73" s="83" t="str">
        <f>IF('Curs, Seminar'!I72&lt;&gt;"a","",'Curs, Seminar'!I72)</f>
        <v/>
      </c>
      <c r="H73" s="83" t="str">
        <f>IF('Curs, Seminar'!K72&lt;&gt;"a","",'Curs, Seminar'!K72)</f>
        <v/>
      </c>
      <c r="I73" s="80"/>
      <c r="J73" s="80"/>
      <c r="K73" s="79"/>
    </row>
    <row r="74" spans="1:11" ht="19.95" customHeight="1" x14ac:dyDescent="0.3">
      <c r="A74" s="91" t="str">
        <f>'Curs, Seminar'!B73</f>
        <v/>
      </c>
      <c r="B74" s="92" t="str">
        <f>IF(NOT(ISBLANK('Curs, Seminar'!C73)),'Curs, Seminar'!C73,"")</f>
        <v/>
      </c>
      <c r="C74" s="83" t="str">
        <f>IF('Curs, Seminar'!E73&lt;&gt;"a","",'Curs, Seminar'!E73)</f>
        <v/>
      </c>
      <c r="D74" s="83" t="str">
        <f>IF('Curs, Seminar'!F73&lt;&gt;"a","",'Curs, Seminar'!F73)</f>
        <v/>
      </c>
      <c r="E74" s="83" t="str">
        <f>IF('Curs, Seminar'!G73&lt;&gt;"a","",'Curs, Seminar'!G73)</f>
        <v/>
      </c>
      <c r="F74" s="83" t="str">
        <f>IF('Curs, Seminar'!H73&lt;&gt;"a","",'Curs, Seminar'!H73)</f>
        <v/>
      </c>
      <c r="G74" s="83" t="str">
        <f>IF('Curs, Seminar'!I73&lt;&gt;"a","",'Curs, Seminar'!I73)</f>
        <v/>
      </c>
      <c r="H74" s="83" t="str">
        <f>IF('Curs, Seminar'!K73&lt;&gt;"a","",'Curs, Seminar'!K73)</f>
        <v/>
      </c>
      <c r="I74" s="80"/>
      <c r="J74" s="80"/>
      <c r="K74" s="79"/>
    </row>
    <row r="75" spans="1:11" ht="19.95" customHeight="1" x14ac:dyDescent="0.3">
      <c r="A75" s="91" t="str">
        <f>'Curs, Seminar'!B74</f>
        <v/>
      </c>
      <c r="B75" s="92" t="str">
        <f>IF(NOT(ISBLANK('Curs, Seminar'!C74)),'Curs, Seminar'!C74,"")</f>
        <v/>
      </c>
      <c r="C75" s="83" t="str">
        <f>IF('Curs, Seminar'!E74&lt;&gt;"a","",'Curs, Seminar'!E74)</f>
        <v/>
      </c>
      <c r="D75" s="83" t="str">
        <f>IF('Curs, Seminar'!F74&lt;&gt;"a","",'Curs, Seminar'!F74)</f>
        <v/>
      </c>
      <c r="E75" s="83" t="str">
        <f>IF('Curs, Seminar'!G74&lt;&gt;"a","",'Curs, Seminar'!G74)</f>
        <v/>
      </c>
      <c r="F75" s="83" t="str">
        <f>IF('Curs, Seminar'!H74&lt;&gt;"a","",'Curs, Seminar'!H74)</f>
        <v/>
      </c>
      <c r="G75" s="83" t="str">
        <f>IF('Curs, Seminar'!I74&lt;&gt;"a","",'Curs, Seminar'!I74)</f>
        <v/>
      </c>
      <c r="H75" s="83" t="str">
        <f>IF('Curs, Seminar'!K74&lt;&gt;"a","",'Curs, Seminar'!K74)</f>
        <v/>
      </c>
      <c r="I75" s="80"/>
      <c r="J75" s="80"/>
      <c r="K75" s="79"/>
    </row>
    <row r="76" spans="1:11" ht="19.95" customHeight="1" x14ac:dyDescent="0.3">
      <c r="A76" s="91" t="str">
        <f>'Curs, Seminar'!B75</f>
        <v/>
      </c>
      <c r="B76" s="92" t="str">
        <f>IF(NOT(ISBLANK('Curs, Seminar'!C75)),'Curs, Seminar'!C75,"")</f>
        <v/>
      </c>
      <c r="C76" s="83" t="str">
        <f>IF('Curs, Seminar'!E75&lt;&gt;"a","",'Curs, Seminar'!E75)</f>
        <v/>
      </c>
      <c r="D76" s="83" t="str">
        <f>IF('Curs, Seminar'!F75&lt;&gt;"a","",'Curs, Seminar'!F75)</f>
        <v/>
      </c>
      <c r="E76" s="83" t="str">
        <f>IF('Curs, Seminar'!G75&lt;&gt;"a","",'Curs, Seminar'!G75)</f>
        <v/>
      </c>
      <c r="F76" s="83" t="str">
        <f>IF('Curs, Seminar'!H75&lt;&gt;"a","",'Curs, Seminar'!H75)</f>
        <v/>
      </c>
      <c r="G76" s="83" t="str">
        <f>IF('Curs, Seminar'!I75&lt;&gt;"a","",'Curs, Seminar'!I75)</f>
        <v/>
      </c>
      <c r="H76" s="83" t="str">
        <f>IF('Curs, Seminar'!K75&lt;&gt;"a","",'Curs, Seminar'!K75)</f>
        <v/>
      </c>
      <c r="I76" s="80"/>
      <c r="J76" s="80"/>
      <c r="K76" s="79"/>
    </row>
    <row r="77" spans="1:11" ht="19.95" customHeight="1" x14ac:dyDescent="0.3">
      <c r="A77" s="91" t="str">
        <f>'Curs, Seminar'!B76</f>
        <v/>
      </c>
      <c r="B77" s="92" t="str">
        <f>IF(NOT(ISBLANK('Curs, Seminar'!C76)),'Curs, Seminar'!C76,"")</f>
        <v/>
      </c>
      <c r="C77" s="83" t="str">
        <f>IF('Curs, Seminar'!E76&lt;&gt;"a","",'Curs, Seminar'!E76)</f>
        <v/>
      </c>
      <c r="D77" s="83" t="str">
        <f>IF('Curs, Seminar'!F76&lt;&gt;"a","",'Curs, Seminar'!F76)</f>
        <v/>
      </c>
      <c r="E77" s="83" t="str">
        <f>IF('Curs, Seminar'!G76&lt;&gt;"a","",'Curs, Seminar'!G76)</f>
        <v/>
      </c>
      <c r="F77" s="83" t="str">
        <f>IF('Curs, Seminar'!H76&lt;&gt;"a","",'Curs, Seminar'!H76)</f>
        <v/>
      </c>
      <c r="G77" s="83" t="str">
        <f>IF('Curs, Seminar'!I76&lt;&gt;"a","",'Curs, Seminar'!I76)</f>
        <v/>
      </c>
      <c r="H77" s="83" t="str">
        <f>IF('Curs, Seminar'!K76&lt;&gt;"a","",'Curs, Seminar'!K76)</f>
        <v/>
      </c>
      <c r="I77" s="80"/>
      <c r="J77" s="80"/>
      <c r="K77" s="79"/>
    </row>
    <row r="78" spans="1:11" ht="19.95" customHeight="1" x14ac:dyDescent="0.3">
      <c r="A78" s="91" t="str">
        <f>'Curs, Seminar'!B77</f>
        <v/>
      </c>
      <c r="B78" s="92" t="str">
        <f>IF(NOT(ISBLANK('Curs, Seminar'!C77)),'Curs, Seminar'!C77,"")</f>
        <v/>
      </c>
      <c r="C78" s="83" t="str">
        <f>IF('Curs, Seminar'!E77&lt;&gt;"a","",'Curs, Seminar'!E77)</f>
        <v/>
      </c>
      <c r="D78" s="83" t="str">
        <f>IF('Curs, Seminar'!F77&lt;&gt;"a","",'Curs, Seminar'!F77)</f>
        <v/>
      </c>
      <c r="E78" s="83" t="str">
        <f>IF('Curs, Seminar'!G77&lt;&gt;"a","",'Curs, Seminar'!G77)</f>
        <v/>
      </c>
      <c r="F78" s="83" t="str">
        <f>IF('Curs, Seminar'!H77&lt;&gt;"a","",'Curs, Seminar'!H77)</f>
        <v/>
      </c>
      <c r="G78" s="83" t="str">
        <f>IF('Curs, Seminar'!I77&lt;&gt;"a","",'Curs, Seminar'!I77)</f>
        <v/>
      </c>
      <c r="H78" s="83" t="str">
        <f>IF('Curs, Seminar'!K77&lt;&gt;"a","",'Curs, Seminar'!K77)</f>
        <v/>
      </c>
      <c r="I78" s="80"/>
      <c r="J78" s="80"/>
      <c r="K78" s="79"/>
    </row>
    <row r="79" spans="1:11" ht="19.95" customHeight="1" x14ac:dyDescent="0.3">
      <c r="A79" s="91" t="str">
        <f>'Curs, Seminar'!B78</f>
        <v/>
      </c>
      <c r="B79" s="92" t="str">
        <f>IF(NOT(ISBLANK('Curs, Seminar'!C78)),'Curs, Seminar'!C78,"")</f>
        <v/>
      </c>
      <c r="C79" s="83" t="str">
        <f>IF('Curs, Seminar'!E78&lt;&gt;"a","",'Curs, Seminar'!E78)</f>
        <v/>
      </c>
      <c r="D79" s="83" t="str">
        <f>IF('Curs, Seminar'!F78&lt;&gt;"a","",'Curs, Seminar'!F78)</f>
        <v/>
      </c>
      <c r="E79" s="83" t="str">
        <f>IF('Curs, Seminar'!G78&lt;&gt;"a","",'Curs, Seminar'!G78)</f>
        <v/>
      </c>
      <c r="F79" s="83" t="str">
        <f>IF('Curs, Seminar'!H78&lt;&gt;"a","",'Curs, Seminar'!H78)</f>
        <v/>
      </c>
      <c r="G79" s="83" t="str">
        <f>IF('Curs, Seminar'!I78&lt;&gt;"a","",'Curs, Seminar'!I78)</f>
        <v/>
      </c>
      <c r="H79" s="83" t="str">
        <f>IF('Curs, Seminar'!K78&lt;&gt;"a","",'Curs, Seminar'!K78)</f>
        <v/>
      </c>
      <c r="I79" s="80"/>
      <c r="J79" s="80"/>
      <c r="K79" s="79"/>
    </row>
    <row r="80" spans="1:11" ht="19.95" customHeight="1" x14ac:dyDescent="0.3">
      <c r="A80" s="91" t="str">
        <f>'Curs, Seminar'!B79</f>
        <v/>
      </c>
      <c r="B80" s="92" t="str">
        <f>IF(NOT(ISBLANK('Curs, Seminar'!C79)),'Curs, Seminar'!C79,"")</f>
        <v/>
      </c>
      <c r="C80" s="83" t="str">
        <f>IF('Curs, Seminar'!E79&lt;&gt;"a","",'Curs, Seminar'!E79)</f>
        <v/>
      </c>
      <c r="D80" s="83" t="str">
        <f>IF('Curs, Seminar'!F79&lt;&gt;"a","",'Curs, Seminar'!F79)</f>
        <v/>
      </c>
      <c r="E80" s="83" t="str">
        <f>IF('Curs, Seminar'!G79&lt;&gt;"a","",'Curs, Seminar'!G79)</f>
        <v/>
      </c>
      <c r="F80" s="83" t="str">
        <f>IF('Curs, Seminar'!H79&lt;&gt;"a","",'Curs, Seminar'!H79)</f>
        <v/>
      </c>
      <c r="G80" s="83" t="str">
        <f>IF('Curs, Seminar'!I79&lt;&gt;"a","",'Curs, Seminar'!I79)</f>
        <v/>
      </c>
      <c r="H80" s="83" t="str">
        <f>IF('Curs, Seminar'!K79&lt;&gt;"a","",'Curs, Seminar'!K79)</f>
        <v/>
      </c>
      <c r="I80" s="80"/>
      <c r="J80" s="80"/>
      <c r="K80" s="79"/>
    </row>
    <row r="81" spans="1:11" ht="19.95" customHeight="1" x14ac:dyDescent="0.3">
      <c r="A81" s="91" t="str">
        <f>'Curs, Seminar'!B80</f>
        <v/>
      </c>
      <c r="B81" s="92" t="str">
        <f>IF(NOT(ISBLANK('Curs, Seminar'!C80)),'Curs, Seminar'!C80,"")</f>
        <v/>
      </c>
      <c r="C81" s="83" t="str">
        <f>IF('Curs, Seminar'!E80&lt;&gt;"a","",'Curs, Seminar'!E80)</f>
        <v/>
      </c>
      <c r="D81" s="83" t="str">
        <f>IF('Curs, Seminar'!F80&lt;&gt;"a","",'Curs, Seminar'!F80)</f>
        <v/>
      </c>
      <c r="E81" s="83" t="str">
        <f>IF('Curs, Seminar'!G80&lt;&gt;"a","",'Curs, Seminar'!G80)</f>
        <v/>
      </c>
      <c r="F81" s="83" t="str">
        <f>IF('Curs, Seminar'!H80&lt;&gt;"a","",'Curs, Seminar'!H80)</f>
        <v/>
      </c>
      <c r="G81" s="83" t="str">
        <f>IF('Curs, Seminar'!I80&lt;&gt;"a","",'Curs, Seminar'!I80)</f>
        <v/>
      </c>
      <c r="H81" s="83" t="str">
        <f>IF('Curs, Seminar'!K80&lt;&gt;"a","",'Curs, Seminar'!K80)</f>
        <v/>
      </c>
      <c r="I81" s="80"/>
      <c r="J81" s="80"/>
      <c r="K81" s="79"/>
    </row>
    <row r="82" spans="1:11" ht="19.95" customHeight="1" x14ac:dyDescent="0.3">
      <c r="A82" s="91" t="str">
        <f>'Curs, Seminar'!B81</f>
        <v/>
      </c>
      <c r="B82" s="92" t="str">
        <f>IF(NOT(ISBLANK('Curs, Seminar'!C81)),'Curs, Seminar'!C81,"")</f>
        <v/>
      </c>
      <c r="C82" s="83" t="str">
        <f>IF('Curs, Seminar'!E81&lt;&gt;"a","",'Curs, Seminar'!E81)</f>
        <v/>
      </c>
      <c r="D82" s="83" t="str">
        <f>IF('Curs, Seminar'!F81&lt;&gt;"a","",'Curs, Seminar'!F81)</f>
        <v/>
      </c>
      <c r="E82" s="83" t="str">
        <f>IF('Curs, Seminar'!G81&lt;&gt;"a","",'Curs, Seminar'!G81)</f>
        <v/>
      </c>
      <c r="F82" s="83" t="str">
        <f>IF('Curs, Seminar'!H81&lt;&gt;"a","",'Curs, Seminar'!H81)</f>
        <v/>
      </c>
      <c r="G82" s="83" t="str">
        <f>IF('Curs, Seminar'!I81&lt;&gt;"a","",'Curs, Seminar'!I81)</f>
        <v/>
      </c>
      <c r="H82" s="83" t="str">
        <f>IF('Curs, Seminar'!K81&lt;&gt;"a","",'Curs, Seminar'!K81)</f>
        <v/>
      </c>
      <c r="I82" s="80"/>
      <c r="J82" s="80"/>
      <c r="K82" s="79"/>
    </row>
    <row r="83" spans="1:11" ht="19.95" customHeight="1" x14ac:dyDescent="0.3">
      <c r="A83" s="91" t="str">
        <f>'Curs, Seminar'!B82</f>
        <v/>
      </c>
      <c r="B83" s="92" t="str">
        <f>IF(NOT(ISBLANK('Curs, Seminar'!C82)),'Curs, Seminar'!C82,"")</f>
        <v/>
      </c>
      <c r="C83" s="83" t="str">
        <f>IF('Curs, Seminar'!E82&lt;&gt;"a","",'Curs, Seminar'!E82)</f>
        <v/>
      </c>
      <c r="D83" s="83" t="str">
        <f>IF('Curs, Seminar'!F82&lt;&gt;"a","",'Curs, Seminar'!F82)</f>
        <v/>
      </c>
      <c r="E83" s="83" t="str">
        <f>IF('Curs, Seminar'!G82&lt;&gt;"a","",'Curs, Seminar'!G82)</f>
        <v/>
      </c>
      <c r="F83" s="83" t="str">
        <f>IF('Curs, Seminar'!H82&lt;&gt;"a","",'Curs, Seminar'!H82)</f>
        <v/>
      </c>
      <c r="G83" s="83" t="str">
        <f>IF('Curs, Seminar'!I82&lt;&gt;"a","",'Curs, Seminar'!I82)</f>
        <v/>
      </c>
      <c r="H83" s="83" t="str">
        <f>IF('Curs, Seminar'!K82&lt;&gt;"a","",'Curs, Seminar'!K82)</f>
        <v/>
      </c>
      <c r="I83" s="80"/>
      <c r="J83" s="80"/>
      <c r="K83" s="79"/>
    </row>
    <row r="84" spans="1:11" ht="19.95" customHeight="1" x14ac:dyDescent="0.3">
      <c r="A84" s="91" t="str">
        <f>'Curs, Seminar'!B83</f>
        <v/>
      </c>
      <c r="B84" s="92" t="str">
        <f>IF(NOT(ISBLANK('Curs, Seminar'!C83)),'Curs, Seminar'!C83,"")</f>
        <v/>
      </c>
      <c r="C84" s="83" t="str">
        <f>IF('Curs, Seminar'!E83&lt;&gt;"a","",'Curs, Seminar'!E83)</f>
        <v/>
      </c>
      <c r="D84" s="83" t="str">
        <f>IF('Curs, Seminar'!F83&lt;&gt;"a","",'Curs, Seminar'!F83)</f>
        <v/>
      </c>
      <c r="E84" s="83" t="str">
        <f>IF('Curs, Seminar'!G83&lt;&gt;"a","",'Curs, Seminar'!G83)</f>
        <v/>
      </c>
      <c r="F84" s="83" t="str">
        <f>IF('Curs, Seminar'!H83&lt;&gt;"a","",'Curs, Seminar'!H83)</f>
        <v/>
      </c>
      <c r="G84" s="83" t="str">
        <f>IF('Curs, Seminar'!I83&lt;&gt;"a","",'Curs, Seminar'!I83)</f>
        <v/>
      </c>
      <c r="H84" s="83" t="str">
        <f>IF('Curs, Seminar'!K83&lt;&gt;"a","",'Curs, Seminar'!K83)</f>
        <v/>
      </c>
      <c r="I84" s="80"/>
      <c r="J84" s="80"/>
      <c r="K84" s="79"/>
    </row>
    <row r="85" spans="1:11" ht="19.95" customHeight="1" x14ac:dyDescent="0.3">
      <c r="A85" s="91" t="str">
        <f>'Curs, Seminar'!B84</f>
        <v/>
      </c>
      <c r="B85" s="92" t="str">
        <f>IF(NOT(ISBLANK('Curs, Seminar'!C84)),'Curs, Seminar'!C84,"")</f>
        <v/>
      </c>
      <c r="C85" s="83" t="str">
        <f>IF('Curs, Seminar'!E84&lt;&gt;"a","",'Curs, Seminar'!E84)</f>
        <v/>
      </c>
      <c r="D85" s="83" t="str">
        <f>IF('Curs, Seminar'!F84&lt;&gt;"a","",'Curs, Seminar'!F84)</f>
        <v/>
      </c>
      <c r="E85" s="83" t="str">
        <f>IF('Curs, Seminar'!G84&lt;&gt;"a","",'Curs, Seminar'!G84)</f>
        <v/>
      </c>
      <c r="F85" s="83" t="str">
        <f>IF('Curs, Seminar'!H84&lt;&gt;"a","",'Curs, Seminar'!H84)</f>
        <v/>
      </c>
      <c r="G85" s="83" t="str">
        <f>IF('Curs, Seminar'!I84&lt;&gt;"a","",'Curs, Seminar'!I84)</f>
        <v/>
      </c>
      <c r="H85" s="83" t="str">
        <f>IF('Curs, Seminar'!K84&lt;&gt;"a","",'Curs, Seminar'!K84)</f>
        <v/>
      </c>
      <c r="I85" s="80"/>
      <c r="J85" s="80"/>
      <c r="K85" s="79"/>
    </row>
    <row r="86" spans="1:11" ht="19.95" customHeight="1" x14ac:dyDescent="0.3">
      <c r="A86" s="91" t="str">
        <f>'Curs, Seminar'!B85</f>
        <v/>
      </c>
      <c r="B86" s="92" t="str">
        <f>IF(NOT(ISBLANK('Curs, Seminar'!C85)),'Curs, Seminar'!C85,"")</f>
        <v/>
      </c>
      <c r="C86" s="83" t="str">
        <f>IF('Curs, Seminar'!E85&lt;&gt;"a","",'Curs, Seminar'!E85)</f>
        <v/>
      </c>
      <c r="D86" s="83" t="str">
        <f>IF('Curs, Seminar'!F85&lt;&gt;"a","",'Curs, Seminar'!F85)</f>
        <v/>
      </c>
      <c r="E86" s="83" t="str">
        <f>IF('Curs, Seminar'!G85&lt;&gt;"a","",'Curs, Seminar'!G85)</f>
        <v/>
      </c>
      <c r="F86" s="83" t="str">
        <f>IF('Curs, Seminar'!H85&lt;&gt;"a","",'Curs, Seminar'!H85)</f>
        <v/>
      </c>
      <c r="G86" s="83" t="str">
        <f>IF('Curs, Seminar'!I85&lt;&gt;"a","",'Curs, Seminar'!I85)</f>
        <v/>
      </c>
      <c r="H86" s="83" t="str">
        <f>IF('Curs, Seminar'!K85&lt;&gt;"a","",'Curs, Seminar'!K85)</f>
        <v/>
      </c>
      <c r="I86" s="80"/>
      <c r="J86" s="80"/>
      <c r="K86" s="79"/>
    </row>
    <row r="87" spans="1:11" ht="19.95" customHeight="1" x14ac:dyDescent="0.3">
      <c r="A87" s="91" t="str">
        <f>'Curs, Seminar'!B86</f>
        <v/>
      </c>
      <c r="B87" s="92" t="str">
        <f>IF(NOT(ISBLANK('Curs, Seminar'!C86)),'Curs, Seminar'!C86,"")</f>
        <v/>
      </c>
      <c r="C87" s="83" t="str">
        <f>IF('Curs, Seminar'!E86&lt;&gt;"a","",'Curs, Seminar'!E86)</f>
        <v/>
      </c>
      <c r="D87" s="83" t="str">
        <f>IF('Curs, Seminar'!F86&lt;&gt;"a","",'Curs, Seminar'!F86)</f>
        <v/>
      </c>
      <c r="E87" s="83" t="str">
        <f>IF('Curs, Seminar'!G86&lt;&gt;"a","",'Curs, Seminar'!G86)</f>
        <v/>
      </c>
      <c r="F87" s="83" t="str">
        <f>IF('Curs, Seminar'!H86&lt;&gt;"a","",'Curs, Seminar'!H86)</f>
        <v/>
      </c>
      <c r="G87" s="83" t="str">
        <f>IF('Curs, Seminar'!I86&lt;&gt;"a","",'Curs, Seminar'!I86)</f>
        <v/>
      </c>
      <c r="H87" s="83" t="str">
        <f>IF('Curs, Seminar'!K86&lt;&gt;"a","",'Curs, Seminar'!K86)</f>
        <v/>
      </c>
      <c r="I87" s="80"/>
      <c r="J87" s="80"/>
      <c r="K87" s="79"/>
    </row>
    <row r="88" spans="1:11" ht="19.95" customHeight="1" x14ac:dyDescent="0.3">
      <c r="A88" s="91" t="str">
        <f>'Curs, Seminar'!B87</f>
        <v/>
      </c>
      <c r="B88" s="92" t="str">
        <f>IF(NOT(ISBLANK('Curs, Seminar'!C87)),'Curs, Seminar'!C87,"")</f>
        <v/>
      </c>
      <c r="C88" s="83" t="str">
        <f>IF('Curs, Seminar'!E87&lt;&gt;"a","",'Curs, Seminar'!E87)</f>
        <v/>
      </c>
      <c r="D88" s="83" t="str">
        <f>IF('Curs, Seminar'!F87&lt;&gt;"a","",'Curs, Seminar'!F87)</f>
        <v/>
      </c>
      <c r="E88" s="83" t="str">
        <f>IF('Curs, Seminar'!G87&lt;&gt;"a","",'Curs, Seminar'!G87)</f>
        <v/>
      </c>
      <c r="F88" s="83" t="str">
        <f>IF('Curs, Seminar'!H87&lt;&gt;"a","",'Curs, Seminar'!H87)</f>
        <v/>
      </c>
      <c r="G88" s="83" t="str">
        <f>IF('Curs, Seminar'!I87&lt;&gt;"a","",'Curs, Seminar'!I87)</f>
        <v/>
      </c>
      <c r="H88" s="83" t="str">
        <f>IF('Curs, Seminar'!K87&lt;&gt;"a","",'Curs, Seminar'!K87)</f>
        <v/>
      </c>
      <c r="I88" s="80"/>
      <c r="J88" s="80"/>
      <c r="K88" s="79"/>
    </row>
    <row r="89" spans="1:11" ht="19.95" customHeight="1" x14ac:dyDescent="0.3">
      <c r="A89" s="91" t="str">
        <f>'Curs, Seminar'!B88</f>
        <v/>
      </c>
      <c r="B89" s="92" t="str">
        <f>IF(NOT(ISBLANK('Curs, Seminar'!C88)),'Curs, Seminar'!C88,"")</f>
        <v/>
      </c>
      <c r="C89" s="83" t="str">
        <f>IF('Curs, Seminar'!E88&lt;&gt;"a","",'Curs, Seminar'!E88)</f>
        <v/>
      </c>
      <c r="D89" s="83" t="str">
        <f>IF('Curs, Seminar'!F88&lt;&gt;"a","",'Curs, Seminar'!F88)</f>
        <v/>
      </c>
      <c r="E89" s="83" t="str">
        <f>IF('Curs, Seminar'!G88&lt;&gt;"a","",'Curs, Seminar'!G88)</f>
        <v/>
      </c>
      <c r="F89" s="83" t="str">
        <f>IF('Curs, Seminar'!H88&lt;&gt;"a","",'Curs, Seminar'!H88)</f>
        <v/>
      </c>
      <c r="G89" s="83" t="str">
        <f>IF('Curs, Seminar'!I88&lt;&gt;"a","",'Curs, Seminar'!I88)</f>
        <v/>
      </c>
      <c r="H89" s="83" t="str">
        <f>IF('Curs, Seminar'!K88&lt;&gt;"a","",'Curs, Seminar'!K88)</f>
        <v/>
      </c>
      <c r="I89" s="80"/>
      <c r="J89" s="80"/>
      <c r="K89" s="79"/>
    </row>
    <row r="90" spans="1:11" ht="19.95" customHeight="1" x14ac:dyDescent="0.3">
      <c r="A90" s="91" t="str">
        <f>'Curs, Seminar'!B89</f>
        <v/>
      </c>
      <c r="B90" s="92" t="str">
        <f>IF(NOT(ISBLANK('Curs, Seminar'!C89)),'Curs, Seminar'!C89,"")</f>
        <v/>
      </c>
      <c r="C90" s="83" t="str">
        <f>IF('Curs, Seminar'!E89&lt;&gt;"a","",'Curs, Seminar'!E89)</f>
        <v/>
      </c>
      <c r="D90" s="83" t="str">
        <f>IF('Curs, Seminar'!F89&lt;&gt;"a","",'Curs, Seminar'!F89)</f>
        <v/>
      </c>
      <c r="E90" s="83" t="str">
        <f>IF('Curs, Seminar'!G89&lt;&gt;"a","",'Curs, Seminar'!G89)</f>
        <v/>
      </c>
      <c r="F90" s="83" t="str">
        <f>IF('Curs, Seminar'!H89&lt;&gt;"a","",'Curs, Seminar'!H89)</f>
        <v/>
      </c>
      <c r="G90" s="83" t="str">
        <f>IF('Curs, Seminar'!I89&lt;&gt;"a","",'Curs, Seminar'!I89)</f>
        <v/>
      </c>
      <c r="H90" s="83" t="str">
        <f>IF('Curs, Seminar'!K89&lt;&gt;"a","",'Curs, Seminar'!K89)</f>
        <v/>
      </c>
      <c r="I90" s="80"/>
      <c r="J90" s="80"/>
      <c r="K90" s="79"/>
    </row>
    <row r="91" spans="1:11" ht="19.95" customHeight="1" x14ac:dyDescent="0.3">
      <c r="A91" s="91" t="str">
        <f>'Curs, Seminar'!B90</f>
        <v/>
      </c>
      <c r="B91" s="92" t="str">
        <f>IF(NOT(ISBLANK('Curs, Seminar'!C90)),'Curs, Seminar'!C90,"")</f>
        <v/>
      </c>
      <c r="C91" s="83" t="str">
        <f>IF('Curs, Seminar'!E90&lt;&gt;"a","",'Curs, Seminar'!E90)</f>
        <v/>
      </c>
      <c r="D91" s="83" t="str">
        <f>IF('Curs, Seminar'!F90&lt;&gt;"a","",'Curs, Seminar'!F90)</f>
        <v/>
      </c>
      <c r="E91" s="83" t="str">
        <f>IF('Curs, Seminar'!G90&lt;&gt;"a","",'Curs, Seminar'!G90)</f>
        <v/>
      </c>
      <c r="F91" s="83" t="str">
        <f>IF('Curs, Seminar'!H90&lt;&gt;"a","",'Curs, Seminar'!H90)</f>
        <v/>
      </c>
      <c r="G91" s="83" t="str">
        <f>IF('Curs, Seminar'!I90&lt;&gt;"a","",'Curs, Seminar'!I90)</f>
        <v/>
      </c>
      <c r="H91" s="83" t="str">
        <f>IF('Curs, Seminar'!K90&lt;&gt;"a","",'Curs, Seminar'!K90)</f>
        <v/>
      </c>
      <c r="I91" s="80"/>
      <c r="J91" s="80"/>
      <c r="K91" s="79"/>
    </row>
    <row r="92" spans="1:11" ht="19.95" customHeight="1" x14ac:dyDescent="0.3">
      <c r="A92" s="91" t="str">
        <f>'Curs, Seminar'!B91</f>
        <v/>
      </c>
      <c r="B92" s="92" t="str">
        <f>IF(NOT(ISBLANK('Curs, Seminar'!C91)),'Curs, Seminar'!C91,"")</f>
        <v/>
      </c>
      <c r="C92" s="83" t="str">
        <f>IF('Curs, Seminar'!E91&lt;&gt;"a","",'Curs, Seminar'!E91)</f>
        <v/>
      </c>
      <c r="D92" s="83" t="str">
        <f>IF('Curs, Seminar'!F91&lt;&gt;"a","",'Curs, Seminar'!F91)</f>
        <v/>
      </c>
      <c r="E92" s="83" t="str">
        <f>IF('Curs, Seminar'!G91&lt;&gt;"a","",'Curs, Seminar'!G91)</f>
        <v/>
      </c>
      <c r="F92" s="83" t="str">
        <f>IF('Curs, Seminar'!H91&lt;&gt;"a","",'Curs, Seminar'!H91)</f>
        <v/>
      </c>
      <c r="G92" s="83" t="str">
        <f>IF('Curs, Seminar'!I91&lt;&gt;"a","",'Curs, Seminar'!I91)</f>
        <v/>
      </c>
      <c r="H92" s="83" t="str">
        <f>IF('Curs, Seminar'!K91&lt;&gt;"a","",'Curs, Seminar'!K91)</f>
        <v/>
      </c>
      <c r="I92" s="80"/>
      <c r="J92" s="80"/>
      <c r="K92" s="79"/>
    </row>
    <row r="93" spans="1:11" ht="19.95" customHeight="1" x14ac:dyDescent="0.3">
      <c r="A93" s="91" t="str">
        <f>'Curs, Seminar'!B92</f>
        <v/>
      </c>
      <c r="B93" s="92" t="str">
        <f>IF(NOT(ISBLANK('Curs, Seminar'!C92)),'Curs, Seminar'!C92,"")</f>
        <v/>
      </c>
      <c r="C93" s="83" t="str">
        <f>IF('Curs, Seminar'!E92&lt;&gt;"a","",'Curs, Seminar'!E92)</f>
        <v/>
      </c>
      <c r="D93" s="83" t="str">
        <f>IF('Curs, Seminar'!F92&lt;&gt;"a","",'Curs, Seminar'!F92)</f>
        <v/>
      </c>
      <c r="E93" s="83" t="str">
        <f>IF('Curs, Seminar'!G92&lt;&gt;"a","",'Curs, Seminar'!G92)</f>
        <v/>
      </c>
      <c r="F93" s="83" t="str">
        <f>IF('Curs, Seminar'!H92&lt;&gt;"a","",'Curs, Seminar'!H92)</f>
        <v/>
      </c>
      <c r="G93" s="83" t="str">
        <f>IF('Curs, Seminar'!I92&lt;&gt;"a","",'Curs, Seminar'!I92)</f>
        <v/>
      </c>
      <c r="H93" s="83" t="str">
        <f>IF('Curs, Seminar'!K92&lt;&gt;"a","",'Curs, Seminar'!K92)</f>
        <v/>
      </c>
      <c r="I93" s="80"/>
      <c r="J93" s="80"/>
      <c r="K93" s="79"/>
    </row>
    <row r="94" spans="1:11" ht="19.95" customHeight="1" x14ac:dyDescent="0.3">
      <c r="A94" s="91" t="str">
        <f>'Curs, Seminar'!B93</f>
        <v/>
      </c>
      <c r="B94" s="92" t="str">
        <f>IF(NOT(ISBLANK('Curs, Seminar'!C93)),'Curs, Seminar'!C93,"")</f>
        <v/>
      </c>
      <c r="C94" s="83" t="str">
        <f>IF('Curs, Seminar'!E93&lt;&gt;"a","",'Curs, Seminar'!E93)</f>
        <v/>
      </c>
      <c r="D94" s="83" t="str">
        <f>IF('Curs, Seminar'!F93&lt;&gt;"a","",'Curs, Seminar'!F93)</f>
        <v/>
      </c>
      <c r="E94" s="83" t="str">
        <f>IF('Curs, Seminar'!G93&lt;&gt;"a","",'Curs, Seminar'!G93)</f>
        <v/>
      </c>
      <c r="F94" s="83" t="str">
        <f>IF('Curs, Seminar'!H93&lt;&gt;"a","",'Curs, Seminar'!H93)</f>
        <v/>
      </c>
      <c r="G94" s="83" t="str">
        <f>IF('Curs, Seminar'!I93&lt;&gt;"a","",'Curs, Seminar'!I93)</f>
        <v/>
      </c>
      <c r="H94" s="83" t="str">
        <f>IF('Curs, Seminar'!K93&lt;&gt;"a","",'Curs, Seminar'!K93)</f>
        <v/>
      </c>
      <c r="I94" s="80"/>
      <c r="J94" s="80"/>
      <c r="K94" s="79"/>
    </row>
    <row r="95" spans="1:11" ht="19.95" customHeight="1" x14ac:dyDescent="0.3">
      <c r="A95" s="91" t="str">
        <f>'Curs, Seminar'!B94</f>
        <v/>
      </c>
      <c r="B95" s="92" t="str">
        <f>IF(NOT(ISBLANK('Curs, Seminar'!C94)),'Curs, Seminar'!C94,"")</f>
        <v/>
      </c>
      <c r="C95" s="83" t="str">
        <f>IF('Curs, Seminar'!E94&lt;&gt;"a","",'Curs, Seminar'!E94)</f>
        <v/>
      </c>
      <c r="D95" s="83" t="str">
        <f>IF('Curs, Seminar'!F94&lt;&gt;"a","",'Curs, Seminar'!F94)</f>
        <v/>
      </c>
      <c r="E95" s="83" t="str">
        <f>IF('Curs, Seminar'!G94&lt;&gt;"a","",'Curs, Seminar'!G94)</f>
        <v/>
      </c>
      <c r="F95" s="83" t="str">
        <f>IF('Curs, Seminar'!H94&lt;&gt;"a","",'Curs, Seminar'!H94)</f>
        <v/>
      </c>
      <c r="G95" s="83" t="str">
        <f>IF('Curs, Seminar'!I94&lt;&gt;"a","",'Curs, Seminar'!I94)</f>
        <v/>
      </c>
      <c r="H95" s="83" t="str">
        <f>IF('Curs, Seminar'!K94&lt;&gt;"a","",'Curs, Seminar'!K94)</f>
        <v/>
      </c>
      <c r="I95" s="80"/>
      <c r="J95" s="80"/>
      <c r="K95" s="79"/>
    </row>
    <row r="96" spans="1:11" ht="19.95" customHeight="1" x14ac:dyDescent="0.3">
      <c r="A96" s="91" t="str">
        <f>'Curs, Seminar'!B95</f>
        <v/>
      </c>
      <c r="B96" s="92" t="str">
        <f>IF(NOT(ISBLANK('Curs, Seminar'!C95)),'Curs, Seminar'!C95,"")</f>
        <v/>
      </c>
      <c r="C96" s="83" t="str">
        <f>IF('Curs, Seminar'!E95&lt;&gt;"a","",'Curs, Seminar'!E95)</f>
        <v/>
      </c>
      <c r="D96" s="83" t="str">
        <f>IF('Curs, Seminar'!F95&lt;&gt;"a","",'Curs, Seminar'!F95)</f>
        <v/>
      </c>
      <c r="E96" s="83" t="str">
        <f>IF('Curs, Seminar'!G95&lt;&gt;"a","",'Curs, Seminar'!G95)</f>
        <v/>
      </c>
      <c r="F96" s="83" t="str">
        <f>IF('Curs, Seminar'!H95&lt;&gt;"a","",'Curs, Seminar'!H95)</f>
        <v/>
      </c>
      <c r="G96" s="83" t="str">
        <f>IF('Curs, Seminar'!I95&lt;&gt;"a","",'Curs, Seminar'!I95)</f>
        <v/>
      </c>
      <c r="H96" s="83" t="str">
        <f>IF('Curs, Seminar'!K95&lt;&gt;"a","",'Curs, Seminar'!K95)</f>
        <v/>
      </c>
      <c r="I96" s="80"/>
      <c r="J96" s="80"/>
      <c r="K96" s="79"/>
    </row>
    <row r="97" spans="1:11" ht="19.95" customHeight="1" x14ac:dyDescent="0.3">
      <c r="A97" s="91" t="str">
        <f>'Curs, Seminar'!B96</f>
        <v/>
      </c>
      <c r="B97" s="92" t="str">
        <f>IF(NOT(ISBLANK('Curs, Seminar'!C96)),'Curs, Seminar'!C96,"")</f>
        <v/>
      </c>
      <c r="C97" s="83" t="str">
        <f>IF('Curs, Seminar'!E96&lt;&gt;"a","",'Curs, Seminar'!E96)</f>
        <v/>
      </c>
      <c r="D97" s="83" t="str">
        <f>IF('Curs, Seminar'!F96&lt;&gt;"a","",'Curs, Seminar'!F96)</f>
        <v/>
      </c>
      <c r="E97" s="83" t="str">
        <f>IF('Curs, Seminar'!G96&lt;&gt;"a","",'Curs, Seminar'!G96)</f>
        <v/>
      </c>
      <c r="F97" s="83" t="str">
        <f>IF('Curs, Seminar'!H96&lt;&gt;"a","",'Curs, Seminar'!H96)</f>
        <v/>
      </c>
      <c r="G97" s="83" t="str">
        <f>IF('Curs, Seminar'!I96&lt;&gt;"a","",'Curs, Seminar'!I96)</f>
        <v/>
      </c>
      <c r="H97" s="83" t="str">
        <f>IF('Curs, Seminar'!K96&lt;&gt;"a","",'Curs, Seminar'!K96)</f>
        <v/>
      </c>
      <c r="I97" s="80"/>
      <c r="J97" s="80"/>
      <c r="K97" s="79"/>
    </row>
    <row r="98" spans="1:11" ht="19.95" customHeight="1" x14ac:dyDescent="0.3">
      <c r="A98" s="91" t="str">
        <f>'Curs, Seminar'!B97</f>
        <v/>
      </c>
      <c r="B98" s="92" t="str">
        <f>IF(NOT(ISBLANK('Curs, Seminar'!C97)),'Curs, Seminar'!C97,"")</f>
        <v/>
      </c>
      <c r="C98" s="83" t="str">
        <f>IF('Curs, Seminar'!E97&lt;&gt;"a","",'Curs, Seminar'!E97)</f>
        <v/>
      </c>
      <c r="D98" s="83" t="str">
        <f>IF('Curs, Seminar'!F97&lt;&gt;"a","",'Curs, Seminar'!F97)</f>
        <v/>
      </c>
      <c r="E98" s="83" t="str">
        <f>IF('Curs, Seminar'!G97&lt;&gt;"a","",'Curs, Seminar'!G97)</f>
        <v/>
      </c>
      <c r="F98" s="83" t="str">
        <f>IF('Curs, Seminar'!H97&lt;&gt;"a","",'Curs, Seminar'!H97)</f>
        <v/>
      </c>
      <c r="G98" s="83" t="str">
        <f>IF('Curs, Seminar'!I97&lt;&gt;"a","",'Curs, Seminar'!I97)</f>
        <v/>
      </c>
      <c r="H98" s="83" t="str">
        <f>IF('Curs, Seminar'!K97&lt;&gt;"a","",'Curs, Seminar'!K97)</f>
        <v/>
      </c>
      <c r="I98" s="80"/>
      <c r="J98" s="80"/>
      <c r="K98" s="79"/>
    </row>
    <row r="99" spans="1:11" ht="19.95" customHeight="1" x14ac:dyDescent="0.3">
      <c r="A99" s="91" t="str">
        <f>'Curs, Seminar'!B98</f>
        <v/>
      </c>
      <c r="B99" s="92" t="str">
        <f>IF(NOT(ISBLANK('Curs, Seminar'!C98)),'Curs, Seminar'!C98,"")</f>
        <v/>
      </c>
      <c r="C99" s="83" t="str">
        <f>IF('Curs, Seminar'!E98&lt;&gt;"a","",'Curs, Seminar'!E98)</f>
        <v/>
      </c>
      <c r="D99" s="83" t="str">
        <f>IF('Curs, Seminar'!F98&lt;&gt;"a","",'Curs, Seminar'!F98)</f>
        <v/>
      </c>
      <c r="E99" s="83" t="str">
        <f>IF('Curs, Seminar'!G98&lt;&gt;"a","",'Curs, Seminar'!G98)</f>
        <v/>
      </c>
      <c r="F99" s="83" t="str">
        <f>IF('Curs, Seminar'!H98&lt;&gt;"a","",'Curs, Seminar'!H98)</f>
        <v/>
      </c>
      <c r="G99" s="83" t="str">
        <f>IF('Curs, Seminar'!I98&lt;&gt;"a","",'Curs, Seminar'!I98)</f>
        <v/>
      </c>
      <c r="H99" s="83" t="str">
        <f>IF('Curs, Seminar'!K98&lt;&gt;"a","",'Curs, Seminar'!K98)</f>
        <v/>
      </c>
      <c r="I99" s="80"/>
      <c r="J99" s="80"/>
      <c r="K99" s="79"/>
    </row>
    <row r="100" spans="1:11" ht="19.95" customHeight="1" x14ac:dyDescent="0.3">
      <c r="A100" s="91" t="str">
        <f>'Curs, Seminar'!B99</f>
        <v/>
      </c>
      <c r="B100" s="92" t="str">
        <f>IF(NOT(ISBLANK('Curs, Seminar'!C99)),'Curs, Seminar'!C99,"")</f>
        <v/>
      </c>
      <c r="C100" s="83" t="str">
        <f>IF('Curs, Seminar'!E99&lt;&gt;"a","",'Curs, Seminar'!E99)</f>
        <v/>
      </c>
      <c r="D100" s="83" t="str">
        <f>IF('Curs, Seminar'!F99&lt;&gt;"a","",'Curs, Seminar'!F99)</f>
        <v/>
      </c>
      <c r="E100" s="83" t="str">
        <f>IF('Curs, Seminar'!G99&lt;&gt;"a","",'Curs, Seminar'!G99)</f>
        <v/>
      </c>
      <c r="F100" s="83" t="str">
        <f>IF('Curs, Seminar'!H99&lt;&gt;"a","",'Curs, Seminar'!H99)</f>
        <v/>
      </c>
      <c r="G100" s="83" t="str">
        <f>IF('Curs, Seminar'!I99&lt;&gt;"a","",'Curs, Seminar'!I99)</f>
        <v/>
      </c>
      <c r="H100" s="83" t="str">
        <f>IF('Curs, Seminar'!K99&lt;&gt;"a","",'Curs, Seminar'!K99)</f>
        <v/>
      </c>
      <c r="I100" s="80"/>
      <c r="J100" s="80"/>
      <c r="K100" s="79"/>
    </row>
    <row r="101" spans="1:11" ht="19.95" customHeight="1" x14ac:dyDescent="0.3">
      <c r="A101" s="91" t="str">
        <f>'Curs, Seminar'!B100</f>
        <v/>
      </c>
      <c r="B101" s="92" t="str">
        <f>IF(NOT(ISBLANK('Curs, Seminar'!C100)),'Curs, Seminar'!C100,"")</f>
        <v/>
      </c>
      <c r="C101" s="83" t="str">
        <f>IF('Curs, Seminar'!E100&lt;&gt;"a","",'Curs, Seminar'!E100)</f>
        <v/>
      </c>
      <c r="D101" s="83" t="str">
        <f>IF('Curs, Seminar'!F100&lt;&gt;"a","",'Curs, Seminar'!F100)</f>
        <v/>
      </c>
      <c r="E101" s="83" t="str">
        <f>IF('Curs, Seminar'!G100&lt;&gt;"a","",'Curs, Seminar'!G100)</f>
        <v/>
      </c>
      <c r="F101" s="83" t="str">
        <f>IF('Curs, Seminar'!H100&lt;&gt;"a","",'Curs, Seminar'!H100)</f>
        <v/>
      </c>
      <c r="G101" s="83" t="str">
        <f>IF('Curs, Seminar'!I100&lt;&gt;"a","",'Curs, Seminar'!I100)</f>
        <v/>
      </c>
      <c r="H101" s="83" t="str">
        <f>IF('Curs, Seminar'!K100&lt;&gt;"a","",'Curs, Seminar'!K100)</f>
        <v/>
      </c>
      <c r="I101" s="80"/>
      <c r="J101" s="80"/>
      <c r="K101" s="79"/>
    </row>
    <row r="102" spans="1:11" ht="19.95" customHeight="1" x14ac:dyDescent="0.3">
      <c r="A102" s="91" t="str">
        <f>'Curs, Seminar'!B101</f>
        <v/>
      </c>
      <c r="B102" s="92" t="str">
        <f>IF(NOT(ISBLANK('Curs, Seminar'!C101)),'Curs, Seminar'!C101,"")</f>
        <v/>
      </c>
      <c r="C102" s="83" t="str">
        <f>IF('Curs, Seminar'!E101&lt;&gt;"a","",'Curs, Seminar'!E101)</f>
        <v/>
      </c>
      <c r="D102" s="83" t="str">
        <f>IF('Curs, Seminar'!F101&lt;&gt;"a","",'Curs, Seminar'!F101)</f>
        <v/>
      </c>
      <c r="E102" s="83" t="str">
        <f>IF('Curs, Seminar'!G101&lt;&gt;"a","",'Curs, Seminar'!G101)</f>
        <v/>
      </c>
      <c r="F102" s="83" t="str">
        <f>IF('Curs, Seminar'!H101&lt;&gt;"a","",'Curs, Seminar'!H101)</f>
        <v/>
      </c>
      <c r="G102" s="83" t="str">
        <f>IF('Curs, Seminar'!I101&lt;&gt;"a","",'Curs, Seminar'!I101)</f>
        <v/>
      </c>
      <c r="H102" s="83" t="str">
        <f>IF('Curs, Seminar'!K101&lt;&gt;"a","",'Curs, Seminar'!K101)</f>
        <v/>
      </c>
      <c r="I102" s="80"/>
      <c r="J102" s="80"/>
      <c r="K102" s="79"/>
    </row>
    <row r="103" spans="1:11" ht="19.95" customHeight="1" x14ac:dyDescent="0.3">
      <c r="A103" s="91" t="str">
        <f>'Curs, Seminar'!B102</f>
        <v/>
      </c>
      <c r="B103" s="92" t="str">
        <f>IF(NOT(ISBLANK('Curs, Seminar'!C102)),'Curs, Seminar'!C102,"")</f>
        <v/>
      </c>
      <c r="C103" s="83" t="str">
        <f>IF('Curs, Seminar'!E102&lt;&gt;"a","",'Curs, Seminar'!E102)</f>
        <v/>
      </c>
      <c r="D103" s="83" t="str">
        <f>IF('Curs, Seminar'!F102&lt;&gt;"a","",'Curs, Seminar'!F102)</f>
        <v/>
      </c>
      <c r="E103" s="83" t="str">
        <f>IF('Curs, Seminar'!G102&lt;&gt;"a","",'Curs, Seminar'!G102)</f>
        <v/>
      </c>
      <c r="F103" s="83" t="str">
        <f>IF('Curs, Seminar'!H102&lt;&gt;"a","",'Curs, Seminar'!H102)</f>
        <v/>
      </c>
      <c r="G103" s="83" t="str">
        <f>IF('Curs, Seminar'!I102&lt;&gt;"a","",'Curs, Seminar'!I102)</f>
        <v/>
      </c>
      <c r="H103" s="83" t="str">
        <f>IF('Curs, Seminar'!K102&lt;&gt;"a","",'Curs, Seminar'!K102)</f>
        <v/>
      </c>
      <c r="I103" s="80"/>
      <c r="J103" s="80"/>
      <c r="K103" s="79"/>
    </row>
    <row r="104" spans="1:11" ht="19.95" customHeight="1" x14ac:dyDescent="0.3">
      <c r="A104" s="91" t="str">
        <f>'Curs, Seminar'!B103</f>
        <v/>
      </c>
      <c r="B104" s="92" t="str">
        <f>IF(NOT(ISBLANK('Curs, Seminar'!C103)),'Curs, Seminar'!C103,"")</f>
        <v/>
      </c>
      <c r="C104" s="83" t="str">
        <f>IF('Curs, Seminar'!E103&lt;&gt;"a","",'Curs, Seminar'!E103)</f>
        <v/>
      </c>
      <c r="D104" s="83" t="str">
        <f>IF('Curs, Seminar'!F103&lt;&gt;"a","",'Curs, Seminar'!F103)</f>
        <v/>
      </c>
      <c r="E104" s="83" t="str">
        <f>IF('Curs, Seminar'!G103&lt;&gt;"a","",'Curs, Seminar'!G103)</f>
        <v/>
      </c>
      <c r="F104" s="83" t="str">
        <f>IF('Curs, Seminar'!H103&lt;&gt;"a","",'Curs, Seminar'!H103)</f>
        <v/>
      </c>
      <c r="G104" s="83" t="str">
        <f>IF('Curs, Seminar'!I103&lt;&gt;"a","",'Curs, Seminar'!I103)</f>
        <v/>
      </c>
      <c r="H104" s="83" t="str">
        <f>IF('Curs, Seminar'!K103&lt;&gt;"a","",'Curs, Seminar'!K103)</f>
        <v/>
      </c>
      <c r="I104" s="80"/>
      <c r="J104" s="80"/>
      <c r="K104" s="79"/>
    </row>
    <row r="105" spans="1:11" ht="19.95" customHeight="1" x14ac:dyDescent="0.3">
      <c r="A105" s="91" t="str">
        <f>'Curs, Seminar'!B104</f>
        <v/>
      </c>
      <c r="B105" s="92" t="str">
        <f>IF(NOT(ISBLANK('Curs, Seminar'!C104)),'Curs, Seminar'!C104,"")</f>
        <v/>
      </c>
      <c r="C105" s="83" t="str">
        <f>IF('Curs, Seminar'!E104&lt;&gt;"a","",'Curs, Seminar'!E104)</f>
        <v/>
      </c>
      <c r="D105" s="83" t="str">
        <f>IF('Curs, Seminar'!F104&lt;&gt;"a","",'Curs, Seminar'!F104)</f>
        <v/>
      </c>
      <c r="E105" s="83" t="str">
        <f>IF('Curs, Seminar'!G104&lt;&gt;"a","",'Curs, Seminar'!G104)</f>
        <v/>
      </c>
      <c r="F105" s="83" t="str">
        <f>IF('Curs, Seminar'!H104&lt;&gt;"a","",'Curs, Seminar'!H104)</f>
        <v/>
      </c>
      <c r="G105" s="83" t="str">
        <f>IF('Curs, Seminar'!I104&lt;&gt;"a","",'Curs, Seminar'!I104)</f>
        <v/>
      </c>
      <c r="H105" s="83" t="str">
        <f>IF('Curs, Seminar'!K104&lt;&gt;"a","",'Curs, Seminar'!K104)</f>
        <v/>
      </c>
      <c r="I105" s="80"/>
      <c r="J105" s="80"/>
      <c r="K105" s="79"/>
    </row>
    <row r="106" spans="1:11" ht="19.95" customHeight="1" x14ac:dyDescent="0.3">
      <c r="A106" s="91" t="str">
        <f>'Curs, Seminar'!B105</f>
        <v/>
      </c>
      <c r="B106" s="92" t="str">
        <f>IF(NOT(ISBLANK('Curs, Seminar'!C105)),'Curs, Seminar'!C105,"")</f>
        <v/>
      </c>
      <c r="C106" s="83" t="str">
        <f>IF('Curs, Seminar'!E105&lt;&gt;"a","",'Curs, Seminar'!E105)</f>
        <v/>
      </c>
      <c r="D106" s="83" t="str">
        <f>IF('Curs, Seminar'!F105&lt;&gt;"a","",'Curs, Seminar'!F105)</f>
        <v/>
      </c>
      <c r="E106" s="83" t="str">
        <f>IF('Curs, Seminar'!G105&lt;&gt;"a","",'Curs, Seminar'!G105)</f>
        <v/>
      </c>
      <c r="F106" s="83" t="str">
        <f>IF('Curs, Seminar'!H105&lt;&gt;"a","",'Curs, Seminar'!H105)</f>
        <v/>
      </c>
      <c r="G106" s="83" t="str">
        <f>IF('Curs, Seminar'!I105&lt;&gt;"a","",'Curs, Seminar'!I105)</f>
        <v/>
      </c>
      <c r="H106" s="83" t="str">
        <f>IF('Curs, Seminar'!K105&lt;&gt;"a","",'Curs, Seminar'!K105)</f>
        <v/>
      </c>
      <c r="I106" s="80"/>
      <c r="J106" s="80"/>
      <c r="K106" s="79"/>
    </row>
  </sheetData>
  <mergeCells count="38">
    <mergeCell ref="M13:M15"/>
    <mergeCell ref="N13:N15"/>
    <mergeCell ref="O13:O15"/>
    <mergeCell ref="P13:P15"/>
    <mergeCell ref="N22:N25"/>
    <mergeCell ref="M22:M25"/>
    <mergeCell ref="O22:O25"/>
    <mergeCell ref="P22:P25"/>
    <mergeCell ref="M16:M18"/>
    <mergeCell ref="N16:N18"/>
    <mergeCell ref="O16:O18"/>
    <mergeCell ref="P16:P18"/>
    <mergeCell ref="M19:M21"/>
    <mergeCell ref="N19:N21"/>
    <mergeCell ref="O19:O21"/>
    <mergeCell ref="P19:P21"/>
    <mergeCell ref="N7:N9"/>
    <mergeCell ref="O7:O9"/>
    <mergeCell ref="P7:P9"/>
    <mergeCell ref="M7:M9"/>
    <mergeCell ref="N10:N12"/>
    <mergeCell ref="M10:M12"/>
    <mergeCell ref="O10:O12"/>
    <mergeCell ref="P10:P12"/>
    <mergeCell ref="A5:A6"/>
    <mergeCell ref="B5:B6"/>
    <mergeCell ref="C5:C6"/>
    <mergeCell ref="D5:D6"/>
    <mergeCell ref="E5:E6"/>
    <mergeCell ref="C4:G4"/>
    <mergeCell ref="N5:N6"/>
    <mergeCell ref="O5:O6"/>
    <mergeCell ref="P5:P6"/>
    <mergeCell ref="I5:K5"/>
    <mergeCell ref="M5:M6"/>
    <mergeCell ref="F5:F6"/>
    <mergeCell ref="G5:G6"/>
    <mergeCell ref="H5:H6"/>
  </mergeCells>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106"/>
  <sheetViews>
    <sheetView zoomScale="55" zoomScaleNormal="55" workbookViewId="0">
      <selection activeCell="P25" sqref="P25"/>
    </sheetView>
  </sheetViews>
  <sheetFormatPr defaultColWidth="9.109375" defaultRowHeight="15.6" x14ac:dyDescent="0.3"/>
  <cols>
    <col min="1" max="1" width="4.88671875" style="75" customWidth="1"/>
    <col min="2" max="2" width="31.109375" style="75" customWidth="1"/>
    <col min="3" max="10" width="4.33203125" style="75" customWidth="1"/>
    <col min="11" max="12" width="6.33203125" style="75" customWidth="1"/>
    <col min="13" max="13" width="12.109375" style="75" customWidth="1"/>
    <col min="14" max="15" width="9.109375" style="75"/>
    <col min="16" max="16" width="120" style="75" customWidth="1"/>
    <col min="17" max="17" width="8" style="75" customWidth="1"/>
    <col min="18" max="18" width="19.6640625" style="75" customWidth="1"/>
    <col min="19" max="26" width="9.109375" style="75"/>
    <col min="27" max="27" width="9.109375" style="75" customWidth="1"/>
    <col min="28" max="16384" width="9.109375" style="75"/>
  </cols>
  <sheetData>
    <row r="1" spans="1:18" x14ac:dyDescent="0.3">
      <c r="P1" s="76" t="s">
        <v>57</v>
      </c>
    </row>
    <row r="2" spans="1:18" x14ac:dyDescent="0.3">
      <c r="O2" s="75" t="s">
        <v>69</v>
      </c>
    </row>
    <row r="3" spans="1:18" x14ac:dyDescent="0.3">
      <c r="B3" s="76" t="s">
        <v>58</v>
      </c>
      <c r="O3" s="75" t="s">
        <v>80</v>
      </c>
      <c r="P3" s="76"/>
    </row>
    <row r="4" spans="1:18" ht="18" x14ac:dyDescent="0.35">
      <c r="C4" s="151" t="s">
        <v>73</v>
      </c>
      <c r="D4" s="151"/>
      <c r="E4" s="151"/>
      <c r="F4" s="151"/>
      <c r="G4" s="151"/>
      <c r="H4" s="151"/>
      <c r="I4" s="104"/>
      <c r="J4" s="104"/>
      <c r="O4" s="75" t="s">
        <v>71</v>
      </c>
      <c r="P4" s="77"/>
    </row>
    <row r="5" spans="1:18" ht="15.6" customHeight="1" x14ac:dyDescent="0.3">
      <c r="A5" s="184" t="s">
        <v>59</v>
      </c>
      <c r="B5" s="184" t="s">
        <v>68</v>
      </c>
      <c r="C5" s="156" t="str">
        <f>IF('Curs, Seminar'!L5&lt;&gt;"",'Curs, Seminar'!L5,"")</f>
        <v/>
      </c>
      <c r="D5" s="156" t="str">
        <f>IF('Curs, Seminar'!M5&lt;&gt;"",'Curs, Seminar'!M5,"")</f>
        <v/>
      </c>
      <c r="E5" s="156" t="str">
        <f>IF('Curs, Seminar'!N5&lt;&gt;"",'Curs, Seminar'!N5,"")</f>
        <v/>
      </c>
      <c r="F5" s="156" t="str">
        <f>IF('Curs, Seminar'!O5&lt;&gt;"",'Curs, Seminar'!O5,"")</f>
        <v/>
      </c>
      <c r="G5" s="156" t="str">
        <f>IF('Curs, Seminar'!P5&lt;&gt;"",'Curs, Seminar'!P5,"")</f>
        <v/>
      </c>
      <c r="H5" s="156" t="str">
        <f>IF('Curs, Seminar'!Q5&lt;&gt;"",'Curs, Seminar'!Q5,"")</f>
        <v/>
      </c>
      <c r="I5" s="156"/>
      <c r="J5" s="156"/>
      <c r="K5" s="154" t="s">
        <v>60</v>
      </c>
      <c r="L5" s="154"/>
      <c r="M5" s="154"/>
      <c r="O5" s="185" t="s">
        <v>61</v>
      </c>
      <c r="P5" s="185" t="s">
        <v>62</v>
      </c>
      <c r="Q5" s="185" t="s">
        <v>63</v>
      </c>
      <c r="R5" s="185" t="s">
        <v>64</v>
      </c>
    </row>
    <row r="6" spans="1:18" ht="40.200000000000003" customHeight="1" x14ac:dyDescent="0.3">
      <c r="A6" s="184"/>
      <c r="B6" s="184"/>
      <c r="C6" s="157"/>
      <c r="D6" s="157"/>
      <c r="E6" s="157"/>
      <c r="F6" s="157"/>
      <c r="G6" s="157"/>
      <c r="H6" s="157"/>
      <c r="I6" s="157"/>
      <c r="J6" s="157"/>
      <c r="K6" s="78" t="s">
        <v>11</v>
      </c>
      <c r="L6" s="78" t="s">
        <v>12</v>
      </c>
      <c r="M6" s="78" t="s">
        <v>65</v>
      </c>
      <c r="O6" s="186"/>
      <c r="P6" s="186"/>
      <c r="Q6" s="186"/>
      <c r="R6" s="186"/>
    </row>
    <row r="7" spans="1:18" ht="19.95" customHeight="1" x14ac:dyDescent="0.3">
      <c r="A7" s="91">
        <f>'Curs, Seminar'!B6</f>
        <v>1</v>
      </c>
      <c r="B7" s="92" t="str">
        <f>IF(NOT(ISBLANK('Curs, Seminar'!C6)),'Curs, Seminar'!C6,"")</f>
        <v>Nume, Prenume</v>
      </c>
      <c r="C7" s="83" t="str">
        <f>IF('Curs, Seminar'!L6&lt;&gt;"a","",'Curs, Seminar'!L6)</f>
        <v/>
      </c>
      <c r="D7" s="83" t="str">
        <f>IF('Curs, Seminar'!M6&lt;&gt;"a","",'Curs, Seminar'!M6)</f>
        <v/>
      </c>
      <c r="E7" s="83" t="str">
        <f>IF('Curs, Seminar'!N6&lt;&gt;"a","",'Curs, Seminar'!N6)</f>
        <v/>
      </c>
      <c r="F7" s="83" t="str">
        <f>IF('Curs, Seminar'!O6&lt;&gt;"a","",'Curs, Seminar'!O6)</f>
        <v/>
      </c>
      <c r="G7" s="83" t="str">
        <f>IF('Curs, Seminar'!P6&lt;&gt;"a","",'Curs, Seminar'!P6)</f>
        <v/>
      </c>
      <c r="H7" s="83" t="str">
        <f>IF('Curs, Seminar'!Q6&lt;&gt;"a","",'Curs, Seminar'!Q6)</f>
        <v/>
      </c>
      <c r="I7" s="83"/>
      <c r="J7" s="83"/>
      <c r="K7" s="80"/>
      <c r="L7" s="80"/>
      <c r="M7" s="79"/>
      <c r="O7" s="162" t="str">
        <f>C5</f>
        <v/>
      </c>
      <c r="P7" s="171" t="s">
        <v>90</v>
      </c>
      <c r="Q7" s="152">
        <v>2</v>
      </c>
      <c r="R7" s="152"/>
    </row>
    <row r="8" spans="1:18" ht="19.95" customHeight="1" x14ac:dyDescent="0.3">
      <c r="A8" s="91" t="str">
        <f>'Curs, Seminar'!B7</f>
        <v/>
      </c>
      <c r="B8" s="92" t="str">
        <f>IF(NOT(ISBLANK('Curs, Seminar'!C7)),'Curs, Seminar'!C7,"")</f>
        <v/>
      </c>
      <c r="C8" s="83" t="str">
        <f>IF('Curs, Seminar'!L7&lt;&gt;"a","",'Curs, Seminar'!L7)</f>
        <v/>
      </c>
      <c r="D8" s="83" t="str">
        <f>IF('Curs, Seminar'!M7&lt;&gt;"a","",'Curs, Seminar'!M7)</f>
        <v/>
      </c>
      <c r="E8" s="83" t="str">
        <f>IF('Curs, Seminar'!N7&lt;&gt;"a","",'Curs, Seminar'!N7)</f>
        <v/>
      </c>
      <c r="F8" s="83" t="str">
        <f>IF('Curs, Seminar'!O7&lt;&gt;"a","",'Curs, Seminar'!O7)</f>
        <v/>
      </c>
      <c r="G8" s="83" t="str">
        <f>IF('Curs, Seminar'!P7&lt;&gt;"a","",'Curs, Seminar'!P7)</f>
        <v/>
      </c>
      <c r="H8" s="83" t="str">
        <f>IF('Curs, Seminar'!Q7&lt;&gt;"a","",'Curs, Seminar'!Q7)</f>
        <v/>
      </c>
      <c r="I8" s="83"/>
      <c r="J8" s="83"/>
      <c r="K8" s="80"/>
      <c r="L8" s="80"/>
      <c r="M8" s="79"/>
      <c r="O8" s="164"/>
      <c r="P8" s="173"/>
      <c r="Q8" s="153"/>
      <c r="R8" s="153"/>
    </row>
    <row r="9" spans="1:18" ht="19.95" customHeight="1" x14ac:dyDescent="0.3">
      <c r="A9" s="91" t="str">
        <f>'Curs, Seminar'!B8</f>
        <v/>
      </c>
      <c r="B9" s="92" t="str">
        <f>IF(NOT(ISBLANK('Curs, Seminar'!C8)),'Curs, Seminar'!C8,"")</f>
        <v/>
      </c>
      <c r="C9" s="83" t="str">
        <f>IF('Curs, Seminar'!L8&lt;&gt;"a","",'Curs, Seminar'!L8)</f>
        <v/>
      </c>
      <c r="D9" s="83" t="str">
        <f>IF('Curs, Seminar'!M8&lt;&gt;"a","",'Curs, Seminar'!M8)</f>
        <v/>
      </c>
      <c r="E9" s="83" t="str">
        <f>IF('Curs, Seminar'!N8&lt;&gt;"a","",'Curs, Seminar'!N8)</f>
        <v/>
      </c>
      <c r="F9" s="83" t="str">
        <f>IF('Curs, Seminar'!O8&lt;&gt;"a","",'Curs, Seminar'!O8)</f>
        <v/>
      </c>
      <c r="G9" s="83" t="str">
        <f>IF('Curs, Seminar'!P8&lt;&gt;"a","",'Curs, Seminar'!P8)</f>
        <v/>
      </c>
      <c r="H9" s="83" t="str">
        <f>IF('Curs, Seminar'!Q8&lt;&gt;"a","",'Curs, Seminar'!Q8)</f>
        <v/>
      </c>
      <c r="I9" s="83"/>
      <c r="J9" s="83"/>
      <c r="K9" s="80"/>
      <c r="L9" s="80"/>
      <c r="M9" s="79"/>
      <c r="O9" s="162" t="str">
        <f>D5</f>
        <v/>
      </c>
      <c r="P9" s="171" t="s">
        <v>91</v>
      </c>
      <c r="Q9" s="152"/>
      <c r="R9" s="152"/>
    </row>
    <row r="10" spans="1:18" ht="19.95" customHeight="1" x14ac:dyDescent="0.3">
      <c r="A10" s="91" t="str">
        <f>'Curs, Seminar'!B9</f>
        <v/>
      </c>
      <c r="B10" s="92" t="str">
        <f>IF(NOT(ISBLANK('Curs, Seminar'!C9)),'Curs, Seminar'!C9,"")</f>
        <v/>
      </c>
      <c r="C10" s="83" t="str">
        <f>IF('Curs, Seminar'!L9&lt;&gt;"a","",'Curs, Seminar'!L9)</f>
        <v/>
      </c>
      <c r="D10" s="83" t="str">
        <f>IF('Curs, Seminar'!M9&lt;&gt;"a","",'Curs, Seminar'!M9)</f>
        <v/>
      </c>
      <c r="E10" s="83" t="str">
        <f>IF('Curs, Seminar'!N9&lt;&gt;"a","",'Curs, Seminar'!N9)</f>
        <v/>
      </c>
      <c r="F10" s="83" t="str">
        <f>IF('Curs, Seminar'!O9&lt;&gt;"a","",'Curs, Seminar'!O9)</f>
        <v/>
      </c>
      <c r="G10" s="83" t="str">
        <f>IF('Curs, Seminar'!P9&lt;&gt;"a","",'Curs, Seminar'!P9)</f>
        <v/>
      </c>
      <c r="H10" s="83" t="str">
        <f>IF('Curs, Seminar'!Q9&lt;&gt;"a","",'Curs, Seminar'!Q9)</f>
        <v/>
      </c>
      <c r="I10" s="83"/>
      <c r="J10" s="83"/>
      <c r="K10" s="80"/>
      <c r="L10" s="80"/>
      <c r="M10" s="79"/>
      <c r="O10" s="164"/>
      <c r="P10" s="173"/>
      <c r="Q10" s="153"/>
      <c r="R10" s="153"/>
    </row>
    <row r="11" spans="1:18" ht="19.95" customHeight="1" x14ac:dyDescent="0.3">
      <c r="A11" s="91" t="str">
        <f>'Curs, Seminar'!B10</f>
        <v/>
      </c>
      <c r="B11" s="92" t="str">
        <f>IF(NOT(ISBLANK('Curs, Seminar'!C10)),'Curs, Seminar'!C10,"")</f>
        <v/>
      </c>
      <c r="C11" s="83" t="str">
        <f>IF('Curs, Seminar'!L10&lt;&gt;"a","",'Curs, Seminar'!L10)</f>
        <v/>
      </c>
      <c r="D11" s="83" t="str">
        <f>IF('Curs, Seminar'!M10&lt;&gt;"a","",'Curs, Seminar'!M10)</f>
        <v/>
      </c>
      <c r="E11" s="83" t="str">
        <f>IF('Curs, Seminar'!N10&lt;&gt;"a","",'Curs, Seminar'!N10)</f>
        <v/>
      </c>
      <c r="F11" s="83" t="str">
        <f>IF('Curs, Seminar'!O10&lt;&gt;"a","",'Curs, Seminar'!O10)</f>
        <v/>
      </c>
      <c r="G11" s="83" t="str">
        <f>IF('Curs, Seminar'!P10&lt;&gt;"a","",'Curs, Seminar'!P10)</f>
        <v/>
      </c>
      <c r="H11" s="83" t="str">
        <f>IF('Curs, Seminar'!Q10&lt;&gt;"a","",'Curs, Seminar'!Q10)</f>
        <v/>
      </c>
      <c r="I11" s="83"/>
      <c r="J11" s="83"/>
      <c r="K11" s="80"/>
      <c r="L11" s="80"/>
      <c r="M11" s="79"/>
      <c r="O11" s="162" t="str">
        <f>E5</f>
        <v/>
      </c>
      <c r="P11" s="171" t="s">
        <v>92</v>
      </c>
      <c r="Q11" s="152"/>
      <c r="R11" s="152"/>
    </row>
    <row r="12" spans="1:18" ht="19.95" customHeight="1" x14ac:dyDescent="0.3">
      <c r="A12" s="91" t="str">
        <f>'Curs, Seminar'!B11</f>
        <v/>
      </c>
      <c r="B12" s="92" t="str">
        <f>IF(NOT(ISBLANK('Curs, Seminar'!C11)),'Curs, Seminar'!C11,"")</f>
        <v/>
      </c>
      <c r="C12" s="83" t="str">
        <f>IF('Curs, Seminar'!L11&lt;&gt;"a","",'Curs, Seminar'!L11)</f>
        <v/>
      </c>
      <c r="D12" s="83" t="str">
        <f>IF('Curs, Seminar'!M11&lt;&gt;"a","",'Curs, Seminar'!M11)</f>
        <v/>
      </c>
      <c r="E12" s="83" t="str">
        <f>IF('Curs, Seminar'!N11&lt;&gt;"a","",'Curs, Seminar'!N11)</f>
        <v/>
      </c>
      <c r="F12" s="83" t="str">
        <f>IF('Curs, Seminar'!O11&lt;&gt;"a","",'Curs, Seminar'!O11)</f>
        <v/>
      </c>
      <c r="G12" s="83" t="str">
        <f>IF('Curs, Seminar'!P11&lt;&gt;"a","",'Curs, Seminar'!P11)</f>
        <v/>
      </c>
      <c r="H12" s="83" t="str">
        <f>IF('Curs, Seminar'!Q11&lt;&gt;"a","",'Curs, Seminar'!Q11)</f>
        <v/>
      </c>
      <c r="I12" s="83"/>
      <c r="J12" s="83"/>
      <c r="K12" s="80"/>
      <c r="L12" s="80"/>
      <c r="M12" s="79"/>
      <c r="O12" s="164"/>
      <c r="P12" s="173"/>
      <c r="Q12" s="153"/>
      <c r="R12" s="153"/>
    </row>
    <row r="13" spans="1:18" ht="19.95" customHeight="1" x14ac:dyDescent="0.3">
      <c r="A13" s="91" t="str">
        <f>'Curs, Seminar'!B12</f>
        <v/>
      </c>
      <c r="B13" s="92" t="str">
        <f>IF(NOT(ISBLANK('Curs, Seminar'!C12)),'Curs, Seminar'!C12,"")</f>
        <v/>
      </c>
      <c r="C13" s="83" t="str">
        <f>IF('Curs, Seminar'!L12&lt;&gt;"a","",'Curs, Seminar'!L12)</f>
        <v/>
      </c>
      <c r="D13" s="83" t="str">
        <f>IF('Curs, Seminar'!M12&lt;&gt;"a","",'Curs, Seminar'!M12)</f>
        <v/>
      </c>
      <c r="E13" s="83" t="str">
        <f>IF('Curs, Seminar'!N12&lt;&gt;"a","",'Curs, Seminar'!N12)</f>
        <v/>
      </c>
      <c r="F13" s="83" t="str">
        <f>IF('Curs, Seminar'!O12&lt;&gt;"a","",'Curs, Seminar'!O12)</f>
        <v/>
      </c>
      <c r="G13" s="83" t="str">
        <f>IF('Curs, Seminar'!P12&lt;&gt;"a","",'Curs, Seminar'!P12)</f>
        <v/>
      </c>
      <c r="H13" s="83" t="str">
        <f>IF('Curs, Seminar'!Q12&lt;&gt;"a","",'Curs, Seminar'!Q12)</f>
        <v/>
      </c>
      <c r="I13" s="83"/>
      <c r="J13" s="83"/>
      <c r="K13" s="80"/>
      <c r="L13" s="80"/>
      <c r="M13" s="79"/>
      <c r="O13" s="162" t="str">
        <f>F5</f>
        <v/>
      </c>
      <c r="P13" s="171" t="s">
        <v>93</v>
      </c>
      <c r="Q13" s="152"/>
      <c r="R13" s="152"/>
    </row>
    <row r="14" spans="1:18" ht="19.95" customHeight="1" x14ac:dyDescent="0.3">
      <c r="A14" s="91" t="str">
        <f>'Curs, Seminar'!B13</f>
        <v/>
      </c>
      <c r="B14" s="92" t="str">
        <f>IF(NOT(ISBLANK('Curs, Seminar'!C13)),'Curs, Seminar'!C13,"")</f>
        <v/>
      </c>
      <c r="C14" s="83" t="str">
        <f>IF('Curs, Seminar'!L13&lt;&gt;"a","",'Curs, Seminar'!L13)</f>
        <v/>
      </c>
      <c r="D14" s="83" t="str">
        <f>IF('Curs, Seminar'!M13&lt;&gt;"a","",'Curs, Seminar'!M13)</f>
        <v/>
      </c>
      <c r="E14" s="83" t="str">
        <f>IF('Curs, Seminar'!N13&lt;&gt;"a","",'Curs, Seminar'!N13)</f>
        <v/>
      </c>
      <c r="F14" s="83" t="str">
        <f>IF('Curs, Seminar'!O13&lt;&gt;"a","",'Curs, Seminar'!O13)</f>
        <v/>
      </c>
      <c r="G14" s="83" t="str">
        <f>IF('Curs, Seminar'!P13&lt;&gt;"a","",'Curs, Seminar'!P13)</f>
        <v/>
      </c>
      <c r="H14" s="83" t="str">
        <f>IF('Curs, Seminar'!Q13&lt;&gt;"a","",'Curs, Seminar'!Q13)</f>
        <v/>
      </c>
      <c r="I14" s="83"/>
      <c r="J14" s="83"/>
      <c r="K14" s="80"/>
      <c r="L14" s="80"/>
      <c r="M14" s="79"/>
      <c r="O14" s="164"/>
      <c r="P14" s="173"/>
      <c r="Q14" s="153"/>
      <c r="R14" s="153"/>
    </row>
    <row r="15" spans="1:18" ht="19.95" customHeight="1" x14ac:dyDescent="0.3">
      <c r="A15" s="91" t="str">
        <f>'Curs, Seminar'!B14</f>
        <v/>
      </c>
      <c r="B15" s="92" t="str">
        <f>IF(NOT(ISBLANK('Curs, Seminar'!C14)),'Curs, Seminar'!C14,"")</f>
        <v/>
      </c>
      <c r="C15" s="83" t="str">
        <f>IF('Curs, Seminar'!L14&lt;&gt;"a","",'Curs, Seminar'!L14)</f>
        <v/>
      </c>
      <c r="D15" s="83" t="str">
        <f>IF('Curs, Seminar'!M14&lt;&gt;"a","",'Curs, Seminar'!M14)</f>
        <v/>
      </c>
      <c r="E15" s="83" t="str">
        <f>IF('Curs, Seminar'!N14&lt;&gt;"a","",'Curs, Seminar'!N14)</f>
        <v/>
      </c>
      <c r="F15" s="83" t="str">
        <f>IF('Curs, Seminar'!O14&lt;&gt;"a","",'Curs, Seminar'!O14)</f>
        <v/>
      </c>
      <c r="G15" s="83" t="str">
        <f>IF('Curs, Seminar'!P14&lt;&gt;"a","",'Curs, Seminar'!P14)</f>
        <v/>
      </c>
      <c r="H15" s="83" t="str">
        <f>IF('Curs, Seminar'!Q14&lt;&gt;"a","",'Curs, Seminar'!Q14)</f>
        <v/>
      </c>
      <c r="I15" s="83"/>
      <c r="J15" s="83"/>
      <c r="K15" s="80"/>
      <c r="L15" s="80"/>
      <c r="M15" s="79"/>
      <c r="O15" s="162" t="str">
        <f>G5</f>
        <v/>
      </c>
      <c r="P15" s="182" t="s">
        <v>94</v>
      </c>
      <c r="Q15" s="180"/>
      <c r="R15" s="152"/>
    </row>
    <row r="16" spans="1:18" ht="19.95" customHeight="1" x14ac:dyDescent="0.3">
      <c r="A16" s="91" t="str">
        <f>'Curs, Seminar'!B15</f>
        <v/>
      </c>
      <c r="B16" s="92" t="str">
        <f>IF(NOT(ISBLANK('Curs, Seminar'!C15)),'Curs, Seminar'!C15,"")</f>
        <v/>
      </c>
      <c r="C16" s="83" t="str">
        <f>IF('Curs, Seminar'!L15&lt;&gt;"a","",'Curs, Seminar'!L15)</f>
        <v/>
      </c>
      <c r="D16" s="83" t="str">
        <f>IF('Curs, Seminar'!M15&lt;&gt;"a","",'Curs, Seminar'!M15)</f>
        <v/>
      </c>
      <c r="E16" s="83" t="str">
        <f>IF('Curs, Seminar'!N15&lt;&gt;"a","",'Curs, Seminar'!N15)</f>
        <v/>
      </c>
      <c r="F16" s="83" t="str">
        <f>IF('Curs, Seminar'!O15&lt;&gt;"a","",'Curs, Seminar'!O15)</f>
        <v/>
      </c>
      <c r="G16" s="83" t="str">
        <f>IF('Curs, Seminar'!P15&lt;&gt;"a","",'Curs, Seminar'!P15)</f>
        <v/>
      </c>
      <c r="H16" s="83" t="str">
        <f>IF('Curs, Seminar'!Q15&lt;&gt;"a","",'Curs, Seminar'!Q15)</f>
        <v/>
      </c>
      <c r="I16" s="83"/>
      <c r="J16" s="83"/>
      <c r="K16" s="80"/>
      <c r="L16" s="80"/>
      <c r="M16" s="79"/>
      <c r="O16" s="164"/>
      <c r="P16" s="183"/>
      <c r="Q16" s="181"/>
      <c r="R16" s="153"/>
    </row>
    <row r="17" spans="1:18" ht="19.95" customHeight="1" x14ac:dyDescent="0.3">
      <c r="A17" s="91" t="str">
        <f>'Curs, Seminar'!B16</f>
        <v/>
      </c>
      <c r="B17" s="92" t="str">
        <f>IF(NOT(ISBLANK('Curs, Seminar'!C16)),'Curs, Seminar'!C16,"")</f>
        <v/>
      </c>
      <c r="C17" s="83" t="str">
        <f>IF('Curs, Seminar'!L16&lt;&gt;"a","",'Curs, Seminar'!L16)</f>
        <v/>
      </c>
      <c r="D17" s="83" t="str">
        <f>IF('Curs, Seminar'!M16&lt;&gt;"a","",'Curs, Seminar'!M16)</f>
        <v/>
      </c>
      <c r="E17" s="83" t="str">
        <f>IF('Curs, Seminar'!N16&lt;&gt;"a","",'Curs, Seminar'!N16)</f>
        <v/>
      </c>
      <c r="F17" s="83" t="str">
        <f>IF('Curs, Seminar'!O16&lt;&gt;"a","",'Curs, Seminar'!O16)</f>
        <v/>
      </c>
      <c r="G17" s="83" t="str">
        <f>IF('Curs, Seminar'!P16&lt;&gt;"a","",'Curs, Seminar'!P16)</f>
        <v/>
      </c>
      <c r="H17" s="83" t="str">
        <f>IF('Curs, Seminar'!Q16&lt;&gt;"a","",'Curs, Seminar'!Q16)</f>
        <v/>
      </c>
      <c r="I17" s="83"/>
      <c r="J17" s="83"/>
      <c r="K17" s="80"/>
      <c r="L17" s="80"/>
      <c r="M17" s="79"/>
      <c r="O17" s="162" t="str">
        <f>H5</f>
        <v/>
      </c>
      <c r="P17" s="171" t="s">
        <v>95</v>
      </c>
      <c r="Q17" s="152"/>
      <c r="R17" s="152"/>
    </row>
    <row r="18" spans="1:18" ht="19.95" customHeight="1" x14ac:dyDescent="0.3">
      <c r="A18" s="91" t="str">
        <f>'Curs, Seminar'!B17</f>
        <v/>
      </c>
      <c r="B18" s="92" t="str">
        <f>IF(NOT(ISBLANK('Curs, Seminar'!C17)),'Curs, Seminar'!C17,"")</f>
        <v/>
      </c>
      <c r="C18" s="83" t="str">
        <f>IF('Curs, Seminar'!L17&lt;&gt;"a","",'Curs, Seminar'!L17)</f>
        <v/>
      </c>
      <c r="D18" s="83" t="str">
        <f>IF('Curs, Seminar'!M17&lt;&gt;"a","",'Curs, Seminar'!M17)</f>
        <v/>
      </c>
      <c r="E18" s="83" t="str">
        <f>IF('Curs, Seminar'!N17&lt;&gt;"a","",'Curs, Seminar'!N17)</f>
        <v/>
      </c>
      <c r="F18" s="83" t="str">
        <f>IF('Curs, Seminar'!O17&lt;&gt;"a","",'Curs, Seminar'!O17)</f>
        <v/>
      </c>
      <c r="G18" s="83" t="str">
        <f>IF('Curs, Seminar'!P17&lt;&gt;"a","",'Curs, Seminar'!P17)</f>
        <v/>
      </c>
      <c r="H18" s="83" t="str">
        <f>IF('Curs, Seminar'!Q17&lt;&gt;"a","",'Curs, Seminar'!Q17)</f>
        <v/>
      </c>
      <c r="I18" s="83"/>
      <c r="J18" s="83"/>
      <c r="K18" s="80"/>
      <c r="L18" s="80"/>
      <c r="M18" s="79"/>
      <c r="O18" s="164"/>
      <c r="P18" s="173"/>
      <c r="Q18" s="153"/>
      <c r="R18" s="153"/>
    </row>
    <row r="19" spans="1:18" ht="19.95" customHeight="1" x14ac:dyDescent="0.3">
      <c r="A19" s="91" t="str">
        <f>'Curs, Seminar'!B18</f>
        <v/>
      </c>
      <c r="B19" s="92" t="str">
        <f>IF(NOT(ISBLANK('Curs, Seminar'!C18)),'Curs, Seminar'!C18,"")</f>
        <v/>
      </c>
      <c r="C19" s="83" t="str">
        <f>IF('Curs, Seminar'!L18&lt;&gt;"a","",'Curs, Seminar'!L18)</f>
        <v/>
      </c>
      <c r="D19" s="83" t="str">
        <f>IF('Curs, Seminar'!M18&lt;&gt;"a","",'Curs, Seminar'!M18)</f>
        <v/>
      </c>
      <c r="E19" s="83" t="str">
        <f>IF('Curs, Seminar'!N18&lt;&gt;"a","",'Curs, Seminar'!N18)</f>
        <v/>
      </c>
      <c r="F19" s="83" t="str">
        <f>IF('Curs, Seminar'!O18&lt;&gt;"a","",'Curs, Seminar'!O18)</f>
        <v/>
      </c>
      <c r="G19" s="83" t="str">
        <f>IF('Curs, Seminar'!P18&lt;&gt;"a","",'Curs, Seminar'!P18)</f>
        <v/>
      </c>
      <c r="H19" s="83" t="str">
        <f>IF('Curs, Seminar'!Q18&lt;&gt;"a","",'Curs, Seminar'!Q18)</f>
        <v/>
      </c>
      <c r="I19" s="83"/>
      <c r="J19" s="83"/>
      <c r="K19" s="80"/>
      <c r="L19" s="80"/>
      <c r="M19" s="79"/>
      <c r="O19" s="93"/>
      <c r="P19" s="94"/>
      <c r="Q19" s="96"/>
      <c r="R19" s="95"/>
    </row>
    <row r="20" spans="1:18" ht="19.95" customHeight="1" x14ac:dyDescent="0.3">
      <c r="A20" s="91" t="str">
        <f>'Curs, Seminar'!B19</f>
        <v/>
      </c>
      <c r="B20" s="92" t="str">
        <f>IF(NOT(ISBLANK('Curs, Seminar'!C19)),'Curs, Seminar'!C19,"")</f>
        <v/>
      </c>
      <c r="C20" s="83" t="str">
        <f>IF('Curs, Seminar'!L19&lt;&gt;"a","",'Curs, Seminar'!L19)</f>
        <v/>
      </c>
      <c r="D20" s="83" t="str">
        <f>IF('Curs, Seminar'!M19&lt;&gt;"a","",'Curs, Seminar'!M19)</f>
        <v/>
      </c>
      <c r="E20" s="83" t="str">
        <f>IF('Curs, Seminar'!N19&lt;&gt;"a","",'Curs, Seminar'!N19)</f>
        <v/>
      </c>
      <c r="F20" s="83" t="str">
        <f>IF('Curs, Seminar'!O19&lt;&gt;"a","",'Curs, Seminar'!O19)</f>
        <v/>
      </c>
      <c r="G20" s="83" t="str">
        <f>IF('Curs, Seminar'!P19&lt;&gt;"a","",'Curs, Seminar'!P19)</f>
        <v/>
      </c>
      <c r="H20" s="83" t="str">
        <f>IF('Curs, Seminar'!Q19&lt;&gt;"a","",'Curs, Seminar'!Q19)</f>
        <v/>
      </c>
      <c r="I20" s="83"/>
      <c r="J20" s="83"/>
      <c r="K20" s="80"/>
      <c r="L20" s="80"/>
      <c r="M20" s="79"/>
      <c r="O20" s="93"/>
      <c r="P20" s="97" t="s">
        <v>66</v>
      </c>
      <c r="Q20" s="98">
        <v>12</v>
      </c>
      <c r="R20" s="95"/>
    </row>
    <row r="21" spans="1:18" ht="19.95" customHeight="1" x14ac:dyDescent="0.3">
      <c r="A21" s="91" t="str">
        <f>'Curs, Seminar'!B20</f>
        <v/>
      </c>
      <c r="B21" s="92" t="str">
        <f>IF(NOT(ISBLANK('Curs, Seminar'!C20)),'Curs, Seminar'!C20,"")</f>
        <v/>
      </c>
      <c r="C21" s="83" t="str">
        <f>IF('Curs, Seminar'!L20&lt;&gt;"a","",'Curs, Seminar'!L20)</f>
        <v/>
      </c>
      <c r="D21" s="83" t="str">
        <f>IF('Curs, Seminar'!M20&lt;&gt;"a","",'Curs, Seminar'!M20)</f>
        <v/>
      </c>
      <c r="E21" s="83" t="str">
        <f>IF('Curs, Seminar'!N20&lt;&gt;"a","",'Curs, Seminar'!N20)</f>
        <v/>
      </c>
      <c r="F21" s="83" t="str">
        <f>IF('Curs, Seminar'!O20&lt;&gt;"a","",'Curs, Seminar'!O20)</f>
        <v/>
      </c>
      <c r="G21" s="83" t="str">
        <f>IF('Curs, Seminar'!P20&lt;&gt;"a","",'Curs, Seminar'!P20)</f>
        <v/>
      </c>
      <c r="H21" s="83" t="str">
        <f>IF('Curs, Seminar'!Q20&lt;&gt;"a","",'Curs, Seminar'!Q20)</f>
        <v/>
      </c>
      <c r="I21" s="83"/>
      <c r="J21" s="83"/>
      <c r="K21" s="80"/>
      <c r="L21" s="80"/>
      <c r="M21" s="79"/>
      <c r="O21" s="93"/>
      <c r="P21" s="97" t="s">
        <v>67</v>
      </c>
      <c r="Q21" s="98">
        <f>SUM(Q7:Q18)</f>
        <v>2</v>
      </c>
      <c r="R21" s="95"/>
    </row>
    <row r="22" spans="1:18" ht="19.95" customHeight="1" x14ac:dyDescent="0.3">
      <c r="A22" s="91" t="str">
        <f>'Curs, Seminar'!B21</f>
        <v/>
      </c>
      <c r="B22" s="92" t="str">
        <f>IF(NOT(ISBLANK('Curs, Seminar'!C21)),'Curs, Seminar'!C21,"")</f>
        <v/>
      </c>
      <c r="C22" s="83" t="str">
        <f>IF('Curs, Seminar'!L21&lt;&gt;"a","",'Curs, Seminar'!L21)</f>
        <v/>
      </c>
      <c r="D22" s="83" t="str">
        <f>IF('Curs, Seminar'!M21&lt;&gt;"a","",'Curs, Seminar'!M21)</f>
        <v/>
      </c>
      <c r="E22" s="83" t="str">
        <f>IF('Curs, Seminar'!N21&lt;&gt;"a","",'Curs, Seminar'!N21)</f>
        <v/>
      </c>
      <c r="F22" s="83" t="str">
        <f>IF('Curs, Seminar'!O21&lt;&gt;"a","",'Curs, Seminar'!O21)</f>
        <v/>
      </c>
      <c r="G22" s="83" t="str">
        <f>IF('Curs, Seminar'!P21&lt;&gt;"a","",'Curs, Seminar'!P21)</f>
        <v/>
      </c>
      <c r="H22" s="83" t="str">
        <f>IF('Curs, Seminar'!Q21&lt;&gt;"a","",'Curs, Seminar'!Q21)</f>
        <v/>
      </c>
      <c r="I22" s="83"/>
      <c r="J22" s="83"/>
      <c r="K22" s="80"/>
      <c r="L22" s="80"/>
      <c r="M22" s="79"/>
      <c r="O22" s="95"/>
      <c r="P22" s="97"/>
      <c r="Q22" s="98"/>
      <c r="R22" s="95"/>
    </row>
    <row r="23" spans="1:18" ht="19.95" customHeight="1" x14ac:dyDescent="0.3">
      <c r="A23" s="91" t="str">
        <f>'Curs, Seminar'!B22</f>
        <v/>
      </c>
      <c r="B23" s="92" t="str">
        <f>IF(NOT(ISBLANK('Curs, Seminar'!C22)),'Curs, Seminar'!C22,"")</f>
        <v/>
      </c>
      <c r="C23" s="83" t="str">
        <f>IF('Curs, Seminar'!L22&lt;&gt;"a","",'Curs, Seminar'!L22)</f>
        <v/>
      </c>
      <c r="D23" s="83" t="str">
        <f>IF('Curs, Seminar'!M22&lt;&gt;"a","",'Curs, Seminar'!M22)</f>
        <v/>
      </c>
      <c r="E23" s="83" t="str">
        <f>IF('Curs, Seminar'!N22&lt;&gt;"a","",'Curs, Seminar'!N22)</f>
        <v/>
      </c>
      <c r="F23" s="83" t="str">
        <f>IF('Curs, Seminar'!O22&lt;&gt;"a","",'Curs, Seminar'!O22)</f>
        <v/>
      </c>
      <c r="G23" s="83" t="str">
        <f>IF('Curs, Seminar'!P22&lt;&gt;"a","",'Curs, Seminar'!P22)</f>
        <v/>
      </c>
      <c r="H23" s="83" t="str">
        <f>IF('Curs, Seminar'!Q22&lt;&gt;"a","",'Curs, Seminar'!Q22)</f>
        <v/>
      </c>
      <c r="I23" s="83"/>
      <c r="J23" s="83"/>
      <c r="K23" s="80"/>
      <c r="L23" s="80"/>
      <c r="M23" s="79"/>
      <c r="O23" s="95"/>
      <c r="P23" s="97"/>
      <c r="Q23" s="98"/>
      <c r="R23" s="95"/>
    </row>
    <row r="24" spans="1:18" ht="19.95" customHeight="1" x14ac:dyDescent="0.3">
      <c r="A24" s="91" t="str">
        <f>'Curs, Seminar'!B23</f>
        <v/>
      </c>
      <c r="B24" s="92" t="str">
        <f>IF(NOT(ISBLANK('Curs, Seminar'!C23)),'Curs, Seminar'!C23,"")</f>
        <v/>
      </c>
      <c r="C24" s="83" t="str">
        <f>IF('Curs, Seminar'!L23&lt;&gt;"a","",'Curs, Seminar'!L23)</f>
        <v/>
      </c>
      <c r="D24" s="83" t="str">
        <f>IF('Curs, Seminar'!M23&lt;&gt;"a","",'Curs, Seminar'!M23)</f>
        <v/>
      </c>
      <c r="E24" s="83" t="str">
        <f>IF('Curs, Seminar'!N23&lt;&gt;"a","",'Curs, Seminar'!N23)</f>
        <v/>
      </c>
      <c r="F24" s="83" t="str">
        <f>IF('Curs, Seminar'!O23&lt;&gt;"a","",'Curs, Seminar'!O23)</f>
        <v/>
      </c>
      <c r="G24" s="83" t="str">
        <f>IF('Curs, Seminar'!P23&lt;&gt;"a","",'Curs, Seminar'!P23)</f>
        <v/>
      </c>
      <c r="H24" s="83" t="str">
        <f>IF('Curs, Seminar'!Q23&lt;&gt;"a","",'Curs, Seminar'!Q23)</f>
        <v/>
      </c>
      <c r="I24" s="83"/>
      <c r="J24" s="83"/>
      <c r="K24" s="80"/>
      <c r="L24" s="80"/>
      <c r="M24" s="79"/>
      <c r="O24" s="95"/>
      <c r="P24" s="97"/>
      <c r="Q24" s="98"/>
      <c r="R24" s="95"/>
    </row>
    <row r="25" spans="1:18" ht="19.95" customHeight="1" x14ac:dyDescent="0.3">
      <c r="A25" s="91" t="str">
        <f>'Curs, Seminar'!B24</f>
        <v/>
      </c>
      <c r="B25" s="92" t="str">
        <f>IF(NOT(ISBLANK('Curs, Seminar'!C24)),'Curs, Seminar'!C24,"")</f>
        <v/>
      </c>
      <c r="C25" s="83" t="str">
        <f>IF('Curs, Seminar'!L24&lt;&gt;"a","",'Curs, Seminar'!L24)</f>
        <v/>
      </c>
      <c r="D25" s="83" t="str">
        <f>IF('Curs, Seminar'!M24&lt;&gt;"a","",'Curs, Seminar'!M24)</f>
        <v/>
      </c>
      <c r="E25" s="83" t="str">
        <f>IF('Curs, Seminar'!N24&lt;&gt;"a","",'Curs, Seminar'!N24)</f>
        <v/>
      </c>
      <c r="F25" s="83" t="str">
        <f>IF('Curs, Seminar'!O24&lt;&gt;"a","",'Curs, Seminar'!O24)</f>
        <v/>
      </c>
      <c r="G25" s="83" t="str">
        <f>IF('Curs, Seminar'!P24&lt;&gt;"a","",'Curs, Seminar'!P24)</f>
        <v/>
      </c>
      <c r="H25" s="83" t="str">
        <f>IF('Curs, Seminar'!Q24&lt;&gt;"a","",'Curs, Seminar'!Q24)</f>
        <v/>
      </c>
      <c r="I25" s="83"/>
      <c r="J25" s="83"/>
      <c r="K25" s="80"/>
      <c r="L25" s="80"/>
      <c r="M25" s="79"/>
      <c r="O25" s="95"/>
      <c r="P25" s="97"/>
      <c r="Q25" s="98"/>
      <c r="R25" s="95"/>
    </row>
    <row r="26" spans="1:18" ht="19.95" customHeight="1" x14ac:dyDescent="0.3">
      <c r="A26" s="91" t="str">
        <f>'Curs, Seminar'!B25</f>
        <v/>
      </c>
      <c r="B26" s="92" t="str">
        <f>IF(NOT(ISBLANK('Curs, Seminar'!C25)),'Curs, Seminar'!C25,"")</f>
        <v/>
      </c>
      <c r="C26" s="83" t="str">
        <f>IF('Curs, Seminar'!L25&lt;&gt;"a","",'Curs, Seminar'!L25)</f>
        <v/>
      </c>
      <c r="D26" s="83" t="str">
        <f>IF('Curs, Seminar'!M25&lt;&gt;"a","",'Curs, Seminar'!M25)</f>
        <v/>
      </c>
      <c r="E26" s="83" t="str">
        <f>IF('Curs, Seminar'!N25&lt;&gt;"a","",'Curs, Seminar'!N25)</f>
        <v/>
      </c>
      <c r="F26" s="83" t="str">
        <f>IF('Curs, Seminar'!O25&lt;&gt;"a","",'Curs, Seminar'!O25)</f>
        <v/>
      </c>
      <c r="G26" s="83" t="str">
        <f>IF('Curs, Seminar'!P25&lt;&gt;"a","",'Curs, Seminar'!P25)</f>
        <v/>
      </c>
      <c r="H26" s="83" t="str">
        <f>IF('Curs, Seminar'!Q25&lt;&gt;"a","",'Curs, Seminar'!Q25)</f>
        <v/>
      </c>
      <c r="I26" s="83"/>
      <c r="J26" s="83"/>
      <c r="K26" s="80"/>
      <c r="L26" s="80"/>
      <c r="M26" s="79"/>
      <c r="O26" s="95"/>
      <c r="P26" s="97"/>
      <c r="Q26" s="98"/>
      <c r="R26" s="90"/>
    </row>
    <row r="27" spans="1:18" ht="19.95" customHeight="1" x14ac:dyDescent="0.3">
      <c r="A27" s="91" t="str">
        <f>'Curs, Seminar'!B26</f>
        <v/>
      </c>
      <c r="B27" s="92" t="str">
        <f>IF(NOT(ISBLANK('Curs, Seminar'!C26)),'Curs, Seminar'!C26,"")</f>
        <v/>
      </c>
      <c r="C27" s="83" t="str">
        <f>IF('Curs, Seminar'!L26&lt;&gt;"a","",'Curs, Seminar'!L26)</f>
        <v/>
      </c>
      <c r="D27" s="83" t="str">
        <f>IF('Curs, Seminar'!M26&lt;&gt;"a","",'Curs, Seminar'!M26)</f>
        <v/>
      </c>
      <c r="E27" s="83" t="str">
        <f>IF('Curs, Seminar'!N26&lt;&gt;"a","",'Curs, Seminar'!N26)</f>
        <v/>
      </c>
      <c r="F27" s="83" t="str">
        <f>IF('Curs, Seminar'!O26&lt;&gt;"a","",'Curs, Seminar'!O26)</f>
        <v/>
      </c>
      <c r="G27" s="83" t="str">
        <f>IF('Curs, Seminar'!P26&lt;&gt;"a","",'Curs, Seminar'!P26)</f>
        <v/>
      </c>
      <c r="H27" s="83" t="str">
        <f>IF('Curs, Seminar'!Q26&lt;&gt;"a","",'Curs, Seminar'!Q26)</f>
        <v/>
      </c>
      <c r="I27" s="83"/>
      <c r="J27" s="83"/>
      <c r="K27" s="80"/>
      <c r="L27" s="80"/>
      <c r="M27" s="79"/>
      <c r="O27" s="95"/>
      <c r="P27" s="94"/>
      <c r="Q27" s="90"/>
      <c r="R27" s="90"/>
    </row>
    <row r="28" spans="1:18" ht="19.95" customHeight="1" x14ac:dyDescent="0.3">
      <c r="A28" s="91" t="str">
        <f>'Curs, Seminar'!B27</f>
        <v/>
      </c>
      <c r="B28" s="92" t="str">
        <f>IF(NOT(ISBLANK('Curs, Seminar'!C27)),'Curs, Seminar'!C27,"")</f>
        <v/>
      </c>
      <c r="C28" s="83" t="str">
        <f>IF('Curs, Seminar'!L27&lt;&gt;"a","",'Curs, Seminar'!L27)</f>
        <v/>
      </c>
      <c r="D28" s="83" t="str">
        <f>IF('Curs, Seminar'!M27&lt;&gt;"a","",'Curs, Seminar'!M27)</f>
        <v/>
      </c>
      <c r="E28" s="83" t="str">
        <f>IF('Curs, Seminar'!N27&lt;&gt;"a","",'Curs, Seminar'!N27)</f>
        <v/>
      </c>
      <c r="F28" s="83" t="str">
        <f>IF('Curs, Seminar'!O27&lt;&gt;"a","",'Curs, Seminar'!O27)</f>
        <v/>
      </c>
      <c r="G28" s="83" t="str">
        <f>IF('Curs, Seminar'!P27&lt;&gt;"a","",'Curs, Seminar'!P27)</f>
        <v/>
      </c>
      <c r="H28" s="83" t="str">
        <f>IF('Curs, Seminar'!Q27&lt;&gt;"a","",'Curs, Seminar'!Q27)</f>
        <v/>
      </c>
      <c r="I28" s="83"/>
      <c r="J28" s="83"/>
      <c r="K28" s="80"/>
      <c r="L28" s="80"/>
      <c r="M28" s="79"/>
      <c r="O28" s="95"/>
      <c r="P28" s="94"/>
      <c r="Q28" s="90"/>
      <c r="R28" s="90"/>
    </row>
    <row r="29" spans="1:18" ht="19.95" customHeight="1" x14ac:dyDescent="0.3">
      <c r="A29" s="91" t="str">
        <f>'Curs, Seminar'!B28</f>
        <v/>
      </c>
      <c r="B29" s="92" t="str">
        <f>IF(NOT(ISBLANK('Curs, Seminar'!C28)),'Curs, Seminar'!C28,"")</f>
        <v/>
      </c>
      <c r="C29" s="83" t="str">
        <f>IF('Curs, Seminar'!L28&lt;&gt;"a","",'Curs, Seminar'!L28)</f>
        <v/>
      </c>
      <c r="D29" s="83" t="str">
        <f>IF('Curs, Seminar'!M28&lt;&gt;"a","",'Curs, Seminar'!M28)</f>
        <v/>
      </c>
      <c r="E29" s="83" t="str">
        <f>IF('Curs, Seminar'!N28&lt;&gt;"a","",'Curs, Seminar'!N28)</f>
        <v/>
      </c>
      <c r="F29" s="83" t="str">
        <f>IF('Curs, Seminar'!O28&lt;&gt;"a","",'Curs, Seminar'!O28)</f>
        <v/>
      </c>
      <c r="G29" s="83" t="str">
        <f>IF('Curs, Seminar'!P28&lt;&gt;"a","",'Curs, Seminar'!P28)</f>
        <v/>
      </c>
      <c r="H29" s="83" t="str">
        <f>IF('Curs, Seminar'!Q28&lt;&gt;"a","",'Curs, Seminar'!Q28)</f>
        <v/>
      </c>
      <c r="I29" s="83"/>
      <c r="J29" s="83"/>
      <c r="K29" s="80"/>
      <c r="L29" s="80"/>
      <c r="M29" s="79"/>
      <c r="O29" s="95"/>
      <c r="P29" s="94"/>
      <c r="Q29" s="90"/>
      <c r="R29" s="90"/>
    </row>
    <row r="30" spans="1:18" ht="19.95" customHeight="1" x14ac:dyDescent="0.3">
      <c r="A30" s="91" t="str">
        <f>'Curs, Seminar'!B29</f>
        <v/>
      </c>
      <c r="B30" s="92" t="str">
        <f>IF(NOT(ISBLANK('Curs, Seminar'!C29)),'Curs, Seminar'!C29,"")</f>
        <v/>
      </c>
      <c r="C30" s="83" t="str">
        <f>IF('Curs, Seminar'!L29&lt;&gt;"a","",'Curs, Seminar'!L29)</f>
        <v/>
      </c>
      <c r="D30" s="83" t="str">
        <f>IF('Curs, Seminar'!M29&lt;&gt;"a","",'Curs, Seminar'!M29)</f>
        <v/>
      </c>
      <c r="E30" s="83" t="str">
        <f>IF('Curs, Seminar'!N29&lt;&gt;"a","",'Curs, Seminar'!N29)</f>
        <v/>
      </c>
      <c r="F30" s="83" t="str">
        <f>IF('Curs, Seminar'!O29&lt;&gt;"a","",'Curs, Seminar'!O29)</f>
        <v/>
      </c>
      <c r="G30" s="83" t="str">
        <f>IF('Curs, Seminar'!P29&lt;&gt;"a","",'Curs, Seminar'!P29)</f>
        <v/>
      </c>
      <c r="H30" s="83" t="str">
        <f>IF('Curs, Seminar'!Q29&lt;&gt;"a","",'Curs, Seminar'!Q29)</f>
        <v/>
      </c>
      <c r="I30" s="83"/>
      <c r="J30" s="83"/>
      <c r="K30" s="80"/>
      <c r="L30" s="80"/>
      <c r="M30" s="79"/>
      <c r="O30" s="95"/>
      <c r="P30" s="94"/>
      <c r="Q30" s="90"/>
      <c r="R30" s="90"/>
    </row>
    <row r="31" spans="1:18" ht="19.95" customHeight="1" x14ac:dyDescent="0.3">
      <c r="A31" s="91" t="str">
        <f>'Curs, Seminar'!B30</f>
        <v/>
      </c>
      <c r="B31" s="92" t="str">
        <f>IF(NOT(ISBLANK('Curs, Seminar'!C30)),'Curs, Seminar'!C30,"")</f>
        <v/>
      </c>
      <c r="C31" s="83" t="str">
        <f>IF('Curs, Seminar'!L30&lt;&gt;"a","",'Curs, Seminar'!L30)</f>
        <v/>
      </c>
      <c r="D31" s="83" t="str">
        <f>IF('Curs, Seminar'!M30&lt;&gt;"a","",'Curs, Seminar'!M30)</f>
        <v/>
      </c>
      <c r="E31" s="83" t="str">
        <f>IF('Curs, Seminar'!N30&lt;&gt;"a","",'Curs, Seminar'!N30)</f>
        <v/>
      </c>
      <c r="F31" s="83" t="str">
        <f>IF('Curs, Seminar'!O30&lt;&gt;"a","",'Curs, Seminar'!O30)</f>
        <v/>
      </c>
      <c r="G31" s="83" t="str">
        <f>IF('Curs, Seminar'!P30&lt;&gt;"a","",'Curs, Seminar'!P30)</f>
        <v/>
      </c>
      <c r="H31" s="83" t="str">
        <f>IF('Curs, Seminar'!Q30&lt;&gt;"a","",'Curs, Seminar'!Q30)</f>
        <v/>
      </c>
      <c r="I31" s="83"/>
      <c r="J31" s="83"/>
      <c r="K31" s="80"/>
      <c r="L31" s="80"/>
      <c r="M31" s="79"/>
      <c r="O31" s="95"/>
      <c r="P31" s="94"/>
      <c r="Q31" s="90"/>
      <c r="R31" s="90"/>
    </row>
    <row r="32" spans="1:18" ht="19.95" customHeight="1" x14ac:dyDescent="0.3">
      <c r="A32" s="91" t="str">
        <f>'Curs, Seminar'!B31</f>
        <v/>
      </c>
      <c r="B32" s="92" t="str">
        <f>IF(NOT(ISBLANK('Curs, Seminar'!C31)),'Curs, Seminar'!C31,"")</f>
        <v/>
      </c>
      <c r="C32" s="83" t="str">
        <f>IF('Curs, Seminar'!L31&lt;&gt;"a","",'Curs, Seminar'!L31)</f>
        <v/>
      </c>
      <c r="D32" s="83" t="str">
        <f>IF('Curs, Seminar'!M31&lt;&gt;"a","",'Curs, Seminar'!M31)</f>
        <v/>
      </c>
      <c r="E32" s="83" t="str">
        <f>IF('Curs, Seminar'!N31&lt;&gt;"a","",'Curs, Seminar'!N31)</f>
        <v/>
      </c>
      <c r="F32" s="83" t="str">
        <f>IF('Curs, Seminar'!O31&lt;&gt;"a","",'Curs, Seminar'!O31)</f>
        <v/>
      </c>
      <c r="G32" s="83" t="str">
        <f>IF('Curs, Seminar'!P31&lt;&gt;"a","",'Curs, Seminar'!P31)</f>
        <v/>
      </c>
      <c r="H32" s="83" t="str">
        <f>IF('Curs, Seminar'!Q31&lt;&gt;"a","",'Curs, Seminar'!Q31)</f>
        <v/>
      </c>
      <c r="I32" s="83"/>
      <c r="J32" s="83"/>
      <c r="K32" s="80"/>
      <c r="L32" s="80"/>
      <c r="M32" s="79"/>
      <c r="O32" s="82"/>
      <c r="P32" s="81"/>
      <c r="Q32" s="79"/>
      <c r="R32" s="79"/>
    </row>
    <row r="33" spans="1:18" ht="19.95" customHeight="1" x14ac:dyDescent="0.3">
      <c r="A33" s="91" t="str">
        <f>'Curs, Seminar'!B32</f>
        <v/>
      </c>
      <c r="B33" s="92" t="str">
        <f>IF(NOT(ISBLANK('Curs, Seminar'!C32)),'Curs, Seminar'!C32,"")</f>
        <v/>
      </c>
      <c r="C33" s="83" t="str">
        <f>IF('Curs, Seminar'!L32&lt;&gt;"a","",'Curs, Seminar'!L32)</f>
        <v/>
      </c>
      <c r="D33" s="83" t="str">
        <f>IF('Curs, Seminar'!M32&lt;&gt;"a","",'Curs, Seminar'!M32)</f>
        <v/>
      </c>
      <c r="E33" s="83" t="str">
        <f>IF('Curs, Seminar'!N32&lt;&gt;"a","",'Curs, Seminar'!N32)</f>
        <v/>
      </c>
      <c r="F33" s="83" t="str">
        <f>IF('Curs, Seminar'!O32&lt;&gt;"a","",'Curs, Seminar'!O32)</f>
        <v/>
      </c>
      <c r="G33" s="83" t="str">
        <f>IF('Curs, Seminar'!P32&lt;&gt;"a","",'Curs, Seminar'!P32)</f>
        <v/>
      </c>
      <c r="H33" s="83" t="str">
        <f>IF('Curs, Seminar'!Q32&lt;&gt;"a","",'Curs, Seminar'!Q32)</f>
        <v/>
      </c>
      <c r="I33" s="83"/>
      <c r="J33" s="83"/>
      <c r="K33" s="80"/>
      <c r="L33" s="80"/>
      <c r="M33" s="79"/>
      <c r="O33" s="82"/>
      <c r="P33" s="81"/>
      <c r="Q33" s="79"/>
      <c r="R33" s="79"/>
    </row>
    <row r="34" spans="1:18" ht="19.95" customHeight="1" x14ac:dyDescent="0.3">
      <c r="A34" s="91" t="str">
        <f>'Curs, Seminar'!B33</f>
        <v/>
      </c>
      <c r="B34" s="92" t="str">
        <f>IF(NOT(ISBLANK('Curs, Seminar'!C33)),'Curs, Seminar'!C33,"")</f>
        <v/>
      </c>
      <c r="C34" s="83" t="str">
        <f>IF('Curs, Seminar'!L33&lt;&gt;"a","",'Curs, Seminar'!L33)</f>
        <v/>
      </c>
      <c r="D34" s="83" t="str">
        <f>IF('Curs, Seminar'!M33&lt;&gt;"a","",'Curs, Seminar'!M33)</f>
        <v/>
      </c>
      <c r="E34" s="83" t="str">
        <f>IF('Curs, Seminar'!N33&lt;&gt;"a","",'Curs, Seminar'!N33)</f>
        <v/>
      </c>
      <c r="F34" s="83" t="str">
        <f>IF('Curs, Seminar'!O33&lt;&gt;"a","",'Curs, Seminar'!O33)</f>
        <v/>
      </c>
      <c r="G34" s="83" t="str">
        <f>IF('Curs, Seminar'!P33&lt;&gt;"a","",'Curs, Seminar'!P33)</f>
        <v/>
      </c>
      <c r="H34" s="83" t="str">
        <f>IF('Curs, Seminar'!Q33&lt;&gt;"a","",'Curs, Seminar'!Q33)</f>
        <v/>
      </c>
      <c r="I34" s="83"/>
      <c r="J34" s="83"/>
      <c r="K34" s="80"/>
      <c r="L34" s="80"/>
      <c r="M34" s="79"/>
      <c r="O34" s="82"/>
      <c r="P34" s="81"/>
      <c r="Q34" s="79"/>
      <c r="R34" s="79"/>
    </row>
    <row r="35" spans="1:18" ht="19.95" customHeight="1" x14ac:dyDescent="0.3">
      <c r="A35" s="91" t="str">
        <f>'Curs, Seminar'!B34</f>
        <v/>
      </c>
      <c r="B35" s="92" t="str">
        <f>IF(NOT(ISBLANK('Curs, Seminar'!C34)),'Curs, Seminar'!C34,"")</f>
        <v/>
      </c>
      <c r="C35" s="83" t="str">
        <f>IF('Curs, Seminar'!L34&lt;&gt;"a","",'Curs, Seminar'!L34)</f>
        <v/>
      </c>
      <c r="D35" s="83" t="str">
        <f>IF('Curs, Seminar'!M34&lt;&gt;"a","",'Curs, Seminar'!M34)</f>
        <v/>
      </c>
      <c r="E35" s="83" t="str">
        <f>IF('Curs, Seminar'!N34&lt;&gt;"a","",'Curs, Seminar'!N34)</f>
        <v/>
      </c>
      <c r="F35" s="83" t="str">
        <f>IF('Curs, Seminar'!O34&lt;&gt;"a","",'Curs, Seminar'!O34)</f>
        <v/>
      </c>
      <c r="G35" s="83" t="str">
        <f>IF('Curs, Seminar'!P34&lt;&gt;"a","",'Curs, Seminar'!P34)</f>
        <v/>
      </c>
      <c r="H35" s="83" t="str">
        <f>IF('Curs, Seminar'!Q34&lt;&gt;"a","",'Curs, Seminar'!Q34)</f>
        <v/>
      </c>
      <c r="I35" s="83"/>
      <c r="J35" s="83"/>
      <c r="K35" s="80"/>
      <c r="L35" s="80"/>
      <c r="M35" s="79"/>
      <c r="O35" s="82"/>
      <c r="P35" s="81"/>
      <c r="Q35" s="79"/>
      <c r="R35" s="79"/>
    </row>
    <row r="36" spans="1:18" ht="19.95" customHeight="1" x14ac:dyDescent="0.3">
      <c r="A36" s="91" t="str">
        <f>'Curs, Seminar'!B35</f>
        <v/>
      </c>
      <c r="B36" s="92" t="str">
        <f>IF(NOT(ISBLANK('Curs, Seminar'!C35)),'Curs, Seminar'!C35,"")</f>
        <v/>
      </c>
      <c r="C36" s="83" t="str">
        <f>IF('Curs, Seminar'!L35&lt;&gt;"a","",'Curs, Seminar'!L35)</f>
        <v/>
      </c>
      <c r="D36" s="83" t="str">
        <f>IF('Curs, Seminar'!M35&lt;&gt;"a","",'Curs, Seminar'!M35)</f>
        <v/>
      </c>
      <c r="E36" s="83" t="str">
        <f>IF('Curs, Seminar'!N35&lt;&gt;"a","",'Curs, Seminar'!N35)</f>
        <v/>
      </c>
      <c r="F36" s="83" t="str">
        <f>IF('Curs, Seminar'!O35&lt;&gt;"a","",'Curs, Seminar'!O35)</f>
        <v/>
      </c>
      <c r="G36" s="83" t="str">
        <f>IF('Curs, Seminar'!P35&lt;&gt;"a","",'Curs, Seminar'!P35)</f>
        <v/>
      </c>
      <c r="H36" s="83" t="str">
        <f>IF('Curs, Seminar'!Q35&lt;&gt;"a","",'Curs, Seminar'!Q35)</f>
        <v/>
      </c>
      <c r="I36" s="83"/>
      <c r="J36" s="83"/>
      <c r="K36" s="80"/>
      <c r="L36" s="80"/>
      <c r="M36" s="79"/>
      <c r="O36" s="82"/>
      <c r="P36" s="81"/>
      <c r="Q36" s="79"/>
      <c r="R36" s="79"/>
    </row>
    <row r="37" spans="1:18" ht="19.95" customHeight="1" x14ac:dyDescent="0.3">
      <c r="A37" s="91" t="str">
        <f>'Curs, Seminar'!B36</f>
        <v/>
      </c>
      <c r="B37" s="92" t="str">
        <f>IF(NOT(ISBLANK('Curs, Seminar'!C36)),'Curs, Seminar'!C36,"")</f>
        <v/>
      </c>
      <c r="C37" s="83" t="str">
        <f>IF('Curs, Seminar'!L36&lt;&gt;"a","",'Curs, Seminar'!L36)</f>
        <v/>
      </c>
      <c r="D37" s="83" t="str">
        <f>IF('Curs, Seminar'!M36&lt;&gt;"a","",'Curs, Seminar'!M36)</f>
        <v/>
      </c>
      <c r="E37" s="83" t="str">
        <f>IF('Curs, Seminar'!N36&lt;&gt;"a","",'Curs, Seminar'!N36)</f>
        <v/>
      </c>
      <c r="F37" s="83" t="str">
        <f>IF('Curs, Seminar'!O36&lt;&gt;"a","",'Curs, Seminar'!O36)</f>
        <v/>
      </c>
      <c r="G37" s="83" t="str">
        <f>IF('Curs, Seminar'!P36&lt;&gt;"a","",'Curs, Seminar'!P36)</f>
        <v/>
      </c>
      <c r="H37" s="83" t="str">
        <f>IF('Curs, Seminar'!Q36&lt;&gt;"a","",'Curs, Seminar'!Q36)</f>
        <v/>
      </c>
      <c r="I37" s="83"/>
      <c r="J37" s="83"/>
      <c r="K37" s="80"/>
      <c r="L37" s="80"/>
      <c r="M37" s="79"/>
      <c r="O37" s="82"/>
      <c r="P37" s="81"/>
      <c r="Q37" s="79"/>
      <c r="R37" s="79"/>
    </row>
    <row r="38" spans="1:18" ht="19.95" customHeight="1" x14ac:dyDescent="0.3">
      <c r="A38" s="91" t="str">
        <f>'Curs, Seminar'!B37</f>
        <v/>
      </c>
      <c r="B38" s="92" t="str">
        <f>IF(NOT(ISBLANK('Curs, Seminar'!C37)),'Curs, Seminar'!C37,"")</f>
        <v/>
      </c>
      <c r="C38" s="83" t="str">
        <f>IF('Curs, Seminar'!L37&lt;&gt;"a","",'Curs, Seminar'!L37)</f>
        <v/>
      </c>
      <c r="D38" s="83" t="str">
        <f>IF('Curs, Seminar'!M37&lt;&gt;"a","",'Curs, Seminar'!M37)</f>
        <v/>
      </c>
      <c r="E38" s="83" t="str">
        <f>IF('Curs, Seminar'!N37&lt;&gt;"a","",'Curs, Seminar'!N37)</f>
        <v/>
      </c>
      <c r="F38" s="83" t="str">
        <f>IF('Curs, Seminar'!O37&lt;&gt;"a","",'Curs, Seminar'!O37)</f>
        <v/>
      </c>
      <c r="G38" s="83" t="str">
        <f>IF('Curs, Seminar'!P37&lt;&gt;"a","",'Curs, Seminar'!P37)</f>
        <v/>
      </c>
      <c r="H38" s="83" t="str">
        <f>IF('Curs, Seminar'!Q37&lt;&gt;"a","",'Curs, Seminar'!Q37)</f>
        <v/>
      </c>
      <c r="I38" s="83"/>
      <c r="J38" s="83"/>
      <c r="K38" s="80"/>
      <c r="L38" s="80"/>
      <c r="M38" s="79"/>
      <c r="O38" s="82"/>
      <c r="P38" s="81"/>
      <c r="Q38" s="79"/>
      <c r="R38" s="79"/>
    </row>
    <row r="39" spans="1:18" ht="19.95" customHeight="1" x14ac:dyDescent="0.3">
      <c r="A39" s="91" t="str">
        <f>'Curs, Seminar'!B38</f>
        <v/>
      </c>
      <c r="B39" s="92" t="str">
        <f>IF(NOT(ISBLANK('Curs, Seminar'!C38)),'Curs, Seminar'!C38,"")</f>
        <v/>
      </c>
      <c r="C39" s="83" t="str">
        <f>IF('Curs, Seminar'!L38&lt;&gt;"a","",'Curs, Seminar'!L38)</f>
        <v/>
      </c>
      <c r="D39" s="83" t="str">
        <f>IF('Curs, Seminar'!M38&lt;&gt;"a","",'Curs, Seminar'!M38)</f>
        <v/>
      </c>
      <c r="E39" s="83" t="str">
        <f>IF('Curs, Seminar'!N38&lt;&gt;"a","",'Curs, Seminar'!N38)</f>
        <v/>
      </c>
      <c r="F39" s="83" t="str">
        <f>IF('Curs, Seminar'!O38&lt;&gt;"a","",'Curs, Seminar'!O38)</f>
        <v/>
      </c>
      <c r="G39" s="83" t="str">
        <f>IF('Curs, Seminar'!P38&lt;&gt;"a","",'Curs, Seminar'!P38)</f>
        <v/>
      </c>
      <c r="H39" s="83" t="str">
        <f>IF('Curs, Seminar'!Q38&lt;&gt;"a","",'Curs, Seminar'!Q38)</f>
        <v/>
      </c>
      <c r="I39" s="83"/>
      <c r="J39" s="83"/>
      <c r="K39" s="80"/>
      <c r="L39" s="80"/>
      <c r="M39" s="79"/>
      <c r="O39" s="82"/>
      <c r="P39" s="81"/>
      <c r="Q39" s="79"/>
      <c r="R39" s="79"/>
    </row>
    <row r="40" spans="1:18" ht="19.95" customHeight="1" x14ac:dyDescent="0.3">
      <c r="A40" s="91" t="str">
        <f>'Curs, Seminar'!B39</f>
        <v/>
      </c>
      <c r="B40" s="92" t="str">
        <f>IF(NOT(ISBLANK('Curs, Seminar'!C39)),'Curs, Seminar'!C39,"")</f>
        <v/>
      </c>
      <c r="C40" s="83" t="str">
        <f>IF('Curs, Seminar'!L39&lt;&gt;"a","",'Curs, Seminar'!L39)</f>
        <v/>
      </c>
      <c r="D40" s="83" t="str">
        <f>IF('Curs, Seminar'!M39&lt;&gt;"a","",'Curs, Seminar'!M39)</f>
        <v/>
      </c>
      <c r="E40" s="83" t="str">
        <f>IF('Curs, Seminar'!N39&lt;&gt;"a","",'Curs, Seminar'!N39)</f>
        <v/>
      </c>
      <c r="F40" s="83" t="str">
        <f>IF('Curs, Seminar'!O39&lt;&gt;"a","",'Curs, Seminar'!O39)</f>
        <v/>
      </c>
      <c r="G40" s="83" t="str">
        <f>IF('Curs, Seminar'!P39&lt;&gt;"a","",'Curs, Seminar'!P39)</f>
        <v/>
      </c>
      <c r="H40" s="83" t="str">
        <f>IF('Curs, Seminar'!Q39&lt;&gt;"a","",'Curs, Seminar'!Q39)</f>
        <v/>
      </c>
      <c r="I40" s="83"/>
      <c r="J40" s="83"/>
      <c r="K40" s="80"/>
      <c r="L40" s="80"/>
      <c r="M40" s="79"/>
      <c r="O40" s="82"/>
      <c r="P40" s="81"/>
      <c r="Q40" s="79"/>
      <c r="R40" s="79"/>
    </row>
    <row r="41" spans="1:18" ht="19.95" customHeight="1" x14ac:dyDescent="0.3">
      <c r="A41" s="91" t="str">
        <f>'Curs, Seminar'!B40</f>
        <v/>
      </c>
      <c r="B41" s="92" t="str">
        <f>IF(NOT(ISBLANK('Curs, Seminar'!C40)),'Curs, Seminar'!C40,"")</f>
        <v/>
      </c>
      <c r="C41" s="83" t="str">
        <f>IF('Curs, Seminar'!L40&lt;&gt;"a","",'Curs, Seminar'!L40)</f>
        <v/>
      </c>
      <c r="D41" s="83" t="str">
        <f>IF('Curs, Seminar'!M40&lt;&gt;"a","",'Curs, Seminar'!M40)</f>
        <v/>
      </c>
      <c r="E41" s="83" t="str">
        <f>IF('Curs, Seminar'!N40&lt;&gt;"a","",'Curs, Seminar'!N40)</f>
        <v/>
      </c>
      <c r="F41" s="83" t="str">
        <f>IF('Curs, Seminar'!O40&lt;&gt;"a","",'Curs, Seminar'!O40)</f>
        <v/>
      </c>
      <c r="G41" s="83" t="str">
        <f>IF('Curs, Seminar'!P40&lt;&gt;"a","",'Curs, Seminar'!P40)</f>
        <v/>
      </c>
      <c r="H41" s="83" t="str">
        <f>IF('Curs, Seminar'!Q40&lt;&gt;"a","",'Curs, Seminar'!Q40)</f>
        <v/>
      </c>
      <c r="I41" s="83"/>
      <c r="J41" s="83"/>
      <c r="K41" s="80"/>
      <c r="L41" s="80"/>
      <c r="M41" s="79"/>
      <c r="O41" s="82"/>
      <c r="P41" s="81"/>
      <c r="Q41" s="79"/>
      <c r="R41" s="79"/>
    </row>
    <row r="42" spans="1:18" ht="19.95" customHeight="1" x14ac:dyDescent="0.3">
      <c r="A42" s="91" t="str">
        <f>'Curs, Seminar'!B41</f>
        <v/>
      </c>
      <c r="B42" s="92" t="str">
        <f>IF(NOT(ISBLANK('Curs, Seminar'!C41)),'Curs, Seminar'!C41,"")</f>
        <v/>
      </c>
      <c r="C42" s="83" t="str">
        <f>IF('Curs, Seminar'!L41&lt;&gt;"a","",'Curs, Seminar'!L41)</f>
        <v/>
      </c>
      <c r="D42" s="83" t="str">
        <f>IF('Curs, Seminar'!M41&lt;&gt;"a","",'Curs, Seminar'!M41)</f>
        <v/>
      </c>
      <c r="E42" s="83" t="str">
        <f>IF('Curs, Seminar'!N41&lt;&gt;"a","",'Curs, Seminar'!N41)</f>
        <v/>
      </c>
      <c r="F42" s="83" t="str">
        <f>IF('Curs, Seminar'!O41&lt;&gt;"a","",'Curs, Seminar'!O41)</f>
        <v/>
      </c>
      <c r="G42" s="83" t="str">
        <f>IF('Curs, Seminar'!P41&lt;&gt;"a","",'Curs, Seminar'!P41)</f>
        <v/>
      </c>
      <c r="H42" s="83" t="str">
        <f>IF('Curs, Seminar'!Q41&lt;&gt;"a","",'Curs, Seminar'!Q41)</f>
        <v/>
      </c>
      <c r="I42" s="83"/>
      <c r="J42" s="83"/>
      <c r="K42" s="80"/>
      <c r="L42" s="80"/>
      <c r="M42" s="79"/>
      <c r="O42" s="82"/>
      <c r="P42" s="81"/>
      <c r="Q42" s="79"/>
      <c r="R42" s="79"/>
    </row>
    <row r="43" spans="1:18" ht="19.95" customHeight="1" x14ac:dyDescent="0.3">
      <c r="A43" s="91" t="str">
        <f>'Curs, Seminar'!B42</f>
        <v/>
      </c>
      <c r="B43" s="92" t="str">
        <f>IF(NOT(ISBLANK('Curs, Seminar'!C42)),'Curs, Seminar'!C42,"")</f>
        <v/>
      </c>
      <c r="C43" s="83" t="str">
        <f>IF('Curs, Seminar'!L42&lt;&gt;"a","",'Curs, Seminar'!L42)</f>
        <v/>
      </c>
      <c r="D43" s="83" t="str">
        <f>IF('Curs, Seminar'!M42&lt;&gt;"a","",'Curs, Seminar'!M42)</f>
        <v/>
      </c>
      <c r="E43" s="83" t="str">
        <f>IF('Curs, Seminar'!N42&lt;&gt;"a","",'Curs, Seminar'!N42)</f>
        <v/>
      </c>
      <c r="F43" s="83" t="str">
        <f>IF('Curs, Seminar'!O42&lt;&gt;"a","",'Curs, Seminar'!O42)</f>
        <v/>
      </c>
      <c r="G43" s="83" t="str">
        <f>IF('Curs, Seminar'!P42&lt;&gt;"a","",'Curs, Seminar'!P42)</f>
        <v/>
      </c>
      <c r="H43" s="83" t="str">
        <f>IF('Curs, Seminar'!Q42&lt;&gt;"a","",'Curs, Seminar'!Q42)</f>
        <v/>
      </c>
      <c r="I43" s="83"/>
      <c r="J43" s="83"/>
      <c r="K43" s="80"/>
      <c r="L43" s="80"/>
      <c r="M43" s="79"/>
      <c r="O43" s="82"/>
      <c r="P43" s="81"/>
      <c r="Q43" s="79"/>
      <c r="R43" s="79"/>
    </row>
    <row r="44" spans="1:18" ht="19.95" customHeight="1" x14ac:dyDescent="0.3">
      <c r="A44" s="91" t="str">
        <f>'Curs, Seminar'!B43</f>
        <v/>
      </c>
      <c r="B44" s="92" t="str">
        <f>IF(NOT(ISBLANK('Curs, Seminar'!C43)),'Curs, Seminar'!C43,"")</f>
        <v/>
      </c>
      <c r="C44" s="83" t="str">
        <f>IF('Curs, Seminar'!L43&lt;&gt;"a","",'Curs, Seminar'!L43)</f>
        <v/>
      </c>
      <c r="D44" s="83" t="str">
        <f>IF('Curs, Seminar'!M43&lt;&gt;"a","",'Curs, Seminar'!M43)</f>
        <v/>
      </c>
      <c r="E44" s="83" t="str">
        <f>IF('Curs, Seminar'!N43&lt;&gt;"a","",'Curs, Seminar'!N43)</f>
        <v/>
      </c>
      <c r="F44" s="83" t="str">
        <f>IF('Curs, Seminar'!O43&lt;&gt;"a","",'Curs, Seminar'!O43)</f>
        <v/>
      </c>
      <c r="G44" s="83" t="str">
        <f>IF('Curs, Seminar'!P43&lt;&gt;"a","",'Curs, Seminar'!P43)</f>
        <v/>
      </c>
      <c r="H44" s="83" t="str">
        <f>IF('Curs, Seminar'!Q43&lt;&gt;"a","",'Curs, Seminar'!Q43)</f>
        <v/>
      </c>
      <c r="I44" s="83"/>
      <c r="J44" s="83"/>
      <c r="K44" s="80"/>
      <c r="L44" s="80"/>
      <c r="M44" s="79"/>
    </row>
    <row r="45" spans="1:18" ht="19.95" customHeight="1" x14ac:dyDescent="0.3">
      <c r="A45" s="91" t="str">
        <f>'Curs, Seminar'!B44</f>
        <v/>
      </c>
      <c r="B45" s="92" t="str">
        <f>IF(NOT(ISBLANK('Curs, Seminar'!C44)),'Curs, Seminar'!C44,"")</f>
        <v/>
      </c>
      <c r="C45" s="83" t="str">
        <f>IF('Curs, Seminar'!L44&lt;&gt;"a","",'Curs, Seminar'!L44)</f>
        <v/>
      </c>
      <c r="D45" s="83" t="str">
        <f>IF('Curs, Seminar'!M44&lt;&gt;"a","",'Curs, Seminar'!M44)</f>
        <v/>
      </c>
      <c r="E45" s="83" t="str">
        <f>IF('Curs, Seminar'!N44&lt;&gt;"a","",'Curs, Seminar'!N44)</f>
        <v/>
      </c>
      <c r="F45" s="83" t="str">
        <f>IF('Curs, Seminar'!O44&lt;&gt;"a","",'Curs, Seminar'!O44)</f>
        <v/>
      </c>
      <c r="G45" s="83" t="str">
        <f>IF('Curs, Seminar'!P44&lt;&gt;"a","",'Curs, Seminar'!P44)</f>
        <v/>
      </c>
      <c r="H45" s="83" t="str">
        <f>IF('Curs, Seminar'!Q44&lt;&gt;"a","",'Curs, Seminar'!Q44)</f>
        <v/>
      </c>
      <c r="I45" s="83"/>
      <c r="J45" s="83"/>
      <c r="K45" s="80"/>
      <c r="L45" s="80"/>
      <c r="M45" s="79"/>
    </row>
    <row r="46" spans="1:18" ht="19.95" customHeight="1" x14ac:dyDescent="0.3">
      <c r="A46" s="91" t="str">
        <f>'Curs, Seminar'!B45</f>
        <v/>
      </c>
      <c r="B46" s="92" t="str">
        <f>IF(NOT(ISBLANK('Curs, Seminar'!C45)),'Curs, Seminar'!C45,"")</f>
        <v/>
      </c>
      <c r="C46" s="83" t="str">
        <f>IF('Curs, Seminar'!L45&lt;&gt;"a","",'Curs, Seminar'!L45)</f>
        <v/>
      </c>
      <c r="D46" s="83" t="str">
        <f>IF('Curs, Seminar'!M45&lt;&gt;"a","",'Curs, Seminar'!M45)</f>
        <v/>
      </c>
      <c r="E46" s="83" t="str">
        <f>IF('Curs, Seminar'!N45&lt;&gt;"a","",'Curs, Seminar'!N45)</f>
        <v/>
      </c>
      <c r="F46" s="83" t="str">
        <f>IF('Curs, Seminar'!O45&lt;&gt;"a","",'Curs, Seminar'!O45)</f>
        <v/>
      </c>
      <c r="G46" s="83" t="str">
        <f>IF('Curs, Seminar'!P45&lt;&gt;"a","",'Curs, Seminar'!P45)</f>
        <v/>
      </c>
      <c r="H46" s="83" t="str">
        <f>IF('Curs, Seminar'!Q45&lt;&gt;"a","",'Curs, Seminar'!Q45)</f>
        <v/>
      </c>
      <c r="I46" s="83"/>
      <c r="J46" s="83"/>
      <c r="K46" s="80"/>
      <c r="L46" s="80"/>
      <c r="M46" s="79"/>
    </row>
    <row r="47" spans="1:18" ht="19.95" customHeight="1" x14ac:dyDescent="0.3">
      <c r="A47" s="91" t="str">
        <f>'Curs, Seminar'!B46</f>
        <v/>
      </c>
      <c r="B47" s="92" t="str">
        <f>IF(NOT(ISBLANK('Curs, Seminar'!C46)),'Curs, Seminar'!C46,"")</f>
        <v/>
      </c>
      <c r="C47" s="83" t="str">
        <f>IF('Curs, Seminar'!L46&lt;&gt;"a","",'Curs, Seminar'!L46)</f>
        <v/>
      </c>
      <c r="D47" s="83" t="str">
        <f>IF('Curs, Seminar'!M46&lt;&gt;"a","",'Curs, Seminar'!M46)</f>
        <v/>
      </c>
      <c r="E47" s="83" t="str">
        <f>IF('Curs, Seminar'!N46&lt;&gt;"a","",'Curs, Seminar'!N46)</f>
        <v/>
      </c>
      <c r="F47" s="83" t="str">
        <f>IF('Curs, Seminar'!O46&lt;&gt;"a","",'Curs, Seminar'!O46)</f>
        <v/>
      </c>
      <c r="G47" s="83" t="str">
        <f>IF('Curs, Seminar'!P46&lt;&gt;"a","",'Curs, Seminar'!P46)</f>
        <v/>
      </c>
      <c r="H47" s="83" t="str">
        <f>IF('Curs, Seminar'!Q46&lt;&gt;"a","",'Curs, Seminar'!Q46)</f>
        <v/>
      </c>
      <c r="I47" s="83"/>
      <c r="J47" s="83"/>
      <c r="K47" s="80"/>
      <c r="L47" s="80"/>
      <c r="M47" s="79"/>
    </row>
    <row r="48" spans="1:18" ht="19.95" customHeight="1" x14ac:dyDescent="0.3">
      <c r="A48" s="91" t="str">
        <f>'Curs, Seminar'!B47</f>
        <v/>
      </c>
      <c r="B48" s="92" t="str">
        <f>IF(NOT(ISBLANK('Curs, Seminar'!C47)),'Curs, Seminar'!C47,"")</f>
        <v/>
      </c>
      <c r="C48" s="83" t="str">
        <f>IF('Curs, Seminar'!L47&lt;&gt;"a","",'Curs, Seminar'!L47)</f>
        <v/>
      </c>
      <c r="D48" s="83" t="str">
        <f>IF('Curs, Seminar'!M47&lt;&gt;"a","",'Curs, Seminar'!M47)</f>
        <v/>
      </c>
      <c r="E48" s="83" t="str">
        <f>IF('Curs, Seminar'!N47&lt;&gt;"a","",'Curs, Seminar'!N47)</f>
        <v/>
      </c>
      <c r="F48" s="83" t="str">
        <f>IF('Curs, Seminar'!O47&lt;&gt;"a","",'Curs, Seminar'!O47)</f>
        <v/>
      </c>
      <c r="G48" s="83" t="str">
        <f>IF('Curs, Seminar'!P47&lt;&gt;"a","",'Curs, Seminar'!P47)</f>
        <v/>
      </c>
      <c r="H48" s="83" t="str">
        <f>IF('Curs, Seminar'!Q47&lt;&gt;"a","",'Curs, Seminar'!Q47)</f>
        <v/>
      </c>
      <c r="I48" s="83"/>
      <c r="J48" s="83"/>
      <c r="K48" s="80"/>
      <c r="L48" s="80"/>
      <c r="M48" s="79"/>
    </row>
    <row r="49" spans="1:13" ht="19.95" customHeight="1" x14ac:dyDescent="0.3">
      <c r="A49" s="91" t="str">
        <f>'Curs, Seminar'!B48</f>
        <v/>
      </c>
      <c r="B49" s="92" t="str">
        <f>IF(NOT(ISBLANK('Curs, Seminar'!C48)),'Curs, Seminar'!C48,"")</f>
        <v/>
      </c>
      <c r="C49" s="83" t="str">
        <f>IF('Curs, Seminar'!L48&lt;&gt;"a","",'Curs, Seminar'!L48)</f>
        <v/>
      </c>
      <c r="D49" s="83" t="str">
        <f>IF('Curs, Seminar'!M48&lt;&gt;"a","",'Curs, Seminar'!M48)</f>
        <v/>
      </c>
      <c r="E49" s="83" t="str">
        <f>IF('Curs, Seminar'!N48&lt;&gt;"a","",'Curs, Seminar'!N48)</f>
        <v/>
      </c>
      <c r="F49" s="83" t="str">
        <f>IF('Curs, Seminar'!O48&lt;&gt;"a","",'Curs, Seminar'!O48)</f>
        <v/>
      </c>
      <c r="G49" s="83" t="str">
        <f>IF('Curs, Seminar'!P48&lt;&gt;"a","",'Curs, Seminar'!P48)</f>
        <v/>
      </c>
      <c r="H49" s="83" t="str">
        <f>IF('Curs, Seminar'!Q48&lt;&gt;"a","",'Curs, Seminar'!Q48)</f>
        <v/>
      </c>
      <c r="I49" s="83"/>
      <c r="J49" s="83"/>
      <c r="K49" s="80"/>
      <c r="L49" s="80"/>
      <c r="M49" s="79"/>
    </row>
    <row r="50" spans="1:13" ht="19.95" customHeight="1" x14ac:dyDescent="0.3">
      <c r="A50" s="91" t="str">
        <f>'Curs, Seminar'!B49</f>
        <v/>
      </c>
      <c r="B50" s="92" t="str">
        <f>IF(NOT(ISBLANK('Curs, Seminar'!C49)),'Curs, Seminar'!C49,"")</f>
        <v/>
      </c>
      <c r="C50" s="83" t="str">
        <f>IF('Curs, Seminar'!L49&lt;&gt;"a","",'Curs, Seminar'!L49)</f>
        <v/>
      </c>
      <c r="D50" s="83" t="str">
        <f>IF('Curs, Seminar'!M49&lt;&gt;"a","",'Curs, Seminar'!M49)</f>
        <v/>
      </c>
      <c r="E50" s="83" t="str">
        <f>IF('Curs, Seminar'!N49&lt;&gt;"a","",'Curs, Seminar'!N49)</f>
        <v/>
      </c>
      <c r="F50" s="83" t="str">
        <f>IF('Curs, Seminar'!O49&lt;&gt;"a","",'Curs, Seminar'!O49)</f>
        <v/>
      </c>
      <c r="G50" s="83" t="str">
        <f>IF('Curs, Seminar'!P49&lt;&gt;"a","",'Curs, Seminar'!P49)</f>
        <v/>
      </c>
      <c r="H50" s="83" t="str">
        <f>IF('Curs, Seminar'!Q49&lt;&gt;"a","",'Curs, Seminar'!Q49)</f>
        <v/>
      </c>
      <c r="I50" s="83"/>
      <c r="J50" s="83"/>
      <c r="K50" s="80"/>
      <c r="L50" s="80"/>
      <c r="M50" s="79"/>
    </row>
    <row r="51" spans="1:13" ht="19.95" customHeight="1" x14ac:dyDescent="0.3">
      <c r="A51" s="91" t="str">
        <f>'Curs, Seminar'!B50</f>
        <v/>
      </c>
      <c r="B51" s="92" t="str">
        <f>IF(NOT(ISBLANK('Curs, Seminar'!C50)),'Curs, Seminar'!C50,"")</f>
        <v/>
      </c>
      <c r="C51" s="83" t="str">
        <f>IF('Curs, Seminar'!L50&lt;&gt;"a","",'Curs, Seminar'!L50)</f>
        <v/>
      </c>
      <c r="D51" s="83" t="str">
        <f>IF('Curs, Seminar'!M50&lt;&gt;"a","",'Curs, Seminar'!M50)</f>
        <v/>
      </c>
      <c r="E51" s="83" t="str">
        <f>IF('Curs, Seminar'!N50&lt;&gt;"a","",'Curs, Seminar'!N50)</f>
        <v/>
      </c>
      <c r="F51" s="83" t="str">
        <f>IF('Curs, Seminar'!O50&lt;&gt;"a","",'Curs, Seminar'!O50)</f>
        <v/>
      </c>
      <c r="G51" s="83" t="str">
        <f>IF('Curs, Seminar'!P50&lt;&gt;"a","",'Curs, Seminar'!P50)</f>
        <v/>
      </c>
      <c r="H51" s="83" t="str">
        <f>IF('Curs, Seminar'!Q50&lt;&gt;"a","",'Curs, Seminar'!Q50)</f>
        <v/>
      </c>
      <c r="I51" s="83"/>
      <c r="J51" s="83"/>
      <c r="K51" s="80"/>
      <c r="L51" s="80"/>
      <c r="M51" s="79"/>
    </row>
    <row r="52" spans="1:13" ht="19.95" customHeight="1" x14ac:dyDescent="0.3">
      <c r="A52" s="91" t="str">
        <f>'Curs, Seminar'!B51</f>
        <v/>
      </c>
      <c r="B52" s="92" t="str">
        <f>IF(NOT(ISBLANK('Curs, Seminar'!C51)),'Curs, Seminar'!C51,"")</f>
        <v/>
      </c>
      <c r="C52" s="83" t="str">
        <f>IF('Curs, Seminar'!L51&lt;&gt;"a","",'Curs, Seminar'!L51)</f>
        <v/>
      </c>
      <c r="D52" s="83" t="str">
        <f>IF('Curs, Seminar'!M51&lt;&gt;"a","",'Curs, Seminar'!M51)</f>
        <v/>
      </c>
      <c r="E52" s="83" t="str">
        <f>IF('Curs, Seminar'!N51&lt;&gt;"a","",'Curs, Seminar'!N51)</f>
        <v/>
      </c>
      <c r="F52" s="83" t="str">
        <f>IF('Curs, Seminar'!O51&lt;&gt;"a","",'Curs, Seminar'!O51)</f>
        <v/>
      </c>
      <c r="G52" s="83" t="str">
        <f>IF('Curs, Seminar'!P51&lt;&gt;"a","",'Curs, Seminar'!P51)</f>
        <v/>
      </c>
      <c r="H52" s="83" t="str">
        <f>IF('Curs, Seminar'!Q51&lt;&gt;"a","",'Curs, Seminar'!Q51)</f>
        <v/>
      </c>
      <c r="I52" s="83"/>
      <c r="J52" s="83"/>
      <c r="K52" s="80"/>
      <c r="L52" s="80"/>
      <c r="M52" s="79"/>
    </row>
    <row r="53" spans="1:13" ht="19.95" customHeight="1" x14ac:dyDescent="0.3">
      <c r="A53" s="91" t="str">
        <f>'Curs, Seminar'!B52</f>
        <v/>
      </c>
      <c r="B53" s="92" t="str">
        <f>IF(NOT(ISBLANK('Curs, Seminar'!C52)),'Curs, Seminar'!C52,"")</f>
        <v/>
      </c>
      <c r="C53" s="83" t="str">
        <f>IF('Curs, Seminar'!L52&lt;&gt;"a","",'Curs, Seminar'!L52)</f>
        <v/>
      </c>
      <c r="D53" s="83" t="str">
        <f>IF('Curs, Seminar'!M52&lt;&gt;"a","",'Curs, Seminar'!M52)</f>
        <v/>
      </c>
      <c r="E53" s="83" t="str">
        <f>IF('Curs, Seminar'!N52&lt;&gt;"a","",'Curs, Seminar'!N52)</f>
        <v/>
      </c>
      <c r="F53" s="83" t="str">
        <f>IF('Curs, Seminar'!O52&lt;&gt;"a","",'Curs, Seminar'!O52)</f>
        <v/>
      </c>
      <c r="G53" s="83" t="str">
        <f>IF('Curs, Seminar'!P52&lt;&gt;"a","",'Curs, Seminar'!P52)</f>
        <v/>
      </c>
      <c r="H53" s="83" t="str">
        <f>IF('Curs, Seminar'!Q52&lt;&gt;"a","",'Curs, Seminar'!Q52)</f>
        <v/>
      </c>
      <c r="I53" s="83"/>
      <c r="J53" s="83"/>
      <c r="K53" s="80"/>
      <c r="L53" s="80"/>
      <c r="M53" s="79"/>
    </row>
    <row r="54" spans="1:13" ht="19.95" customHeight="1" x14ac:dyDescent="0.3">
      <c r="A54" s="91" t="str">
        <f>'Curs, Seminar'!B53</f>
        <v/>
      </c>
      <c r="B54" s="92" t="str">
        <f>IF(NOT(ISBLANK('Curs, Seminar'!C53)),'Curs, Seminar'!C53,"")</f>
        <v/>
      </c>
      <c r="C54" s="83" t="str">
        <f>IF('Curs, Seminar'!L53&lt;&gt;"a","",'Curs, Seminar'!L53)</f>
        <v/>
      </c>
      <c r="D54" s="83" t="str">
        <f>IF('Curs, Seminar'!M53&lt;&gt;"a","",'Curs, Seminar'!M53)</f>
        <v/>
      </c>
      <c r="E54" s="83" t="str">
        <f>IF('Curs, Seminar'!N53&lt;&gt;"a","",'Curs, Seminar'!N53)</f>
        <v/>
      </c>
      <c r="F54" s="83" t="str">
        <f>IF('Curs, Seminar'!O53&lt;&gt;"a","",'Curs, Seminar'!O53)</f>
        <v/>
      </c>
      <c r="G54" s="83" t="str">
        <f>IF('Curs, Seminar'!P53&lt;&gt;"a","",'Curs, Seminar'!P53)</f>
        <v/>
      </c>
      <c r="H54" s="83" t="str">
        <f>IF('Curs, Seminar'!Q53&lt;&gt;"a","",'Curs, Seminar'!Q53)</f>
        <v/>
      </c>
      <c r="I54" s="83"/>
      <c r="J54" s="83"/>
      <c r="K54" s="80"/>
      <c r="L54" s="80"/>
      <c r="M54" s="79"/>
    </row>
    <row r="55" spans="1:13" ht="19.95" customHeight="1" x14ac:dyDescent="0.3">
      <c r="A55" s="91" t="str">
        <f>'Curs, Seminar'!B54</f>
        <v/>
      </c>
      <c r="B55" s="92" t="str">
        <f>IF(NOT(ISBLANK('Curs, Seminar'!C54)),'Curs, Seminar'!C54,"")</f>
        <v/>
      </c>
      <c r="C55" s="83" t="str">
        <f>IF('Curs, Seminar'!L54&lt;&gt;"a","",'Curs, Seminar'!L54)</f>
        <v/>
      </c>
      <c r="D55" s="83" t="str">
        <f>IF('Curs, Seminar'!M54&lt;&gt;"a","",'Curs, Seminar'!M54)</f>
        <v/>
      </c>
      <c r="E55" s="83" t="str">
        <f>IF('Curs, Seminar'!N54&lt;&gt;"a","",'Curs, Seminar'!N54)</f>
        <v/>
      </c>
      <c r="F55" s="83" t="str">
        <f>IF('Curs, Seminar'!O54&lt;&gt;"a","",'Curs, Seminar'!O54)</f>
        <v/>
      </c>
      <c r="G55" s="83" t="str">
        <f>IF('Curs, Seminar'!P54&lt;&gt;"a","",'Curs, Seminar'!P54)</f>
        <v/>
      </c>
      <c r="H55" s="83" t="str">
        <f>IF('Curs, Seminar'!Q54&lt;&gt;"a","",'Curs, Seminar'!Q54)</f>
        <v/>
      </c>
      <c r="I55" s="83"/>
      <c r="J55" s="83"/>
      <c r="K55" s="80"/>
      <c r="L55" s="80"/>
      <c r="M55" s="79"/>
    </row>
    <row r="56" spans="1:13" ht="19.95" customHeight="1" x14ac:dyDescent="0.3">
      <c r="A56" s="91" t="str">
        <f>'Curs, Seminar'!B55</f>
        <v/>
      </c>
      <c r="B56" s="92" t="str">
        <f>IF(NOT(ISBLANK('Curs, Seminar'!C55)),'Curs, Seminar'!C55,"")</f>
        <v/>
      </c>
      <c r="C56" s="83" t="str">
        <f>IF('Curs, Seminar'!L55&lt;&gt;"a","",'Curs, Seminar'!L55)</f>
        <v/>
      </c>
      <c r="D56" s="83" t="str">
        <f>IF('Curs, Seminar'!M55&lt;&gt;"a","",'Curs, Seminar'!M55)</f>
        <v/>
      </c>
      <c r="E56" s="83" t="str">
        <f>IF('Curs, Seminar'!N55&lt;&gt;"a","",'Curs, Seminar'!N55)</f>
        <v/>
      </c>
      <c r="F56" s="83" t="str">
        <f>IF('Curs, Seminar'!O55&lt;&gt;"a","",'Curs, Seminar'!O55)</f>
        <v/>
      </c>
      <c r="G56" s="83" t="str">
        <f>IF('Curs, Seminar'!P55&lt;&gt;"a","",'Curs, Seminar'!P55)</f>
        <v/>
      </c>
      <c r="H56" s="83" t="str">
        <f>IF('Curs, Seminar'!Q55&lt;&gt;"a","",'Curs, Seminar'!Q55)</f>
        <v/>
      </c>
      <c r="I56" s="83"/>
      <c r="J56" s="83"/>
      <c r="K56" s="80"/>
      <c r="L56" s="80"/>
      <c r="M56" s="79"/>
    </row>
    <row r="57" spans="1:13" ht="19.95" customHeight="1" x14ac:dyDescent="0.3">
      <c r="A57" s="91" t="str">
        <f>'Curs, Seminar'!B56</f>
        <v/>
      </c>
      <c r="B57" s="92" t="str">
        <f>IF(NOT(ISBLANK('Curs, Seminar'!C56)),'Curs, Seminar'!C56,"")</f>
        <v/>
      </c>
      <c r="C57" s="83" t="str">
        <f>IF('Curs, Seminar'!L56&lt;&gt;"a","",'Curs, Seminar'!L56)</f>
        <v/>
      </c>
      <c r="D57" s="83" t="str">
        <f>IF('Curs, Seminar'!M56&lt;&gt;"a","",'Curs, Seminar'!M56)</f>
        <v/>
      </c>
      <c r="E57" s="83" t="str">
        <f>IF('Curs, Seminar'!N56&lt;&gt;"a","",'Curs, Seminar'!N56)</f>
        <v/>
      </c>
      <c r="F57" s="83" t="str">
        <f>IF('Curs, Seminar'!O56&lt;&gt;"a","",'Curs, Seminar'!O56)</f>
        <v/>
      </c>
      <c r="G57" s="83" t="str">
        <f>IF('Curs, Seminar'!P56&lt;&gt;"a","",'Curs, Seminar'!P56)</f>
        <v/>
      </c>
      <c r="H57" s="83" t="str">
        <f>IF('Curs, Seminar'!Q56&lt;&gt;"a","",'Curs, Seminar'!Q56)</f>
        <v/>
      </c>
      <c r="I57" s="83"/>
      <c r="J57" s="83"/>
      <c r="K57" s="80"/>
      <c r="L57" s="80"/>
      <c r="M57" s="79"/>
    </row>
    <row r="58" spans="1:13" ht="19.95" customHeight="1" x14ac:dyDescent="0.3">
      <c r="A58" s="91" t="str">
        <f>'Curs, Seminar'!B57</f>
        <v/>
      </c>
      <c r="B58" s="92" t="str">
        <f>IF(NOT(ISBLANK('Curs, Seminar'!C57)),'Curs, Seminar'!C57,"")</f>
        <v/>
      </c>
      <c r="C58" s="83" t="str">
        <f>IF('Curs, Seminar'!L57&lt;&gt;"a","",'Curs, Seminar'!L57)</f>
        <v/>
      </c>
      <c r="D58" s="83" t="str">
        <f>IF('Curs, Seminar'!M57&lt;&gt;"a","",'Curs, Seminar'!M57)</f>
        <v/>
      </c>
      <c r="E58" s="83" t="str">
        <f>IF('Curs, Seminar'!N57&lt;&gt;"a","",'Curs, Seminar'!N57)</f>
        <v/>
      </c>
      <c r="F58" s="83" t="str">
        <f>IF('Curs, Seminar'!O57&lt;&gt;"a","",'Curs, Seminar'!O57)</f>
        <v/>
      </c>
      <c r="G58" s="83" t="str">
        <f>IF('Curs, Seminar'!P57&lt;&gt;"a","",'Curs, Seminar'!P57)</f>
        <v/>
      </c>
      <c r="H58" s="83" t="str">
        <f>IF('Curs, Seminar'!Q57&lt;&gt;"a","",'Curs, Seminar'!Q57)</f>
        <v/>
      </c>
      <c r="I58" s="83"/>
      <c r="J58" s="83"/>
      <c r="K58" s="80"/>
      <c r="L58" s="80"/>
      <c r="M58" s="79"/>
    </row>
    <row r="59" spans="1:13" ht="19.95" customHeight="1" x14ac:dyDescent="0.3">
      <c r="A59" s="91" t="str">
        <f>'Curs, Seminar'!B58</f>
        <v/>
      </c>
      <c r="B59" s="92" t="str">
        <f>IF(NOT(ISBLANK('Curs, Seminar'!C58)),'Curs, Seminar'!C58,"")</f>
        <v/>
      </c>
      <c r="C59" s="83" t="str">
        <f>IF('Curs, Seminar'!L58&lt;&gt;"a","",'Curs, Seminar'!L58)</f>
        <v/>
      </c>
      <c r="D59" s="83" t="str">
        <f>IF('Curs, Seminar'!M58&lt;&gt;"a","",'Curs, Seminar'!M58)</f>
        <v/>
      </c>
      <c r="E59" s="83" t="str">
        <f>IF('Curs, Seminar'!N58&lt;&gt;"a","",'Curs, Seminar'!N58)</f>
        <v/>
      </c>
      <c r="F59" s="83" t="str">
        <f>IF('Curs, Seminar'!O58&lt;&gt;"a","",'Curs, Seminar'!O58)</f>
        <v/>
      </c>
      <c r="G59" s="83" t="str">
        <f>IF('Curs, Seminar'!P58&lt;&gt;"a","",'Curs, Seminar'!P58)</f>
        <v/>
      </c>
      <c r="H59" s="83" t="str">
        <f>IF('Curs, Seminar'!Q58&lt;&gt;"a","",'Curs, Seminar'!Q58)</f>
        <v/>
      </c>
      <c r="I59" s="83"/>
      <c r="J59" s="83"/>
      <c r="K59" s="80"/>
      <c r="L59" s="80"/>
      <c r="M59" s="79"/>
    </row>
    <row r="60" spans="1:13" ht="19.95" customHeight="1" x14ac:dyDescent="0.3">
      <c r="A60" s="91" t="str">
        <f>'Curs, Seminar'!B59</f>
        <v/>
      </c>
      <c r="B60" s="92" t="str">
        <f>IF(NOT(ISBLANK('Curs, Seminar'!C59)),'Curs, Seminar'!C59,"")</f>
        <v/>
      </c>
      <c r="C60" s="83" t="str">
        <f>IF('Curs, Seminar'!L59&lt;&gt;"a","",'Curs, Seminar'!L59)</f>
        <v/>
      </c>
      <c r="D60" s="83" t="str">
        <f>IF('Curs, Seminar'!M59&lt;&gt;"a","",'Curs, Seminar'!M59)</f>
        <v/>
      </c>
      <c r="E60" s="83" t="str">
        <f>IF('Curs, Seminar'!N59&lt;&gt;"a","",'Curs, Seminar'!N59)</f>
        <v/>
      </c>
      <c r="F60" s="83" t="str">
        <f>IF('Curs, Seminar'!O59&lt;&gt;"a","",'Curs, Seminar'!O59)</f>
        <v/>
      </c>
      <c r="G60" s="83" t="str">
        <f>IF('Curs, Seminar'!P59&lt;&gt;"a","",'Curs, Seminar'!P59)</f>
        <v/>
      </c>
      <c r="H60" s="83" t="str">
        <f>IF('Curs, Seminar'!Q59&lt;&gt;"a","",'Curs, Seminar'!Q59)</f>
        <v/>
      </c>
      <c r="I60" s="83"/>
      <c r="J60" s="83"/>
      <c r="K60" s="80"/>
      <c r="L60" s="80"/>
      <c r="M60" s="79"/>
    </row>
    <row r="61" spans="1:13" ht="19.95" customHeight="1" x14ac:dyDescent="0.3">
      <c r="A61" s="91" t="str">
        <f>'Curs, Seminar'!B60</f>
        <v/>
      </c>
      <c r="B61" s="92" t="str">
        <f>IF(NOT(ISBLANK('Curs, Seminar'!C60)),'Curs, Seminar'!C60,"")</f>
        <v/>
      </c>
      <c r="C61" s="83" t="str">
        <f>IF('Curs, Seminar'!L60&lt;&gt;"a","",'Curs, Seminar'!L60)</f>
        <v/>
      </c>
      <c r="D61" s="83" t="str">
        <f>IF('Curs, Seminar'!M60&lt;&gt;"a","",'Curs, Seminar'!M60)</f>
        <v/>
      </c>
      <c r="E61" s="83" t="str">
        <f>IF('Curs, Seminar'!N60&lt;&gt;"a","",'Curs, Seminar'!N60)</f>
        <v/>
      </c>
      <c r="F61" s="83" t="str">
        <f>IF('Curs, Seminar'!O60&lt;&gt;"a","",'Curs, Seminar'!O60)</f>
        <v/>
      </c>
      <c r="G61" s="83" t="str">
        <f>IF('Curs, Seminar'!P60&lt;&gt;"a","",'Curs, Seminar'!P60)</f>
        <v/>
      </c>
      <c r="H61" s="83" t="str">
        <f>IF('Curs, Seminar'!Q60&lt;&gt;"a","",'Curs, Seminar'!Q60)</f>
        <v/>
      </c>
      <c r="I61" s="83"/>
      <c r="J61" s="83"/>
      <c r="K61" s="80"/>
      <c r="L61" s="80"/>
      <c r="M61" s="79"/>
    </row>
    <row r="62" spans="1:13" ht="19.95" customHeight="1" x14ac:dyDescent="0.3">
      <c r="A62" s="91" t="str">
        <f>'Curs, Seminar'!B61</f>
        <v/>
      </c>
      <c r="B62" s="92" t="str">
        <f>IF(NOT(ISBLANK('Curs, Seminar'!C61)),'Curs, Seminar'!C61,"")</f>
        <v/>
      </c>
      <c r="C62" s="83" t="str">
        <f>IF('Curs, Seminar'!L61&lt;&gt;"a","",'Curs, Seminar'!L61)</f>
        <v/>
      </c>
      <c r="D62" s="83" t="str">
        <f>IF('Curs, Seminar'!M61&lt;&gt;"a","",'Curs, Seminar'!M61)</f>
        <v/>
      </c>
      <c r="E62" s="83" t="str">
        <f>IF('Curs, Seminar'!N61&lt;&gt;"a","",'Curs, Seminar'!N61)</f>
        <v/>
      </c>
      <c r="F62" s="83" t="str">
        <f>IF('Curs, Seminar'!O61&lt;&gt;"a","",'Curs, Seminar'!O61)</f>
        <v/>
      </c>
      <c r="G62" s="83" t="str">
        <f>IF('Curs, Seminar'!P61&lt;&gt;"a","",'Curs, Seminar'!P61)</f>
        <v/>
      </c>
      <c r="H62" s="83" t="str">
        <f>IF('Curs, Seminar'!Q61&lt;&gt;"a","",'Curs, Seminar'!Q61)</f>
        <v/>
      </c>
      <c r="I62" s="83"/>
      <c r="J62" s="83"/>
      <c r="K62" s="80"/>
      <c r="L62" s="80"/>
      <c r="M62" s="79"/>
    </row>
    <row r="63" spans="1:13" ht="19.95" customHeight="1" x14ac:dyDescent="0.3">
      <c r="A63" s="91" t="str">
        <f>'Curs, Seminar'!B62</f>
        <v/>
      </c>
      <c r="B63" s="92" t="str">
        <f>IF(NOT(ISBLANK('Curs, Seminar'!C62)),'Curs, Seminar'!C62,"")</f>
        <v/>
      </c>
      <c r="C63" s="83" t="str">
        <f>IF('Curs, Seminar'!L62&lt;&gt;"a","",'Curs, Seminar'!L62)</f>
        <v/>
      </c>
      <c r="D63" s="83" t="str">
        <f>IF('Curs, Seminar'!M62&lt;&gt;"a","",'Curs, Seminar'!M62)</f>
        <v/>
      </c>
      <c r="E63" s="83" t="str">
        <f>IF('Curs, Seminar'!N62&lt;&gt;"a","",'Curs, Seminar'!N62)</f>
        <v/>
      </c>
      <c r="F63" s="83" t="str">
        <f>IF('Curs, Seminar'!O62&lt;&gt;"a","",'Curs, Seminar'!O62)</f>
        <v/>
      </c>
      <c r="G63" s="83" t="str">
        <f>IF('Curs, Seminar'!P62&lt;&gt;"a","",'Curs, Seminar'!P62)</f>
        <v/>
      </c>
      <c r="H63" s="83" t="str">
        <f>IF('Curs, Seminar'!Q62&lt;&gt;"a","",'Curs, Seminar'!Q62)</f>
        <v/>
      </c>
      <c r="I63" s="83"/>
      <c r="J63" s="83"/>
      <c r="K63" s="80"/>
      <c r="L63" s="80"/>
      <c r="M63" s="79"/>
    </row>
    <row r="64" spans="1:13" ht="19.95" customHeight="1" x14ac:dyDescent="0.3">
      <c r="A64" s="91" t="str">
        <f>'Curs, Seminar'!B63</f>
        <v/>
      </c>
      <c r="B64" s="92" t="str">
        <f>IF(NOT(ISBLANK('Curs, Seminar'!C63)),'Curs, Seminar'!C63,"")</f>
        <v/>
      </c>
      <c r="C64" s="83" t="str">
        <f>IF('Curs, Seminar'!L63&lt;&gt;"a","",'Curs, Seminar'!L63)</f>
        <v/>
      </c>
      <c r="D64" s="83" t="str">
        <f>IF('Curs, Seminar'!M63&lt;&gt;"a","",'Curs, Seminar'!M63)</f>
        <v/>
      </c>
      <c r="E64" s="83" t="str">
        <f>IF('Curs, Seminar'!N63&lt;&gt;"a","",'Curs, Seminar'!N63)</f>
        <v/>
      </c>
      <c r="F64" s="83" t="str">
        <f>IF('Curs, Seminar'!O63&lt;&gt;"a","",'Curs, Seminar'!O63)</f>
        <v/>
      </c>
      <c r="G64" s="83" t="str">
        <f>IF('Curs, Seminar'!P63&lt;&gt;"a","",'Curs, Seminar'!P63)</f>
        <v/>
      </c>
      <c r="H64" s="83" t="str">
        <f>IF('Curs, Seminar'!Q63&lt;&gt;"a","",'Curs, Seminar'!Q63)</f>
        <v/>
      </c>
      <c r="I64" s="83"/>
      <c r="J64" s="83"/>
      <c r="K64" s="80"/>
      <c r="L64" s="80"/>
      <c r="M64" s="79"/>
    </row>
    <row r="65" spans="1:13" ht="19.95" customHeight="1" x14ac:dyDescent="0.3">
      <c r="A65" s="91" t="str">
        <f>'Curs, Seminar'!B64</f>
        <v/>
      </c>
      <c r="B65" s="92" t="str">
        <f>IF(NOT(ISBLANK('Curs, Seminar'!C64)),'Curs, Seminar'!C64,"")</f>
        <v/>
      </c>
      <c r="C65" s="83" t="str">
        <f>IF('Curs, Seminar'!L64&lt;&gt;"a","",'Curs, Seminar'!L64)</f>
        <v/>
      </c>
      <c r="D65" s="83" t="str">
        <f>IF('Curs, Seminar'!M64&lt;&gt;"a","",'Curs, Seminar'!M64)</f>
        <v/>
      </c>
      <c r="E65" s="83" t="str">
        <f>IF('Curs, Seminar'!N64&lt;&gt;"a","",'Curs, Seminar'!N64)</f>
        <v/>
      </c>
      <c r="F65" s="83" t="str">
        <f>IF('Curs, Seminar'!O64&lt;&gt;"a","",'Curs, Seminar'!O64)</f>
        <v/>
      </c>
      <c r="G65" s="83" t="str">
        <f>IF('Curs, Seminar'!P64&lt;&gt;"a","",'Curs, Seminar'!P64)</f>
        <v/>
      </c>
      <c r="H65" s="83" t="str">
        <f>IF('Curs, Seminar'!Q64&lt;&gt;"a","",'Curs, Seminar'!Q64)</f>
        <v/>
      </c>
      <c r="I65" s="83"/>
      <c r="J65" s="83"/>
      <c r="K65" s="80"/>
      <c r="L65" s="80"/>
      <c r="M65" s="79"/>
    </row>
    <row r="66" spans="1:13" ht="19.95" customHeight="1" x14ac:dyDescent="0.3">
      <c r="A66" s="91" t="str">
        <f>'Curs, Seminar'!B65</f>
        <v/>
      </c>
      <c r="B66" s="92" t="str">
        <f>IF(NOT(ISBLANK('Curs, Seminar'!C65)),'Curs, Seminar'!C65,"")</f>
        <v/>
      </c>
      <c r="C66" s="83" t="str">
        <f>IF('Curs, Seminar'!L65&lt;&gt;"a","",'Curs, Seminar'!L65)</f>
        <v/>
      </c>
      <c r="D66" s="83" t="str">
        <f>IF('Curs, Seminar'!M65&lt;&gt;"a","",'Curs, Seminar'!M65)</f>
        <v/>
      </c>
      <c r="E66" s="83" t="str">
        <f>IF('Curs, Seminar'!N65&lt;&gt;"a","",'Curs, Seminar'!N65)</f>
        <v/>
      </c>
      <c r="F66" s="83" t="str">
        <f>IF('Curs, Seminar'!O65&lt;&gt;"a","",'Curs, Seminar'!O65)</f>
        <v/>
      </c>
      <c r="G66" s="83" t="str">
        <f>IF('Curs, Seminar'!P65&lt;&gt;"a","",'Curs, Seminar'!P65)</f>
        <v/>
      </c>
      <c r="H66" s="83" t="str">
        <f>IF('Curs, Seminar'!Q65&lt;&gt;"a","",'Curs, Seminar'!Q65)</f>
        <v/>
      </c>
      <c r="I66" s="83"/>
      <c r="J66" s="83"/>
      <c r="K66" s="80"/>
      <c r="L66" s="80"/>
      <c r="M66" s="79"/>
    </row>
    <row r="67" spans="1:13" ht="19.95" customHeight="1" x14ac:dyDescent="0.3">
      <c r="A67" s="91" t="str">
        <f>'Curs, Seminar'!B66</f>
        <v/>
      </c>
      <c r="B67" s="92" t="str">
        <f>IF(NOT(ISBLANK('Curs, Seminar'!C66)),'Curs, Seminar'!C66,"")</f>
        <v/>
      </c>
      <c r="C67" s="83" t="str">
        <f>IF('Curs, Seminar'!L66&lt;&gt;"a","",'Curs, Seminar'!L66)</f>
        <v/>
      </c>
      <c r="D67" s="83" t="str">
        <f>IF('Curs, Seminar'!M66&lt;&gt;"a","",'Curs, Seminar'!M66)</f>
        <v/>
      </c>
      <c r="E67" s="83" t="str">
        <f>IF('Curs, Seminar'!N66&lt;&gt;"a","",'Curs, Seminar'!N66)</f>
        <v/>
      </c>
      <c r="F67" s="83" t="str">
        <f>IF('Curs, Seminar'!O66&lt;&gt;"a","",'Curs, Seminar'!O66)</f>
        <v/>
      </c>
      <c r="G67" s="83" t="str">
        <f>IF('Curs, Seminar'!P66&lt;&gt;"a","",'Curs, Seminar'!P66)</f>
        <v/>
      </c>
      <c r="H67" s="83" t="str">
        <f>IF('Curs, Seminar'!Q66&lt;&gt;"a","",'Curs, Seminar'!Q66)</f>
        <v/>
      </c>
      <c r="I67" s="83"/>
      <c r="J67" s="83"/>
      <c r="K67" s="80"/>
      <c r="L67" s="80"/>
      <c r="M67" s="79"/>
    </row>
    <row r="68" spans="1:13" ht="19.95" customHeight="1" x14ac:dyDescent="0.3">
      <c r="A68" s="91" t="str">
        <f>'Curs, Seminar'!B67</f>
        <v/>
      </c>
      <c r="B68" s="92" t="str">
        <f>IF(NOT(ISBLANK('Curs, Seminar'!C67)),'Curs, Seminar'!C67,"")</f>
        <v/>
      </c>
      <c r="C68" s="83" t="str">
        <f>IF('Curs, Seminar'!L67&lt;&gt;"a","",'Curs, Seminar'!L67)</f>
        <v/>
      </c>
      <c r="D68" s="83" t="str">
        <f>IF('Curs, Seminar'!M67&lt;&gt;"a","",'Curs, Seminar'!M67)</f>
        <v/>
      </c>
      <c r="E68" s="83" t="str">
        <f>IF('Curs, Seminar'!N67&lt;&gt;"a","",'Curs, Seminar'!N67)</f>
        <v/>
      </c>
      <c r="F68" s="83" t="str">
        <f>IF('Curs, Seminar'!O67&lt;&gt;"a","",'Curs, Seminar'!O67)</f>
        <v/>
      </c>
      <c r="G68" s="83" t="str">
        <f>IF('Curs, Seminar'!P67&lt;&gt;"a","",'Curs, Seminar'!P67)</f>
        <v/>
      </c>
      <c r="H68" s="83" t="str">
        <f>IF('Curs, Seminar'!Q67&lt;&gt;"a","",'Curs, Seminar'!Q67)</f>
        <v/>
      </c>
      <c r="I68" s="83"/>
      <c r="J68" s="83"/>
      <c r="K68" s="80"/>
      <c r="L68" s="80"/>
      <c r="M68" s="79"/>
    </row>
    <row r="69" spans="1:13" ht="19.95" customHeight="1" x14ac:dyDescent="0.3">
      <c r="A69" s="91" t="str">
        <f>'Curs, Seminar'!B68</f>
        <v/>
      </c>
      <c r="B69" s="92" t="str">
        <f>IF(NOT(ISBLANK('Curs, Seminar'!C68)),'Curs, Seminar'!C68,"")</f>
        <v/>
      </c>
      <c r="C69" s="83" t="str">
        <f>IF('Curs, Seminar'!L68&lt;&gt;"a","",'Curs, Seminar'!L68)</f>
        <v/>
      </c>
      <c r="D69" s="83" t="str">
        <f>IF('Curs, Seminar'!M68&lt;&gt;"a","",'Curs, Seminar'!M68)</f>
        <v/>
      </c>
      <c r="E69" s="83" t="str">
        <f>IF('Curs, Seminar'!N68&lt;&gt;"a","",'Curs, Seminar'!N68)</f>
        <v/>
      </c>
      <c r="F69" s="83" t="str">
        <f>IF('Curs, Seminar'!O68&lt;&gt;"a","",'Curs, Seminar'!O68)</f>
        <v/>
      </c>
      <c r="G69" s="83" t="str">
        <f>IF('Curs, Seminar'!P68&lt;&gt;"a","",'Curs, Seminar'!P68)</f>
        <v/>
      </c>
      <c r="H69" s="83" t="str">
        <f>IF('Curs, Seminar'!Q68&lt;&gt;"a","",'Curs, Seminar'!Q68)</f>
        <v/>
      </c>
      <c r="I69" s="83"/>
      <c r="J69" s="83"/>
      <c r="K69" s="80"/>
      <c r="L69" s="80"/>
      <c r="M69" s="79"/>
    </row>
    <row r="70" spans="1:13" ht="19.95" customHeight="1" x14ac:dyDescent="0.3">
      <c r="A70" s="91" t="str">
        <f>'Curs, Seminar'!B69</f>
        <v/>
      </c>
      <c r="B70" s="92" t="str">
        <f>IF(NOT(ISBLANK('Curs, Seminar'!C69)),'Curs, Seminar'!C69,"")</f>
        <v/>
      </c>
      <c r="C70" s="83" t="str">
        <f>IF('Curs, Seminar'!L69&lt;&gt;"a","",'Curs, Seminar'!L69)</f>
        <v/>
      </c>
      <c r="D70" s="83" t="str">
        <f>IF('Curs, Seminar'!M69&lt;&gt;"a","",'Curs, Seminar'!M69)</f>
        <v/>
      </c>
      <c r="E70" s="83" t="str">
        <f>IF('Curs, Seminar'!N69&lt;&gt;"a","",'Curs, Seminar'!N69)</f>
        <v/>
      </c>
      <c r="F70" s="83" t="str">
        <f>IF('Curs, Seminar'!O69&lt;&gt;"a","",'Curs, Seminar'!O69)</f>
        <v/>
      </c>
      <c r="G70" s="83" t="str">
        <f>IF('Curs, Seminar'!P69&lt;&gt;"a","",'Curs, Seminar'!P69)</f>
        <v/>
      </c>
      <c r="H70" s="83" t="str">
        <f>IF('Curs, Seminar'!Q69&lt;&gt;"a","",'Curs, Seminar'!Q69)</f>
        <v/>
      </c>
      <c r="I70" s="83"/>
      <c r="J70" s="83"/>
      <c r="K70" s="80"/>
      <c r="L70" s="80"/>
      <c r="M70" s="79"/>
    </row>
    <row r="71" spans="1:13" ht="19.95" customHeight="1" x14ac:dyDescent="0.3">
      <c r="A71" s="91" t="str">
        <f>'Curs, Seminar'!B70</f>
        <v/>
      </c>
      <c r="B71" s="92" t="str">
        <f>IF(NOT(ISBLANK('Curs, Seminar'!C70)),'Curs, Seminar'!C70,"")</f>
        <v/>
      </c>
      <c r="C71" s="83" t="str">
        <f>IF('Curs, Seminar'!L70&lt;&gt;"a","",'Curs, Seminar'!L70)</f>
        <v/>
      </c>
      <c r="D71" s="83" t="str">
        <f>IF('Curs, Seminar'!M70&lt;&gt;"a","",'Curs, Seminar'!M70)</f>
        <v/>
      </c>
      <c r="E71" s="83" t="str">
        <f>IF('Curs, Seminar'!N70&lt;&gt;"a","",'Curs, Seminar'!N70)</f>
        <v/>
      </c>
      <c r="F71" s="83" t="str">
        <f>IF('Curs, Seminar'!O70&lt;&gt;"a","",'Curs, Seminar'!O70)</f>
        <v/>
      </c>
      <c r="G71" s="83" t="str">
        <f>IF('Curs, Seminar'!P70&lt;&gt;"a","",'Curs, Seminar'!P70)</f>
        <v/>
      </c>
      <c r="H71" s="83" t="str">
        <f>IF('Curs, Seminar'!Q70&lt;&gt;"a","",'Curs, Seminar'!Q70)</f>
        <v/>
      </c>
      <c r="I71" s="83"/>
      <c r="J71" s="83"/>
      <c r="K71" s="80"/>
      <c r="L71" s="80"/>
      <c r="M71" s="79"/>
    </row>
    <row r="72" spans="1:13" ht="19.95" customHeight="1" x14ac:dyDescent="0.3">
      <c r="A72" s="91" t="str">
        <f>'Curs, Seminar'!B71</f>
        <v/>
      </c>
      <c r="B72" s="92" t="str">
        <f>IF(NOT(ISBLANK('Curs, Seminar'!C71)),'Curs, Seminar'!C71,"")</f>
        <v/>
      </c>
      <c r="C72" s="83" t="str">
        <f>IF('Curs, Seminar'!L71&lt;&gt;"a","",'Curs, Seminar'!L71)</f>
        <v/>
      </c>
      <c r="D72" s="83" t="str">
        <f>IF('Curs, Seminar'!M71&lt;&gt;"a","",'Curs, Seminar'!M71)</f>
        <v/>
      </c>
      <c r="E72" s="83" t="str">
        <f>IF('Curs, Seminar'!N71&lt;&gt;"a","",'Curs, Seminar'!N71)</f>
        <v/>
      </c>
      <c r="F72" s="83" t="str">
        <f>IF('Curs, Seminar'!O71&lt;&gt;"a","",'Curs, Seminar'!O71)</f>
        <v/>
      </c>
      <c r="G72" s="83" t="str">
        <f>IF('Curs, Seminar'!P71&lt;&gt;"a","",'Curs, Seminar'!P71)</f>
        <v/>
      </c>
      <c r="H72" s="83" t="str">
        <f>IF('Curs, Seminar'!Q71&lt;&gt;"a","",'Curs, Seminar'!Q71)</f>
        <v/>
      </c>
      <c r="I72" s="83"/>
      <c r="J72" s="83"/>
      <c r="K72" s="80"/>
      <c r="L72" s="80"/>
      <c r="M72" s="79"/>
    </row>
    <row r="73" spans="1:13" ht="19.95" customHeight="1" x14ac:dyDescent="0.3">
      <c r="A73" s="91" t="str">
        <f>'Curs, Seminar'!B72</f>
        <v/>
      </c>
      <c r="B73" s="92" t="str">
        <f>IF(NOT(ISBLANK('Curs, Seminar'!C72)),'Curs, Seminar'!C72,"")</f>
        <v/>
      </c>
      <c r="C73" s="83" t="str">
        <f>IF('Curs, Seminar'!L72&lt;&gt;"a","",'Curs, Seminar'!L72)</f>
        <v/>
      </c>
      <c r="D73" s="83" t="str">
        <f>IF('Curs, Seminar'!M72&lt;&gt;"a","",'Curs, Seminar'!M72)</f>
        <v/>
      </c>
      <c r="E73" s="83" t="str">
        <f>IF('Curs, Seminar'!N72&lt;&gt;"a","",'Curs, Seminar'!N72)</f>
        <v/>
      </c>
      <c r="F73" s="83" t="str">
        <f>IF('Curs, Seminar'!O72&lt;&gt;"a","",'Curs, Seminar'!O72)</f>
        <v/>
      </c>
      <c r="G73" s="83" t="str">
        <f>IF('Curs, Seminar'!P72&lt;&gt;"a","",'Curs, Seminar'!P72)</f>
        <v/>
      </c>
      <c r="H73" s="83" t="str">
        <f>IF('Curs, Seminar'!Q72&lt;&gt;"a","",'Curs, Seminar'!Q72)</f>
        <v/>
      </c>
      <c r="I73" s="83"/>
      <c r="J73" s="83"/>
      <c r="K73" s="80"/>
      <c r="L73" s="80"/>
      <c r="M73" s="79"/>
    </row>
    <row r="74" spans="1:13" ht="19.95" customHeight="1" x14ac:dyDescent="0.3">
      <c r="A74" s="91" t="str">
        <f>'Curs, Seminar'!B73</f>
        <v/>
      </c>
      <c r="B74" s="92" t="str">
        <f>IF(NOT(ISBLANK('Curs, Seminar'!C73)),'Curs, Seminar'!C73,"")</f>
        <v/>
      </c>
      <c r="C74" s="83" t="str">
        <f>IF('Curs, Seminar'!L73&lt;&gt;"a","",'Curs, Seminar'!L73)</f>
        <v/>
      </c>
      <c r="D74" s="83" t="str">
        <f>IF('Curs, Seminar'!M73&lt;&gt;"a","",'Curs, Seminar'!M73)</f>
        <v/>
      </c>
      <c r="E74" s="83" t="str">
        <f>IF('Curs, Seminar'!N73&lt;&gt;"a","",'Curs, Seminar'!N73)</f>
        <v/>
      </c>
      <c r="F74" s="83" t="str">
        <f>IF('Curs, Seminar'!O73&lt;&gt;"a","",'Curs, Seminar'!O73)</f>
        <v/>
      </c>
      <c r="G74" s="83" t="str">
        <f>IF('Curs, Seminar'!P73&lt;&gt;"a","",'Curs, Seminar'!P73)</f>
        <v/>
      </c>
      <c r="H74" s="83" t="str">
        <f>IF('Curs, Seminar'!Q73&lt;&gt;"a","",'Curs, Seminar'!Q73)</f>
        <v/>
      </c>
      <c r="I74" s="83"/>
      <c r="J74" s="83"/>
      <c r="K74" s="80"/>
      <c r="L74" s="80"/>
      <c r="M74" s="79"/>
    </row>
    <row r="75" spans="1:13" ht="19.95" customHeight="1" x14ac:dyDescent="0.3">
      <c r="A75" s="91" t="str">
        <f>'Curs, Seminar'!B74</f>
        <v/>
      </c>
      <c r="B75" s="92" t="str">
        <f>IF(NOT(ISBLANK('Curs, Seminar'!C74)),'Curs, Seminar'!C74,"")</f>
        <v/>
      </c>
      <c r="C75" s="83" t="str">
        <f>IF('Curs, Seminar'!L74&lt;&gt;"a","",'Curs, Seminar'!L74)</f>
        <v/>
      </c>
      <c r="D75" s="83" t="str">
        <f>IF('Curs, Seminar'!M74&lt;&gt;"a","",'Curs, Seminar'!M74)</f>
        <v/>
      </c>
      <c r="E75" s="83" t="str">
        <f>IF('Curs, Seminar'!N74&lt;&gt;"a","",'Curs, Seminar'!N74)</f>
        <v/>
      </c>
      <c r="F75" s="83" t="str">
        <f>IF('Curs, Seminar'!O74&lt;&gt;"a","",'Curs, Seminar'!O74)</f>
        <v/>
      </c>
      <c r="G75" s="83" t="str">
        <f>IF('Curs, Seminar'!P74&lt;&gt;"a","",'Curs, Seminar'!P74)</f>
        <v/>
      </c>
      <c r="H75" s="83" t="str">
        <f>IF('Curs, Seminar'!Q74&lt;&gt;"a","",'Curs, Seminar'!Q74)</f>
        <v/>
      </c>
      <c r="I75" s="83"/>
      <c r="J75" s="83"/>
      <c r="K75" s="80"/>
      <c r="L75" s="80"/>
      <c r="M75" s="79"/>
    </row>
    <row r="76" spans="1:13" ht="19.95" customHeight="1" x14ac:dyDescent="0.3">
      <c r="A76" s="91" t="str">
        <f>'Curs, Seminar'!B75</f>
        <v/>
      </c>
      <c r="B76" s="92" t="str">
        <f>IF(NOT(ISBLANK('Curs, Seminar'!C75)),'Curs, Seminar'!C75,"")</f>
        <v/>
      </c>
      <c r="C76" s="83" t="str">
        <f>IF('Curs, Seminar'!L75&lt;&gt;"a","",'Curs, Seminar'!L75)</f>
        <v/>
      </c>
      <c r="D76" s="83" t="str">
        <f>IF('Curs, Seminar'!M75&lt;&gt;"a","",'Curs, Seminar'!M75)</f>
        <v/>
      </c>
      <c r="E76" s="83" t="str">
        <f>IF('Curs, Seminar'!N75&lt;&gt;"a","",'Curs, Seminar'!N75)</f>
        <v/>
      </c>
      <c r="F76" s="83" t="str">
        <f>IF('Curs, Seminar'!O75&lt;&gt;"a","",'Curs, Seminar'!O75)</f>
        <v/>
      </c>
      <c r="G76" s="83" t="str">
        <f>IF('Curs, Seminar'!P75&lt;&gt;"a","",'Curs, Seminar'!P75)</f>
        <v/>
      </c>
      <c r="H76" s="83" t="str">
        <f>IF('Curs, Seminar'!Q75&lt;&gt;"a","",'Curs, Seminar'!Q75)</f>
        <v/>
      </c>
      <c r="I76" s="83"/>
      <c r="J76" s="83"/>
      <c r="K76" s="80"/>
      <c r="L76" s="80"/>
      <c r="M76" s="79"/>
    </row>
    <row r="77" spans="1:13" ht="19.95" customHeight="1" x14ac:dyDescent="0.3">
      <c r="A77" s="91" t="str">
        <f>'Curs, Seminar'!B76</f>
        <v/>
      </c>
      <c r="B77" s="92" t="str">
        <f>IF(NOT(ISBLANK('Curs, Seminar'!C76)),'Curs, Seminar'!C76,"")</f>
        <v/>
      </c>
      <c r="C77" s="83" t="str">
        <f>IF('Curs, Seminar'!L76&lt;&gt;"a","",'Curs, Seminar'!L76)</f>
        <v/>
      </c>
      <c r="D77" s="83" t="str">
        <f>IF('Curs, Seminar'!M76&lt;&gt;"a","",'Curs, Seminar'!M76)</f>
        <v/>
      </c>
      <c r="E77" s="83" t="str">
        <f>IF('Curs, Seminar'!N76&lt;&gt;"a","",'Curs, Seminar'!N76)</f>
        <v/>
      </c>
      <c r="F77" s="83" t="str">
        <f>IF('Curs, Seminar'!O76&lt;&gt;"a","",'Curs, Seminar'!O76)</f>
        <v/>
      </c>
      <c r="G77" s="83" t="str">
        <f>IF('Curs, Seminar'!P76&lt;&gt;"a","",'Curs, Seminar'!P76)</f>
        <v/>
      </c>
      <c r="H77" s="83" t="str">
        <f>IF('Curs, Seminar'!Q76&lt;&gt;"a","",'Curs, Seminar'!Q76)</f>
        <v/>
      </c>
      <c r="I77" s="83"/>
      <c r="J77" s="83"/>
      <c r="K77" s="80"/>
      <c r="L77" s="80"/>
      <c r="M77" s="79"/>
    </row>
    <row r="78" spans="1:13" ht="19.95" customHeight="1" x14ac:dyDescent="0.3">
      <c r="A78" s="91" t="str">
        <f>'Curs, Seminar'!B77</f>
        <v/>
      </c>
      <c r="B78" s="92" t="str">
        <f>IF(NOT(ISBLANK('Curs, Seminar'!C77)),'Curs, Seminar'!C77,"")</f>
        <v/>
      </c>
      <c r="C78" s="83" t="str">
        <f>IF('Curs, Seminar'!L77&lt;&gt;"a","",'Curs, Seminar'!L77)</f>
        <v/>
      </c>
      <c r="D78" s="83" t="str">
        <f>IF('Curs, Seminar'!M77&lt;&gt;"a","",'Curs, Seminar'!M77)</f>
        <v/>
      </c>
      <c r="E78" s="83" t="str">
        <f>IF('Curs, Seminar'!N77&lt;&gt;"a","",'Curs, Seminar'!N77)</f>
        <v/>
      </c>
      <c r="F78" s="83" t="str">
        <f>IF('Curs, Seminar'!O77&lt;&gt;"a","",'Curs, Seminar'!O77)</f>
        <v/>
      </c>
      <c r="G78" s="83" t="str">
        <f>IF('Curs, Seminar'!P77&lt;&gt;"a","",'Curs, Seminar'!P77)</f>
        <v/>
      </c>
      <c r="H78" s="83" t="str">
        <f>IF('Curs, Seminar'!Q77&lt;&gt;"a","",'Curs, Seminar'!Q77)</f>
        <v/>
      </c>
      <c r="I78" s="83"/>
      <c r="J78" s="83"/>
      <c r="K78" s="80"/>
      <c r="L78" s="80"/>
      <c r="M78" s="79"/>
    </row>
    <row r="79" spans="1:13" ht="19.95" customHeight="1" x14ac:dyDescent="0.3">
      <c r="A79" s="91" t="str">
        <f>'Curs, Seminar'!B78</f>
        <v/>
      </c>
      <c r="B79" s="92" t="str">
        <f>IF(NOT(ISBLANK('Curs, Seminar'!C78)),'Curs, Seminar'!C78,"")</f>
        <v/>
      </c>
      <c r="C79" s="83" t="str">
        <f>IF('Curs, Seminar'!L78&lt;&gt;"a","",'Curs, Seminar'!L78)</f>
        <v/>
      </c>
      <c r="D79" s="83" t="str">
        <f>IF('Curs, Seminar'!M78&lt;&gt;"a","",'Curs, Seminar'!M78)</f>
        <v/>
      </c>
      <c r="E79" s="83" t="str">
        <f>IF('Curs, Seminar'!N78&lt;&gt;"a","",'Curs, Seminar'!N78)</f>
        <v/>
      </c>
      <c r="F79" s="83" t="str">
        <f>IF('Curs, Seminar'!O78&lt;&gt;"a","",'Curs, Seminar'!O78)</f>
        <v/>
      </c>
      <c r="G79" s="83" t="str">
        <f>IF('Curs, Seminar'!P78&lt;&gt;"a","",'Curs, Seminar'!P78)</f>
        <v/>
      </c>
      <c r="H79" s="83" t="str">
        <f>IF('Curs, Seminar'!Q78&lt;&gt;"a","",'Curs, Seminar'!Q78)</f>
        <v/>
      </c>
      <c r="I79" s="83"/>
      <c r="J79" s="83"/>
      <c r="K79" s="80"/>
      <c r="L79" s="80"/>
      <c r="M79" s="79"/>
    </row>
    <row r="80" spans="1:13" ht="19.95" customHeight="1" x14ac:dyDescent="0.3">
      <c r="A80" s="91" t="str">
        <f>'Curs, Seminar'!B79</f>
        <v/>
      </c>
      <c r="B80" s="92" t="str">
        <f>IF(NOT(ISBLANK('Curs, Seminar'!C79)),'Curs, Seminar'!C79,"")</f>
        <v/>
      </c>
      <c r="C80" s="83" t="str">
        <f>IF('Curs, Seminar'!L79&lt;&gt;"a","",'Curs, Seminar'!L79)</f>
        <v/>
      </c>
      <c r="D80" s="83" t="str">
        <f>IF('Curs, Seminar'!M79&lt;&gt;"a","",'Curs, Seminar'!M79)</f>
        <v/>
      </c>
      <c r="E80" s="83" t="str">
        <f>IF('Curs, Seminar'!N79&lt;&gt;"a","",'Curs, Seminar'!N79)</f>
        <v/>
      </c>
      <c r="F80" s="83" t="str">
        <f>IF('Curs, Seminar'!O79&lt;&gt;"a","",'Curs, Seminar'!O79)</f>
        <v/>
      </c>
      <c r="G80" s="83" t="str">
        <f>IF('Curs, Seminar'!P79&lt;&gt;"a","",'Curs, Seminar'!P79)</f>
        <v/>
      </c>
      <c r="H80" s="83" t="str">
        <f>IF('Curs, Seminar'!Q79&lt;&gt;"a","",'Curs, Seminar'!Q79)</f>
        <v/>
      </c>
      <c r="I80" s="83"/>
      <c r="J80" s="83"/>
      <c r="K80" s="80"/>
      <c r="L80" s="80"/>
      <c r="M80" s="79"/>
    </row>
    <row r="81" spans="1:13" ht="19.95" customHeight="1" x14ac:dyDescent="0.3">
      <c r="A81" s="91" t="str">
        <f>'Curs, Seminar'!B80</f>
        <v/>
      </c>
      <c r="B81" s="92" t="str">
        <f>IF(NOT(ISBLANK('Curs, Seminar'!C80)),'Curs, Seminar'!C80,"")</f>
        <v/>
      </c>
      <c r="C81" s="83" t="str">
        <f>IF('Curs, Seminar'!L80&lt;&gt;"a","",'Curs, Seminar'!L80)</f>
        <v/>
      </c>
      <c r="D81" s="83" t="str">
        <f>IF('Curs, Seminar'!M80&lt;&gt;"a","",'Curs, Seminar'!M80)</f>
        <v/>
      </c>
      <c r="E81" s="83" t="str">
        <f>IF('Curs, Seminar'!N80&lt;&gt;"a","",'Curs, Seminar'!N80)</f>
        <v/>
      </c>
      <c r="F81" s="83" t="str">
        <f>IF('Curs, Seminar'!O80&lt;&gt;"a","",'Curs, Seminar'!O80)</f>
        <v/>
      </c>
      <c r="G81" s="83" t="str">
        <f>IF('Curs, Seminar'!P80&lt;&gt;"a","",'Curs, Seminar'!P80)</f>
        <v/>
      </c>
      <c r="H81" s="83" t="str">
        <f>IF('Curs, Seminar'!Q80&lt;&gt;"a","",'Curs, Seminar'!Q80)</f>
        <v/>
      </c>
      <c r="I81" s="83"/>
      <c r="J81" s="83"/>
      <c r="K81" s="80"/>
      <c r="L81" s="80"/>
      <c r="M81" s="79"/>
    </row>
    <row r="82" spans="1:13" ht="19.95" customHeight="1" x14ac:dyDescent="0.3">
      <c r="A82" s="91" t="str">
        <f>'Curs, Seminar'!B81</f>
        <v/>
      </c>
      <c r="B82" s="92" t="str">
        <f>IF(NOT(ISBLANK('Curs, Seminar'!C81)),'Curs, Seminar'!C81,"")</f>
        <v/>
      </c>
      <c r="C82" s="83" t="str">
        <f>IF('Curs, Seminar'!L81&lt;&gt;"a","",'Curs, Seminar'!L81)</f>
        <v/>
      </c>
      <c r="D82" s="83" t="str">
        <f>IF('Curs, Seminar'!M81&lt;&gt;"a","",'Curs, Seminar'!M81)</f>
        <v/>
      </c>
      <c r="E82" s="83" t="str">
        <f>IF('Curs, Seminar'!N81&lt;&gt;"a","",'Curs, Seminar'!N81)</f>
        <v/>
      </c>
      <c r="F82" s="83" t="str">
        <f>IF('Curs, Seminar'!O81&lt;&gt;"a","",'Curs, Seminar'!O81)</f>
        <v/>
      </c>
      <c r="G82" s="83" t="str">
        <f>IF('Curs, Seminar'!P81&lt;&gt;"a","",'Curs, Seminar'!P81)</f>
        <v/>
      </c>
      <c r="H82" s="83" t="str">
        <f>IF('Curs, Seminar'!Q81&lt;&gt;"a","",'Curs, Seminar'!Q81)</f>
        <v/>
      </c>
      <c r="I82" s="83"/>
      <c r="J82" s="83"/>
      <c r="K82" s="80"/>
      <c r="L82" s="80"/>
      <c r="M82" s="79"/>
    </row>
    <row r="83" spans="1:13" ht="19.95" customHeight="1" x14ac:dyDescent="0.3">
      <c r="A83" s="91" t="str">
        <f>'Curs, Seminar'!B82</f>
        <v/>
      </c>
      <c r="B83" s="92" t="str">
        <f>IF(NOT(ISBLANK('Curs, Seminar'!C82)),'Curs, Seminar'!C82,"")</f>
        <v/>
      </c>
      <c r="C83" s="83" t="str">
        <f>IF('Curs, Seminar'!L82&lt;&gt;"a","",'Curs, Seminar'!L82)</f>
        <v/>
      </c>
      <c r="D83" s="83" t="str">
        <f>IF('Curs, Seminar'!M82&lt;&gt;"a","",'Curs, Seminar'!M82)</f>
        <v/>
      </c>
      <c r="E83" s="83" t="str">
        <f>IF('Curs, Seminar'!N82&lt;&gt;"a","",'Curs, Seminar'!N82)</f>
        <v/>
      </c>
      <c r="F83" s="83" t="str">
        <f>IF('Curs, Seminar'!O82&lt;&gt;"a","",'Curs, Seminar'!O82)</f>
        <v/>
      </c>
      <c r="G83" s="83" t="str">
        <f>IF('Curs, Seminar'!P82&lt;&gt;"a","",'Curs, Seminar'!P82)</f>
        <v/>
      </c>
      <c r="H83" s="83" t="str">
        <f>IF('Curs, Seminar'!Q82&lt;&gt;"a","",'Curs, Seminar'!Q82)</f>
        <v/>
      </c>
      <c r="I83" s="83"/>
      <c r="J83" s="83"/>
      <c r="K83" s="80"/>
      <c r="L83" s="80"/>
      <c r="M83" s="79"/>
    </row>
    <row r="84" spans="1:13" ht="19.95" customHeight="1" x14ac:dyDescent="0.3">
      <c r="A84" s="91" t="str">
        <f>'Curs, Seminar'!B83</f>
        <v/>
      </c>
      <c r="B84" s="92" t="str">
        <f>IF(NOT(ISBLANK('Curs, Seminar'!C83)),'Curs, Seminar'!C83,"")</f>
        <v/>
      </c>
      <c r="C84" s="83" t="str">
        <f>IF('Curs, Seminar'!L83&lt;&gt;"a","",'Curs, Seminar'!L83)</f>
        <v/>
      </c>
      <c r="D84" s="83" t="str">
        <f>IF('Curs, Seminar'!M83&lt;&gt;"a","",'Curs, Seminar'!M83)</f>
        <v/>
      </c>
      <c r="E84" s="83" t="str">
        <f>IF('Curs, Seminar'!N83&lt;&gt;"a","",'Curs, Seminar'!N83)</f>
        <v/>
      </c>
      <c r="F84" s="83" t="str">
        <f>IF('Curs, Seminar'!O83&lt;&gt;"a","",'Curs, Seminar'!O83)</f>
        <v/>
      </c>
      <c r="G84" s="83" t="str">
        <f>IF('Curs, Seminar'!P83&lt;&gt;"a","",'Curs, Seminar'!P83)</f>
        <v/>
      </c>
      <c r="H84" s="83" t="str">
        <f>IF('Curs, Seminar'!Q83&lt;&gt;"a","",'Curs, Seminar'!Q83)</f>
        <v/>
      </c>
      <c r="I84" s="83"/>
      <c r="J84" s="83"/>
      <c r="K84" s="80"/>
      <c r="L84" s="80"/>
      <c r="M84" s="79"/>
    </row>
    <row r="85" spans="1:13" ht="19.95" customHeight="1" x14ac:dyDescent="0.3">
      <c r="A85" s="91" t="str">
        <f>'Curs, Seminar'!B84</f>
        <v/>
      </c>
      <c r="B85" s="92" t="str">
        <f>IF(NOT(ISBLANK('Curs, Seminar'!C84)),'Curs, Seminar'!C84,"")</f>
        <v/>
      </c>
      <c r="C85" s="83" t="str">
        <f>IF('Curs, Seminar'!L84&lt;&gt;"a","",'Curs, Seminar'!L84)</f>
        <v/>
      </c>
      <c r="D85" s="83" t="str">
        <f>IF('Curs, Seminar'!M84&lt;&gt;"a","",'Curs, Seminar'!M84)</f>
        <v/>
      </c>
      <c r="E85" s="83" t="str">
        <f>IF('Curs, Seminar'!N84&lt;&gt;"a","",'Curs, Seminar'!N84)</f>
        <v/>
      </c>
      <c r="F85" s="83" t="str">
        <f>IF('Curs, Seminar'!O84&lt;&gt;"a","",'Curs, Seminar'!O84)</f>
        <v/>
      </c>
      <c r="G85" s="83" t="str">
        <f>IF('Curs, Seminar'!P84&lt;&gt;"a","",'Curs, Seminar'!P84)</f>
        <v/>
      </c>
      <c r="H85" s="83" t="str">
        <f>IF('Curs, Seminar'!Q84&lt;&gt;"a","",'Curs, Seminar'!Q84)</f>
        <v/>
      </c>
      <c r="I85" s="83"/>
      <c r="J85" s="83"/>
      <c r="K85" s="80"/>
      <c r="L85" s="80"/>
      <c r="M85" s="79"/>
    </row>
    <row r="86" spans="1:13" ht="19.95" customHeight="1" x14ac:dyDescent="0.3">
      <c r="A86" s="91" t="str">
        <f>'Curs, Seminar'!B85</f>
        <v/>
      </c>
      <c r="B86" s="92" t="str">
        <f>IF(NOT(ISBLANK('Curs, Seminar'!C85)),'Curs, Seminar'!C85,"")</f>
        <v/>
      </c>
      <c r="C86" s="83" t="str">
        <f>IF('Curs, Seminar'!L85&lt;&gt;"a","",'Curs, Seminar'!L85)</f>
        <v/>
      </c>
      <c r="D86" s="83" t="str">
        <f>IF('Curs, Seminar'!M85&lt;&gt;"a","",'Curs, Seminar'!M85)</f>
        <v/>
      </c>
      <c r="E86" s="83" t="str">
        <f>IF('Curs, Seminar'!N85&lt;&gt;"a","",'Curs, Seminar'!N85)</f>
        <v/>
      </c>
      <c r="F86" s="83" t="str">
        <f>IF('Curs, Seminar'!O85&lt;&gt;"a","",'Curs, Seminar'!O85)</f>
        <v/>
      </c>
      <c r="G86" s="83" t="str">
        <f>IF('Curs, Seminar'!P85&lt;&gt;"a","",'Curs, Seminar'!P85)</f>
        <v/>
      </c>
      <c r="H86" s="83" t="str">
        <f>IF('Curs, Seminar'!Q85&lt;&gt;"a","",'Curs, Seminar'!Q85)</f>
        <v/>
      </c>
      <c r="I86" s="83"/>
      <c r="J86" s="83"/>
      <c r="K86" s="80"/>
      <c r="L86" s="80"/>
      <c r="M86" s="79"/>
    </row>
    <row r="87" spans="1:13" ht="19.95" customHeight="1" x14ac:dyDescent="0.3">
      <c r="A87" s="91" t="str">
        <f>'Curs, Seminar'!B86</f>
        <v/>
      </c>
      <c r="B87" s="92" t="str">
        <f>IF(NOT(ISBLANK('Curs, Seminar'!C86)),'Curs, Seminar'!C86,"")</f>
        <v/>
      </c>
      <c r="C87" s="83" t="str">
        <f>IF('Curs, Seminar'!L86&lt;&gt;"a","",'Curs, Seminar'!L86)</f>
        <v/>
      </c>
      <c r="D87" s="83" t="str">
        <f>IF('Curs, Seminar'!M86&lt;&gt;"a","",'Curs, Seminar'!M86)</f>
        <v/>
      </c>
      <c r="E87" s="83" t="str">
        <f>IF('Curs, Seminar'!N86&lt;&gt;"a","",'Curs, Seminar'!N86)</f>
        <v/>
      </c>
      <c r="F87" s="83" t="str">
        <f>IF('Curs, Seminar'!O86&lt;&gt;"a","",'Curs, Seminar'!O86)</f>
        <v/>
      </c>
      <c r="G87" s="83" t="str">
        <f>IF('Curs, Seminar'!P86&lt;&gt;"a","",'Curs, Seminar'!P86)</f>
        <v/>
      </c>
      <c r="H87" s="83" t="str">
        <f>IF('Curs, Seminar'!Q86&lt;&gt;"a","",'Curs, Seminar'!Q86)</f>
        <v/>
      </c>
      <c r="I87" s="83"/>
      <c r="J87" s="83"/>
      <c r="K87" s="80"/>
      <c r="L87" s="80"/>
      <c r="M87" s="79"/>
    </row>
    <row r="88" spans="1:13" ht="19.95" customHeight="1" x14ac:dyDescent="0.3">
      <c r="A88" s="91" t="str">
        <f>'Curs, Seminar'!B87</f>
        <v/>
      </c>
      <c r="B88" s="92" t="str">
        <f>IF(NOT(ISBLANK('Curs, Seminar'!C87)),'Curs, Seminar'!C87,"")</f>
        <v/>
      </c>
      <c r="C88" s="83" t="str">
        <f>IF('Curs, Seminar'!L87&lt;&gt;"a","",'Curs, Seminar'!L87)</f>
        <v/>
      </c>
      <c r="D88" s="83" t="str">
        <f>IF('Curs, Seminar'!M87&lt;&gt;"a","",'Curs, Seminar'!M87)</f>
        <v/>
      </c>
      <c r="E88" s="83" t="str">
        <f>IF('Curs, Seminar'!N87&lt;&gt;"a","",'Curs, Seminar'!N87)</f>
        <v/>
      </c>
      <c r="F88" s="83" t="str">
        <f>IF('Curs, Seminar'!O87&lt;&gt;"a","",'Curs, Seminar'!O87)</f>
        <v/>
      </c>
      <c r="G88" s="83" t="str">
        <f>IF('Curs, Seminar'!P87&lt;&gt;"a","",'Curs, Seminar'!P87)</f>
        <v/>
      </c>
      <c r="H88" s="83" t="str">
        <f>IF('Curs, Seminar'!Q87&lt;&gt;"a","",'Curs, Seminar'!Q87)</f>
        <v/>
      </c>
      <c r="I88" s="83"/>
      <c r="J88" s="83"/>
      <c r="K88" s="80"/>
      <c r="L88" s="80"/>
      <c r="M88" s="79"/>
    </row>
    <row r="89" spans="1:13" ht="19.95" customHeight="1" x14ac:dyDescent="0.3">
      <c r="A89" s="91" t="str">
        <f>'Curs, Seminar'!B88</f>
        <v/>
      </c>
      <c r="B89" s="92" t="str">
        <f>IF(NOT(ISBLANK('Curs, Seminar'!C88)),'Curs, Seminar'!C88,"")</f>
        <v/>
      </c>
      <c r="C89" s="83" t="str">
        <f>IF('Curs, Seminar'!L88&lt;&gt;"a","",'Curs, Seminar'!L88)</f>
        <v/>
      </c>
      <c r="D89" s="83" t="str">
        <f>IF('Curs, Seminar'!M88&lt;&gt;"a","",'Curs, Seminar'!M88)</f>
        <v/>
      </c>
      <c r="E89" s="83" t="str">
        <f>IF('Curs, Seminar'!N88&lt;&gt;"a","",'Curs, Seminar'!N88)</f>
        <v/>
      </c>
      <c r="F89" s="83" t="str">
        <f>IF('Curs, Seminar'!O88&lt;&gt;"a","",'Curs, Seminar'!O88)</f>
        <v/>
      </c>
      <c r="G89" s="83" t="str">
        <f>IF('Curs, Seminar'!P88&lt;&gt;"a","",'Curs, Seminar'!P88)</f>
        <v/>
      </c>
      <c r="H89" s="83" t="str">
        <f>IF('Curs, Seminar'!Q88&lt;&gt;"a","",'Curs, Seminar'!Q88)</f>
        <v/>
      </c>
      <c r="I89" s="83"/>
      <c r="J89" s="83"/>
      <c r="K89" s="80"/>
      <c r="L89" s="80"/>
      <c r="M89" s="79"/>
    </row>
    <row r="90" spans="1:13" ht="19.95" customHeight="1" x14ac:dyDescent="0.3">
      <c r="A90" s="91" t="str">
        <f>'Curs, Seminar'!B89</f>
        <v/>
      </c>
      <c r="B90" s="92" t="str">
        <f>IF(NOT(ISBLANK('Curs, Seminar'!C89)),'Curs, Seminar'!C89,"")</f>
        <v/>
      </c>
      <c r="C90" s="83" t="str">
        <f>IF('Curs, Seminar'!L89&lt;&gt;"a","",'Curs, Seminar'!L89)</f>
        <v/>
      </c>
      <c r="D90" s="83" t="str">
        <f>IF('Curs, Seminar'!M89&lt;&gt;"a","",'Curs, Seminar'!M89)</f>
        <v/>
      </c>
      <c r="E90" s="83" t="str">
        <f>IF('Curs, Seminar'!N89&lt;&gt;"a","",'Curs, Seminar'!N89)</f>
        <v/>
      </c>
      <c r="F90" s="83" t="str">
        <f>IF('Curs, Seminar'!O89&lt;&gt;"a","",'Curs, Seminar'!O89)</f>
        <v/>
      </c>
      <c r="G90" s="83" t="str">
        <f>IF('Curs, Seminar'!P89&lt;&gt;"a","",'Curs, Seminar'!P89)</f>
        <v/>
      </c>
      <c r="H90" s="83" t="str">
        <f>IF('Curs, Seminar'!Q89&lt;&gt;"a","",'Curs, Seminar'!Q89)</f>
        <v/>
      </c>
      <c r="I90" s="83"/>
      <c r="J90" s="83"/>
      <c r="K90" s="80"/>
      <c r="L90" s="80"/>
      <c r="M90" s="79"/>
    </row>
    <row r="91" spans="1:13" ht="19.95" customHeight="1" x14ac:dyDescent="0.3">
      <c r="A91" s="91" t="str">
        <f>'Curs, Seminar'!B90</f>
        <v/>
      </c>
      <c r="B91" s="92" t="str">
        <f>IF(NOT(ISBLANK('Curs, Seminar'!C90)),'Curs, Seminar'!C90,"")</f>
        <v/>
      </c>
      <c r="C91" s="83" t="str">
        <f>IF('Curs, Seminar'!L90&lt;&gt;"a","",'Curs, Seminar'!L90)</f>
        <v/>
      </c>
      <c r="D91" s="83" t="str">
        <f>IF('Curs, Seminar'!M90&lt;&gt;"a","",'Curs, Seminar'!M90)</f>
        <v/>
      </c>
      <c r="E91" s="83" t="str">
        <f>IF('Curs, Seminar'!N90&lt;&gt;"a","",'Curs, Seminar'!N90)</f>
        <v/>
      </c>
      <c r="F91" s="83" t="str">
        <f>IF('Curs, Seminar'!O90&lt;&gt;"a","",'Curs, Seminar'!O90)</f>
        <v/>
      </c>
      <c r="G91" s="83" t="str">
        <f>IF('Curs, Seminar'!P90&lt;&gt;"a","",'Curs, Seminar'!P90)</f>
        <v/>
      </c>
      <c r="H91" s="83" t="str">
        <f>IF('Curs, Seminar'!Q90&lt;&gt;"a","",'Curs, Seminar'!Q90)</f>
        <v/>
      </c>
      <c r="I91" s="83"/>
      <c r="J91" s="83"/>
      <c r="K91" s="80"/>
      <c r="L91" s="80"/>
      <c r="M91" s="79"/>
    </row>
    <row r="92" spans="1:13" ht="19.95" customHeight="1" x14ac:dyDescent="0.3">
      <c r="A92" s="91" t="str">
        <f>'Curs, Seminar'!B91</f>
        <v/>
      </c>
      <c r="B92" s="92" t="str">
        <f>IF(NOT(ISBLANK('Curs, Seminar'!C91)),'Curs, Seminar'!C91,"")</f>
        <v/>
      </c>
      <c r="C92" s="83" t="str">
        <f>IF('Curs, Seminar'!L91&lt;&gt;"a","",'Curs, Seminar'!L91)</f>
        <v/>
      </c>
      <c r="D92" s="83" t="str">
        <f>IF('Curs, Seminar'!M91&lt;&gt;"a","",'Curs, Seminar'!M91)</f>
        <v/>
      </c>
      <c r="E92" s="83" t="str">
        <f>IF('Curs, Seminar'!N91&lt;&gt;"a","",'Curs, Seminar'!N91)</f>
        <v/>
      </c>
      <c r="F92" s="83" t="str">
        <f>IF('Curs, Seminar'!O91&lt;&gt;"a","",'Curs, Seminar'!O91)</f>
        <v/>
      </c>
      <c r="G92" s="83" t="str">
        <f>IF('Curs, Seminar'!P91&lt;&gt;"a","",'Curs, Seminar'!P91)</f>
        <v/>
      </c>
      <c r="H92" s="83" t="str">
        <f>IF('Curs, Seminar'!Q91&lt;&gt;"a","",'Curs, Seminar'!Q91)</f>
        <v/>
      </c>
      <c r="I92" s="83"/>
      <c r="J92" s="83"/>
      <c r="K92" s="80"/>
      <c r="L92" s="80"/>
      <c r="M92" s="79"/>
    </row>
    <row r="93" spans="1:13" ht="19.95" customHeight="1" x14ac:dyDescent="0.3">
      <c r="A93" s="91" t="str">
        <f>'Curs, Seminar'!B92</f>
        <v/>
      </c>
      <c r="B93" s="92" t="str">
        <f>IF(NOT(ISBLANK('Curs, Seminar'!C92)),'Curs, Seminar'!C92,"")</f>
        <v/>
      </c>
      <c r="C93" s="83" t="str">
        <f>IF('Curs, Seminar'!L92&lt;&gt;"a","",'Curs, Seminar'!L92)</f>
        <v/>
      </c>
      <c r="D93" s="83" t="str">
        <f>IF('Curs, Seminar'!M92&lt;&gt;"a","",'Curs, Seminar'!M92)</f>
        <v/>
      </c>
      <c r="E93" s="83" t="str">
        <f>IF('Curs, Seminar'!N92&lt;&gt;"a","",'Curs, Seminar'!N92)</f>
        <v/>
      </c>
      <c r="F93" s="83" t="str">
        <f>IF('Curs, Seminar'!O92&lt;&gt;"a","",'Curs, Seminar'!O92)</f>
        <v/>
      </c>
      <c r="G93" s="83" t="str">
        <f>IF('Curs, Seminar'!P92&lt;&gt;"a","",'Curs, Seminar'!P92)</f>
        <v/>
      </c>
      <c r="H93" s="83" t="str">
        <f>IF('Curs, Seminar'!Q92&lt;&gt;"a","",'Curs, Seminar'!Q92)</f>
        <v/>
      </c>
      <c r="I93" s="83"/>
      <c r="J93" s="83"/>
      <c r="K93" s="80"/>
      <c r="L93" s="80"/>
      <c r="M93" s="79"/>
    </row>
    <row r="94" spans="1:13" ht="19.95" customHeight="1" x14ac:dyDescent="0.3">
      <c r="A94" s="91" t="str">
        <f>'Curs, Seminar'!B93</f>
        <v/>
      </c>
      <c r="B94" s="92" t="str">
        <f>IF(NOT(ISBLANK('Curs, Seminar'!C93)),'Curs, Seminar'!C93,"")</f>
        <v/>
      </c>
      <c r="C94" s="83" t="str">
        <f>IF('Curs, Seminar'!L93&lt;&gt;"a","",'Curs, Seminar'!L93)</f>
        <v/>
      </c>
      <c r="D94" s="83" t="str">
        <f>IF('Curs, Seminar'!M93&lt;&gt;"a","",'Curs, Seminar'!M93)</f>
        <v/>
      </c>
      <c r="E94" s="83" t="str">
        <f>IF('Curs, Seminar'!N93&lt;&gt;"a","",'Curs, Seminar'!N93)</f>
        <v/>
      </c>
      <c r="F94" s="83" t="str">
        <f>IF('Curs, Seminar'!O93&lt;&gt;"a","",'Curs, Seminar'!O93)</f>
        <v/>
      </c>
      <c r="G94" s="83" t="str">
        <f>IF('Curs, Seminar'!P93&lt;&gt;"a","",'Curs, Seminar'!P93)</f>
        <v/>
      </c>
      <c r="H94" s="83" t="str">
        <f>IF('Curs, Seminar'!Q93&lt;&gt;"a","",'Curs, Seminar'!Q93)</f>
        <v/>
      </c>
      <c r="I94" s="83"/>
      <c r="J94" s="83"/>
      <c r="K94" s="80"/>
      <c r="L94" s="80"/>
      <c r="M94" s="79"/>
    </row>
    <row r="95" spans="1:13" ht="19.95" customHeight="1" x14ac:dyDescent="0.3">
      <c r="A95" s="91" t="str">
        <f>'Curs, Seminar'!B94</f>
        <v/>
      </c>
      <c r="B95" s="92" t="str">
        <f>IF(NOT(ISBLANK('Curs, Seminar'!C94)),'Curs, Seminar'!C94,"")</f>
        <v/>
      </c>
      <c r="C95" s="83" t="str">
        <f>IF('Curs, Seminar'!L94&lt;&gt;"a","",'Curs, Seminar'!L94)</f>
        <v/>
      </c>
      <c r="D95" s="83" t="str">
        <f>IF('Curs, Seminar'!M94&lt;&gt;"a","",'Curs, Seminar'!M94)</f>
        <v/>
      </c>
      <c r="E95" s="83" t="str">
        <f>IF('Curs, Seminar'!N94&lt;&gt;"a","",'Curs, Seminar'!N94)</f>
        <v/>
      </c>
      <c r="F95" s="83" t="str">
        <f>IF('Curs, Seminar'!O94&lt;&gt;"a","",'Curs, Seminar'!O94)</f>
        <v/>
      </c>
      <c r="G95" s="83" t="str">
        <f>IF('Curs, Seminar'!P94&lt;&gt;"a","",'Curs, Seminar'!P94)</f>
        <v/>
      </c>
      <c r="H95" s="83" t="str">
        <f>IF('Curs, Seminar'!Q94&lt;&gt;"a","",'Curs, Seminar'!Q94)</f>
        <v/>
      </c>
      <c r="I95" s="83"/>
      <c r="J95" s="83"/>
      <c r="K95" s="80"/>
      <c r="L95" s="80"/>
      <c r="M95" s="79"/>
    </row>
    <row r="96" spans="1:13" ht="19.95" customHeight="1" x14ac:dyDescent="0.3">
      <c r="A96" s="91" t="str">
        <f>'Curs, Seminar'!B95</f>
        <v/>
      </c>
      <c r="B96" s="92" t="str">
        <f>IF(NOT(ISBLANK('Curs, Seminar'!C95)),'Curs, Seminar'!C95,"")</f>
        <v/>
      </c>
      <c r="C96" s="83" t="str">
        <f>IF('Curs, Seminar'!L95&lt;&gt;"a","",'Curs, Seminar'!L95)</f>
        <v/>
      </c>
      <c r="D96" s="83" t="str">
        <f>IF('Curs, Seminar'!M95&lt;&gt;"a","",'Curs, Seminar'!M95)</f>
        <v/>
      </c>
      <c r="E96" s="83" t="str">
        <f>IF('Curs, Seminar'!N95&lt;&gt;"a","",'Curs, Seminar'!N95)</f>
        <v/>
      </c>
      <c r="F96" s="83" t="str">
        <f>IF('Curs, Seminar'!O95&lt;&gt;"a","",'Curs, Seminar'!O95)</f>
        <v/>
      </c>
      <c r="G96" s="83" t="str">
        <f>IF('Curs, Seminar'!P95&lt;&gt;"a","",'Curs, Seminar'!P95)</f>
        <v/>
      </c>
      <c r="H96" s="83" t="str">
        <f>IF('Curs, Seminar'!Q95&lt;&gt;"a","",'Curs, Seminar'!Q95)</f>
        <v/>
      </c>
      <c r="I96" s="83"/>
      <c r="J96" s="83"/>
      <c r="K96" s="80"/>
      <c r="L96" s="80"/>
      <c r="M96" s="79"/>
    </row>
    <row r="97" spans="1:13" ht="19.95" customHeight="1" x14ac:dyDescent="0.3">
      <c r="A97" s="91" t="str">
        <f>'Curs, Seminar'!B96</f>
        <v/>
      </c>
      <c r="B97" s="92" t="str">
        <f>IF(NOT(ISBLANK('Curs, Seminar'!C96)),'Curs, Seminar'!C96,"")</f>
        <v/>
      </c>
      <c r="C97" s="83" t="str">
        <f>IF('Curs, Seminar'!L96&lt;&gt;"a","",'Curs, Seminar'!L96)</f>
        <v/>
      </c>
      <c r="D97" s="83" t="str">
        <f>IF('Curs, Seminar'!M96&lt;&gt;"a","",'Curs, Seminar'!M96)</f>
        <v/>
      </c>
      <c r="E97" s="83" t="str">
        <f>IF('Curs, Seminar'!N96&lt;&gt;"a","",'Curs, Seminar'!N96)</f>
        <v/>
      </c>
      <c r="F97" s="83" t="str">
        <f>IF('Curs, Seminar'!O96&lt;&gt;"a","",'Curs, Seminar'!O96)</f>
        <v/>
      </c>
      <c r="G97" s="83" t="str">
        <f>IF('Curs, Seminar'!P96&lt;&gt;"a","",'Curs, Seminar'!P96)</f>
        <v/>
      </c>
      <c r="H97" s="83" t="str">
        <f>IF('Curs, Seminar'!Q96&lt;&gt;"a","",'Curs, Seminar'!Q96)</f>
        <v/>
      </c>
      <c r="I97" s="83"/>
      <c r="J97" s="83"/>
      <c r="K97" s="80"/>
      <c r="L97" s="80"/>
      <c r="M97" s="79"/>
    </row>
    <row r="98" spans="1:13" ht="19.95" customHeight="1" x14ac:dyDescent="0.3">
      <c r="A98" s="91" t="str">
        <f>'Curs, Seminar'!B97</f>
        <v/>
      </c>
      <c r="B98" s="92" t="str">
        <f>IF(NOT(ISBLANK('Curs, Seminar'!C97)),'Curs, Seminar'!C97,"")</f>
        <v/>
      </c>
      <c r="C98" s="83" t="str">
        <f>IF('Curs, Seminar'!L97&lt;&gt;"a","",'Curs, Seminar'!L97)</f>
        <v/>
      </c>
      <c r="D98" s="83" t="str">
        <f>IF('Curs, Seminar'!M97&lt;&gt;"a","",'Curs, Seminar'!M97)</f>
        <v/>
      </c>
      <c r="E98" s="83" t="str">
        <f>IF('Curs, Seminar'!N97&lt;&gt;"a","",'Curs, Seminar'!N97)</f>
        <v/>
      </c>
      <c r="F98" s="83" t="str">
        <f>IF('Curs, Seminar'!O97&lt;&gt;"a","",'Curs, Seminar'!O97)</f>
        <v/>
      </c>
      <c r="G98" s="83" t="str">
        <f>IF('Curs, Seminar'!P97&lt;&gt;"a","",'Curs, Seminar'!P97)</f>
        <v/>
      </c>
      <c r="H98" s="83" t="str">
        <f>IF('Curs, Seminar'!Q97&lt;&gt;"a","",'Curs, Seminar'!Q97)</f>
        <v/>
      </c>
      <c r="I98" s="83"/>
      <c r="J98" s="83"/>
      <c r="K98" s="80"/>
      <c r="L98" s="80"/>
      <c r="M98" s="79"/>
    </row>
    <row r="99" spans="1:13" ht="19.95" customHeight="1" x14ac:dyDescent="0.3">
      <c r="A99" s="91" t="str">
        <f>'Curs, Seminar'!B98</f>
        <v/>
      </c>
      <c r="B99" s="92" t="str">
        <f>IF(NOT(ISBLANK('Curs, Seminar'!C98)),'Curs, Seminar'!C98,"")</f>
        <v/>
      </c>
      <c r="C99" s="83" t="str">
        <f>IF('Curs, Seminar'!L98&lt;&gt;"a","",'Curs, Seminar'!L98)</f>
        <v/>
      </c>
      <c r="D99" s="83" t="str">
        <f>IF('Curs, Seminar'!M98&lt;&gt;"a","",'Curs, Seminar'!M98)</f>
        <v/>
      </c>
      <c r="E99" s="83" t="str">
        <f>IF('Curs, Seminar'!N98&lt;&gt;"a","",'Curs, Seminar'!N98)</f>
        <v/>
      </c>
      <c r="F99" s="83" t="str">
        <f>IF('Curs, Seminar'!O98&lt;&gt;"a","",'Curs, Seminar'!O98)</f>
        <v/>
      </c>
      <c r="G99" s="83" t="str">
        <f>IF('Curs, Seminar'!P98&lt;&gt;"a","",'Curs, Seminar'!P98)</f>
        <v/>
      </c>
      <c r="H99" s="83" t="str">
        <f>IF('Curs, Seminar'!Q98&lt;&gt;"a","",'Curs, Seminar'!Q98)</f>
        <v/>
      </c>
      <c r="I99" s="83"/>
      <c r="J99" s="83"/>
      <c r="K99" s="80"/>
      <c r="L99" s="80"/>
      <c r="M99" s="79"/>
    </row>
    <row r="100" spans="1:13" ht="19.95" customHeight="1" x14ac:dyDescent="0.3">
      <c r="A100" s="91" t="str">
        <f>'Curs, Seminar'!B99</f>
        <v/>
      </c>
      <c r="B100" s="92" t="str">
        <f>IF(NOT(ISBLANK('Curs, Seminar'!C99)),'Curs, Seminar'!C99,"")</f>
        <v/>
      </c>
      <c r="C100" s="83" t="str">
        <f>IF('Curs, Seminar'!L99&lt;&gt;"a","",'Curs, Seminar'!L99)</f>
        <v/>
      </c>
      <c r="D100" s="83" t="str">
        <f>IF('Curs, Seminar'!M99&lt;&gt;"a","",'Curs, Seminar'!M99)</f>
        <v/>
      </c>
      <c r="E100" s="83" t="str">
        <f>IF('Curs, Seminar'!N99&lt;&gt;"a","",'Curs, Seminar'!N99)</f>
        <v/>
      </c>
      <c r="F100" s="83" t="str">
        <f>IF('Curs, Seminar'!O99&lt;&gt;"a","",'Curs, Seminar'!O99)</f>
        <v/>
      </c>
      <c r="G100" s="83" t="str">
        <f>IF('Curs, Seminar'!P99&lt;&gt;"a","",'Curs, Seminar'!P99)</f>
        <v/>
      </c>
      <c r="H100" s="83" t="str">
        <f>IF('Curs, Seminar'!Q99&lt;&gt;"a","",'Curs, Seminar'!Q99)</f>
        <v/>
      </c>
      <c r="I100" s="83"/>
      <c r="J100" s="83"/>
      <c r="K100" s="80"/>
      <c r="L100" s="80"/>
      <c r="M100" s="79"/>
    </row>
    <row r="101" spans="1:13" ht="19.95" customHeight="1" x14ac:dyDescent="0.3">
      <c r="A101" s="91" t="str">
        <f>'Curs, Seminar'!B100</f>
        <v/>
      </c>
      <c r="B101" s="92" t="str">
        <f>IF(NOT(ISBLANK('Curs, Seminar'!C100)),'Curs, Seminar'!C100,"")</f>
        <v/>
      </c>
      <c r="C101" s="83" t="str">
        <f>IF('Curs, Seminar'!L100&lt;&gt;"a","",'Curs, Seminar'!L100)</f>
        <v/>
      </c>
      <c r="D101" s="83" t="str">
        <f>IF('Curs, Seminar'!M100&lt;&gt;"a","",'Curs, Seminar'!M100)</f>
        <v/>
      </c>
      <c r="E101" s="83" t="str">
        <f>IF('Curs, Seminar'!N100&lt;&gt;"a","",'Curs, Seminar'!N100)</f>
        <v/>
      </c>
      <c r="F101" s="83" t="str">
        <f>IF('Curs, Seminar'!O100&lt;&gt;"a","",'Curs, Seminar'!O100)</f>
        <v/>
      </c>
      <c r="G101" s="83" t="str">
        <f>IF('Curs, Seminar'!P100&lt;&gt;"a","",'Curs, Seminar'!P100)</f>
        <v/>
      </c>
      <c r="H101" s="83" t="str">
        <f>IF('Curs, Seminar'!Q100&lt;&gt;"a","",'Curs, Seminar'!Q100)</f>
        <v/>
      </c>
      <c r="I101" s="83"/>
      <c r="J101" s="83"/>
      <c r="K101" s="80"/>
      <c r="L101" s="80"/>
      <c r="M101" s="79"/>
    </row>
    <row r="102" spans="1:13" ht="19.95" customHeight="1" x14ac:dyDescent="0.3">
      <c r="A102" s="91" t="str">
        <f>'Curs, Seminar'!B101</f>
        <v/>
      </c>
      <c r="B102" s="92" t="str">
        <f>IF(NOT(ISBLANK('Curs, Seminar'!C101)),'Curs, Seminar'!C101,"")</f>
        <v/>
      </c>
      <c r="C102" s="83" t="str">
        <f>IF('Curs, Seminar'!L101&lt;&gt;"a","",'Curs, Seminar'!L101)</f>
        <v/>
      </c>
      <c r="D102" s="83" t="str">
        <f>IF('Curs, Seminar'!M101&lt;&gt;"a","",'Curs, Seminar'!M101)</f>
        <v/>
      </c>
      <c r="E102" s="83" t="str">
        <f>IF('Curs, Seminar'!N101&lt;&gt;"a","",'Curs, Seminar'!N101)</f>
        <v/>
      </c>
      <c r="F102" s="83" t="str">
        <f>IF('Curs, Seminar'!O101&lt;&gt;"a","",'Curs, Seminar'!O101)</f>
        <v/>
      </c>
      <c r="G102" s="83" t="str">
        <f>IF('Curs, Seminar'!P101&lt;&gt;"a","",'Curs, Seminar'!P101)</f>
        <v/>
      </c>
      <c r="H102" s="83" t="str">
        <f>IF('Curs, Seminar'!Q101&lt;&gt;"a","",'Curs, Seminar'!Q101)</f>
        <v/>
      </c>
      <c r="I102" s="83"/>
      <c r="J102" s="83"/>
      <c r="K102" s="80"/>
      <c r="L102" s="80"/>
      <c r="M102" s="79"/>
    </row>
    <row r="103" spans="1:13" ht="19.95" customHeight="1" x14ac:dyDescent="0.3">
      <c r="A103" s="91" t="str">
        <f>'Curs, Seminar'!B102</f>
        <v/>
      </c>
      <c r="B103" s="92" t="str">
        <f>IF(NOT(ISBLANK('Curs, Seminar'!C102)),'Curs, Seminar'!C102,"")</f>
        <v/>
      </c>
      <c r="C103" s="83" t="str">
        <f>IF('Curs, Seminar'!L102&lt;&gt;"a","",'Curs, Seminar'!L102)</f>
        <v/>
      </c>
      <c r="D103" s="83" t="str">
        <f>IF('Curs, Seminar'!M102&lt;&gt;"a","",'Curs, Seminar'!M102)</f>
        <v/>
      </c>
      <c r="E103" s="83" t="str">
        <f>IF('Curs, Seminar'!N102&lt;&gt;"a","",'Curs, Seminar'!N102)</f>
        <v/>
      </c>
      <c r="F103" s="83" t="str">
        <f>IF('Curs, Seminar'!O102&lt;&gt;"a","",'Curs, Seminar'!O102)</f>
        <v/>
      </c>
      <c r="G103" s="83" t="str">
        <f>IF('Curs, Seminar'!P102&lt;&gt;"a","",'Curs, Seminar'!P102)</f>
        <v/>
      </c>
      <c r="H103" s="83" t="str">
        <f>IF('Curs, Seminar'!Q102&lt;&gt;"a","",'Curs, Seminar'!Q102)</f>
        <v/>
      </c>
      <c r="I103" s="83"/>
      <c r="J103" s="83"/>
      <c r="K103" s="80"/>
      <c r="L103" s="80"/>
      <c r="M103" s="79"/>
    </row>
    <row r="104" spans="1:13" ht="19.95" customHeight="1" x14ac:dyDescent="0.3">
      <c r="A104" s="91" t="str">
        <f>'Curs, Seminar'!B103</f>
        <v/>
      </c>
      <c r="B104" s="92" t="str">
        <f>IF(NOT(ISBLANK('Curs, Seminar'!C103)),'Curs, Seminar'!C103,"")</f>
        <v/>
      </c>
      <c r="C104" s="83" t="str">
        <f>IF('Curs, Seminar'!L103&lt;&gt;"a","",'Curs, Seminar'!L103)</f>
        <v/>
      </c>
      <c r="D104" s="83" t="str">
        <f>IF('Curs, Seminar'!M103&lt;&gt;"a","",'Curs, Seminar'!M103)</f>
        <v/>
      </c>
      <c r="E104" s="83" t="str">
        <f>IF('Curs, Seminar'!N103&lt;&gt;"a","",'Curs, Seminar'!N103)</f>
        <v/>
      </c>
      <c r="F104" s="83" t="str">
        <f>IF('Curs, Seminar'!O103&lt;&gt;"a","",'Curs, Seminar'!O103)</f>
        <v/>
      </c>
      <c r="G104" s="83" t="str">
        <f>IF('Curs, Seminar'!P103&lt;&gt;"a","",'Curs, Seminar'!P103)</f>
        <v/>
      </c>
      <c r="H104" s="83" t="str">
        <f>IF('Curs, Seminar'!Q103&lt;&gt;"a","",'Curs, Seminar'!Q103)</f>
        <v/>
      </c>
      <c r="I104" s="83"/>
      <c r="J104" s="83"/>
      <c r="K104" s="80"/>
      <c r="L104" s="80"/>
      <c r="M104" s="79"/>
    </row>
    <row r="105" spans="1:13" ht="19.95" customHeight="1" x14ac:dyDescent="0.3">
      <c r="A105" s="91" t="str">
        <f>'Curs, Seminar'!B104</f>
        <v/>
      </c>
      <c r="B105" s="92" t="str">
        <f>IF(NOT(ISBLANK('Curs, Seminar'!C104)),'Curs, Seminar'!C104,"")</f>
        <v/>
      </c>
      <c r="C105" s="83" t="str">
        <f>IF('Curs, Seminar'!L104&lt;&gt;"a","",'Curs, Seminar'!L104)</f>
        <v/>
      </c>
      <c r="D105" s="83" t="str">
        <f>IF('Curs, Seminar'!M104&lt;&gt;"a","",'Curs, Seminar'!M104)</f>
        <v/>
      </c>
      <c r="E105" s="83" t="str">
        <f>IF('Curs, Seminar'!N104&lt;&gt;"a","",'Curs, Seminar'!N104)</f>
        <v/>
      </c>
      <c r="F105" s="83" t="str">
        <f>IF('Curs, Seminar'!O104&lt;&gt;"a","",'Curs, Seminar'!O104)</f>
        <v/>
      </c>
      <c r="G105" s="83" t="str">
        <f>IF('Curs, Seminar'!P104&lt;&gt;"a","",'Curs, Seminar'!P104)</f>
        <v/>
      </c>
      <c r="H105" s="83" t="str">
        <f>IF('Curs, Seminar'!Q104&lt;&gt;"a","",'Curs, Seminar'!Q104)</f>
        <v/>
      </c>
      <c r="I105" s="83"/>
      <c r="J105" s="83"/>
      <c r="K105" s="80"/>
      <c r="L105" s="80"/>
      <c r="M105" s="79"/>
    </row>
    <row r="106" spans="1:13" ht="19.95" customHeight="1" x14ac:dyDescent="0.3">
      <c r="A106" s="91" t="str">
        <f>'Curs, Seminar'!B105</f>
        <v/>
      </c>
      <c r="B106" s="92" t="str">
        <f>IF(NOT(ISBLANK('Curs, Seminar'!C105)),'Curs, Seminar'!C105,"")</f>
        <v/>
      </c>
      <c r="C106" s="83" t="str">
        <f>IF('Curs, Seminar'!L105&lt;&gt;"a","",'Curs, Seminar'!L105)</f>
        <v/>
      </c>
      <c r="D106" s="83" t="str">
        <f>IF('Curs, Seminar'!M105&lt;&gt;"a","",'Curs, Seminar'!M105)</f>
        <v/>
      </c>
      <c r="E106" s="83" t="str">
        <f>IF('Curs, Seminar'!N105&lt;&gt;"a","",'Curs, Seminar'!N105)</f>
        <v/>
      </c>
      <c r="F106" s="83" t="str">
        <f>IF('Curs, Seminar'!O105&lt;&gt;"a","",'Curs, Seminar'!O105)</f>
        <v/>
      </c>
      <c r="G106" s="83" t="str">
        <f>IF('Curs, Seminar'!P105&lt;&gt;"a","",'Curs, Seminar'!P105)</f>
        <v/>
      </c>
      <c r="H106" s="83" t="str">
        <f>IF('Curs, Seminar'!Q105&lt;&gt;"a","",'Curs, Seminar'!Q105)</f>
        <v/>
      </c>
      <c r="I106" s="83"/>
      <c r="J106" s="83"/>
      <c r="K106" s="80"/>
      <c r="L106" s="80"/>
      <c r="M106" s="79"/>
    </row>
  </sheetData>
  <mergeCells count="40">
    <mergeCell ref="P5:P6"/>
    <mergeCell ref="Q5:Q6"/>
    <mergeCell ref="R5:R6"/>
    <mergeCell ref="K5:M5"/>
    <mergeCell ref="O5:O6"/>
    <mergeCell ref="F5:F6"/>
    <mergeCell ref="G5:G6"/>
    <mergeCell ref="H5:H6"/>
    <mergeCell ref="I5:I6"/>
    <mergeCell ref="J5:J6"/>
    <mergeCell ref="A5:A6"/>
    <mergeCell ref="B5:B6"/>
    <mergeCell ref="C5:C6"/>
    <mergeCell ref="D5:D6"/>
    <mergeCell ref="E5:E6"/>
    <mergeCell ref="O11:O12"/>
    <mergeCell ref="O13:O14"/>
    <mergeCell ref="O15:O16"/>
    <mergeCell ref="O17:O18"/>
    <mergeCell ref="P7:P8"/>
    <mergeCell ref="P9:P10"/>
    <mergeCell ref="P11:P12"/>
    <mergeCell ref="P13:P14"/>
    <mergeCell ref="P15:P16"/>
    <mergeCell ref="C4:H4"/>
    <mergeCell ref="Q17:Q18"/>
    <mergeCell ref="R7:R8"/>
    <mergeCell ref="R9:R10"/>
    <mergeCell ref="R11:R12"/>
    <mergeCell ref="R13:R14"/>
    <mergeCell ref="R15:R16"/>
    <mergeCell ref="R17:R18"/>
    <mergeCell ref="Q7:Q8"/>
    <mergeCell ref="Q9:Q10"/>
    <mergeCell ref="Q11:Q12"/>
    <mergeCell ref="Q13:Q14"/>
    <mergeCell ref="Q15:Q16"/>
    <mergeCell ref="P17:P18"/>
    <mergeCell ref="O7:O8"/>
    <mergeCell ref="O9:O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Curs, Seminar</vt:lpstr>
      <vt:lpstr>Ev. Curentă</vt:lpstr>
      <vt:lpstr>L. Indiv.</vt:lpstr>
      <vt:lpstr>Examen</vt:lpstr>
      <vt:lpstr>ReExaminare</vt:lpstr>
      <vt:lpstr>Registru_Curs</vt:lpstr>
      <vt:lpstr>Registru_Seminar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Electron-UTM</dc:creator>
  <cp:lastModifiedBy>Sanduleac Ionel</cp:lastModifiedBy>
  <dcterms:created xsi:type="dcterms:W3CDTF">2022-01-22T14:35:18Z</dcterms:created>
  <dcterms:modified xsi:type="dcterms:W3CDTF">2024-06-28T08:37:05Z</dcterms:modified>
</cp:coreProperties>
</file>